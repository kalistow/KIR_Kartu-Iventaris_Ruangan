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4" firstSheet="6" activeTab="12" autoFilterDateGrouping="1"/>
  </bookViews>
  <sheets>
    <sheet name="REKAP" sheetId="1" state="visible" r:id="rId1"/>
    <sheet name="RUANG KABAN" sheetId="2" state="visible" r:id="rId2"/>
    <sheet name="RUANG SEKRETARIS" sheetId="3" state="visible" r:id="rId3"/>
    <sheet name="RUANG SEKRETARIAT" sheetId="4" state="visible" r:id="rId4"/>
    <sheet name="RUANG KASUBBAG KEUANGAN" sheetId="5" state="visible" r:id="rId5"/>
    <sheet name="RUANG KASUBBAG UMPEG" sheetId="6" state="visible" r:id="rId6"/>
    <sheet name="RUANG KASUBBAG SUNRAM" sheetId="7" state="visible" r:id="rId7"/>
    <sheet name="RUANG SELASAR" sheetId="8" state="visible" r:id="rId8"/>
    <sheet name="RUANG RAPAT" sheetId="9" state="visible" r:id="rId9"/>
    <sheet name="RUANG PELAYANAN" sheetId="10" state="visible" r:id="rId10"/>
    <sheet name="RUANG DAPUR" sheetId="11" state="visible" r:id="rId11"/>
    <sheet name="RUANG KABID IDEOLOGI" sheetId="12" state="visible" r:id="rId12"/>
    <sheet name="Sheet1" sheetId="13" state="visible" r:id="rId13"/>
    <sheet name="RUANG KABID HANSENIBUD" sheetId="14" state="visible" r:id="rId14"/>
    <sheet name="RUANG KABID POLITIK" sheetId="15" state="visible" r:id="rId15"/>
    <sheet name="RUANG KABID WASNAS" sheetId="16" state="visible" r:id="rId16"/>
    <sheet name="RUANG DEPAN BIDANG KET" sheetId="17" state="visible" r:id="rId17"/>
    <sheet name="RUANG DEPAN BIDANG" sheetId="18" state="visible" r:id="rId18"/>
    <sheet name="RUANG DEPAN BIDANG (2)" sheetId="19" state="visible" r:id="rId19"/>
    <sheet name="REKAP BARANG ALL RUANGAN" sheetId="20" state="visible" r:id="rId20"/>
    <sheet name="BARANG INVENTARIS KANTOR" sheetId="21" state="visible" r:id="rId21"/>
    <sheet name="KENDARAAN" sheetId="22" state="visible" r:id="rId22"/>
    <sheet name="KENDARAAN BERDASARKAN KIB" sheetId="23" state="visible" r:id="rId23"/>
    <sheet name="BARANG YANG MASIH HARUS DICARI" sheetId="24" state="visible" r:id="rId24"/>
    <sheet name="BARANG YG DIHIBAHKAN" sheetId="25" state="visible" r:id="rId25"/>
    <sheet name="BARANG BARU (BELUM TERPETAKAN)" sheetId="26" state="visible" r:id="rId26"/>
  </sheets>
  <definedNames>
    <definedName name="_xlnm.Print_Area" localSheetId="0">'REKAP'!$A$1:$O$187</definedName>
    <definedName name="_xlnm.Print_Area" localSheetId="1">'RUANG KABAN'!$A$1:$P$22</definedName>
    <definedName name="_xlnm.Print_Area" localSheetId="2">'RUANG SEKRETARIS'!$A$1:$O$21</definedName>
    <definedName name="_xlnm.Print_Area" localSheetId="3">'RUANG SEKRETARIAT'!$A$1:$O$71</definedName>
    <definedName name="_xlnm.Print_Area" localSheetId="4">'RUANG KASUBBAG KEUANGAN'!$A$1:$O$21</definedName>
    <definedName name="_xlnm.Print_Area" localSheetId="5">'RUANG KASUBBAG UMPEG'!$A$1:$O$22</definedName>
    <definedName name="_xlnm.Print_Area" localSheetId="6">'RUANG KASUBBAG SUNRAM'!$A$1:$O$19</definedName>
    <definedName name="_xlnm.Print_Area" localSheetId="7">'RUANG SELASAR'!$A$1:$O$33</definedName>
    <definedName name="_xlnm.Print_Area" localSheetId="8">'RUANG RAPAT'!$A$1:$O$32</definedName>
    <definedName name="_xlnm.Print_Area" localSheetId="9">'RUANG PELAYANAN'!$A$1:$O$23</definedName>
    <definedName name="_xlnm.Print_Area" localSheetId="10">'RUANG DAPUR'!$A$1:$O$24</definedName>
    <definedName name="_xlnm.Print_Area" localSheetId="11">'RUANG KABID IDEOLOGI'!$A$1:$O$22</definedName>
    <definedName name="_xlnm.Print_Area" localSheetId="13">'RUANG KABID HANSENIBUD'!$A$1:$O$25</definedName>
    <definedName name="_xlnm.Print_Area" localSheetId="14">'RUANG KABID POLITIK'!$A$1:$O$20</definedName>
    <definedName name="_xlnm.Print_Area" localSheetId="15">'RUANG KABID WASNAS'!$A$1:$O$20</definedName>
    <definedName name="_xlnm.Print_Area" localSheetId="16">'RUANG DEPAN BIDANG KET'!$A$1:$Q$81</definedName>
    <definedName name="_xlnm.Print_Area" localSheetId="17">'RUANG DEPAN BIDANG'!$A$1:$P$82</definedName>
    <definedName name="_xlnm.Print_Area" localSheetId="18">'RUANG DEPAN BIDANG (2)'!$A$1:$O$82</definedName>
    <definedName name="_xlnm.Print_Area" localSheetId="19">'REKAP BARANG ALL RUANGAN'!$A$1:$O$346</definedName>
    <definedName name="_xlnm.Print_Area" localSheetId="20">'BARANG INVENTARIS KANTOR'!$A$1:$O$55</definedName>
    <definedName name="_xlnm.Print_Area" localSheetId="21">'KENDARAAN'!$A$1:$Q$54</definedName>
    <definedName name="_xlnm.Print_Area" localSheetId="22">'KENDARAAN BERDASARKAN KIB'!$A$1:$Q$54</definedName>
    <definedName name="_xlnm.Print_Area" localSheetId="23">'BARANG YANG MASIH HARUS DICARI'!$A$1:$O$30</definedName>
    <definedName name="_xlnm.Print_Area" localSheetId="24">'BARANG YG DIHIBAHKAN'!$A$1:$O$24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Times New Roman"/>
      <sz val="12"/>
    </font>
    <font>
      <name val="Times New Roman"/>
      <family val="1"/>
      <b val="1"/>
      <sz val="14"/>
    </font>
    <font>
      <name val="Times New Roman"/>
      <family val="1"/>
      <b val="1"/>
      <sz val="12"/>
    </font>
    <font>
      <name val="Times New Roman"/>
      <family val="1"/>
      <sz val="12"/>
    </font>
    <font>
      <name val="Arial"/>
      <family val="2"/>
      <b val="1"/>
      <sz val="12"/>
      <u val="single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  <font>
      <name val="Times New Roman"/>
      <family val="1"/>
      <color rgb="FFFF0000"/>
      <sz val="12"/>
    </font>
    <font>
      <name val="Times New Roman"/>
      <family val="1"/>
      <i val="1"/>
      <sz val="12"/>
    </font>
    <font>
      <name val="Arial"/>
      <family val="2"/>
      <sz val="14"/>
    </font>
    <font>
      <name val="Times New Roman"/>
      <family val="1"/>
      <color theme="0"/>
      <sz val="12"/>
    </font>
    <font>
      <name val="Times New Roman"/>
      <family val="1"/>
      <sz val="14"/>
    </font>
    <font>
      <name val="Arial"/>
      <family val="2"/>
      <b val="1"/>
      <sz val="14"/>
    </font>
    <font>
      <name val="Arial"/>
      <family val="2"/>
      <sz val="16"/>
    </font>
    <font>
      <name val="Arial"/>
      <family val="2"/>
      <b val="1"/>
      <sz val="16"/>
    </font>
    <font>
      <name val="Arial"/>
      <charset val="1"/>
      <family val="2"/>
      <sz val="16"/>
    </font>
    <font>
      <name val="Arial"/>
      <family val="2"/>
      <color rgb="FFFF0000"/>
      <sz val="14"/>
    </font>
    <font>
      <name val="Arial"/>
      <family val="2"/>
      <color theme="1"/>
      <sz val="14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0">
    <xf numFmtId="0" fontId="0" fillId="0" borderId="0" pivotButton="0" quotePrefix="0" xfId="0"/>
    <xf numFmtId="0" fontId="1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1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wrapText="1"/>
    </xf>
    <xf numFmtId="0" fontId="3" fillId="0" borderId="2" applyAlignment="1" pivotButton="0" quotePrefix="1" xfId="0">
      <alignment horizontal="center" vertical="top"/>
    </xf>
    <xf numFmtId="0" fontId="3" fillId="0" borderId="2" pivotButton="0" quotePrefix="0" xfId="0"/>
    <xf numFmtId="0" fontId="3" fillId="0" borderId="0" pivotButton="0" quotePrefix="0" xfId="0"/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5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4" fontId="0" fillId="0" borderId="2" applyAlignment="1" pivotButton="0" quotePrefix="0" xfId="0">
      <alignment horizontal="right" vertical="top"/>
    </xf>
    <xf numFmtId="4" fontId="3" fillId="0" borderId="2" applyAlignment="1" pivotButton="0" quotePrefix="0" xfId="0">
      <alignment horizontal="right" vertical="top"/>
    </xf>
    <xf numFmtId="0" fontId="4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37" fontId="0" fillId="0" borderId="2" applyAlignment="1" pivotButton="0" quotePrefix="0" xfId="0">
      <alignment horizontal="right" vertical="top"/>
    </xf>
    <xf numFmtId="0" fontId="7" fillId="0" borderId="0" pivotButton="0" quotePrefix="0" xfId="0"/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/>
    </xf>
    <xf numFmtId="37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wrapText="1"/>
    </xf>
    <xf numFmtId="0" fontId="8" fillId="0" borderId="2" pivotButton="0" quotePrefix="0" xfId="0"/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vertical="top" wrapText="1"/>
    </xf>
    <xf numFmtId="0" fontId="3" fillId="0" borderId="2" applyAlignment="1" pivotButton="0" quotePrefix="1" xfId="0">
      <alignment wrapText="1"/>
    </xf>
    <xf numFmtId="0" fontId="0" fillId="2" borderId="2" applyAlignment="1" pivotButton="0" quotePrefix="0" xfId="0">
      <alignment horizontal="center" vertical="top"/>
    </xf>
    <xf numFmtId="0" fontId="3" fillId="2" borderId="2" applyAlignment="1" pivotButton="0" quotePrefix="0" xfId="0">
      <alignment vertical="top" wrapText="1"/>
    </xf>
    <xf numFmtId="0" fontId="3" fillId="2" borderId="2" pivotButton="0" quotePrefix="0" xfId="0"/>
    <xf numFmtId="0" fontId="3" fillId="2" borderId="2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top"/>
    </xf>
    <xf numFmtId="0" fontId="3" fillId="2" borderId="2" applyAlignment="1" pivotButton="0" quotePrefix="1" xfId="0">
      <alignment horizontal="center" vertical="top"/>
    </xf>
    <xf numFmtId="0" fontId="8" fillId="2" borderId="2" pivotButton="0" quotePrefix="0" xfId="0"/>
    <xf numFmtId="0" fontId="0" fillId="2" borderId="2" pivotButton="0" quotePrefix="0" xfId="0"/>
    <xf numFmtId="0" fontId="2" fillId="0" borderId="2" applyAlignment="1" pivotButton="0" quotePrefix="0" xfId="0">
      <alignment horizontal="center" vertical="top"/>
    </xf>
    <xf numFmtId="0" fontId="3" fillId="2" borderId="2" applyAlignment="1" pivotButton="0" quotePrefix="0" xfId="0">
      <alignment wrapText="1"/>
    </xf>
    <xf numFmtId="0" fontId="0" fillId="2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/>
    </xf>
    <xf numFmtId="37" fontId="0" fillId="0" borderId="2" applyAlignment="1" pivotButton="0" quotePrefix="0" xfId="0">
      <alignment horizontal="center" vertical="top"/>
    </xf>
    <xf numFmtId="0" fontId="0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2" borderId="2" applyAlignment="1" pivotButton="0" quotePrefix="0" xfId="0">
      <alignment wrapText="1"/>
    </xf>
    <xf numFmtId="0" fontId="0" fillId="2" borderId="2" applyAlignment="1" pivotButton="0" quotePrefix="1" xfId="0">
      <alignment horizontal="center" vertical="top"/>
    </xf>
    <xf numFmtId="37" fontId="0" fillId="2" borderId="2" applyAlignment="1" pivotButton="0" quotePrefix="0" xfId="0">
      <alignment horizontal="right" vertical="top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vertical="top" wrapText="1"/>
    </xf>
    <xf numFmtId="0" fontId="0" fillId="2" borderId="2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0" fillId="2" borderId="6" applyAlignment="1" pivotButton="0" quotePrefix="0" xfId="0">
      <alignment vertical="top"/>
    </xf>
    <xf numFmtId="4" fontId="3" fillId="2" borderId="2" applyAlignment="1" pivotButton="0" quotePrefix="0" xfId="0">
      <alignment horizontal="right" vertical="top"/>
    </xf>
    <xf numFmtId="4" fontId="0" fillId="2" borderId="2" applyAlignment="1" pivotButton="0" quotePrefix="0" xfId="0">
      <alignment horizontal="right"/>
    </xf>
    <xf numFmtId="4" fontId="3" fillId="2" borderId="2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1" xfId="0">
      <alignment horizontal="center" vertical="top"/>
    </xf>
    <xf numFmtId="4" fontId="3" fillId="0" borderId="0" applyAlignment="1" pivotButton="0" quotePrefix="0" xfId="0">
      <alignment horizontal="right" vertical="top"/>
    </xf>
    <xf numFmtId="0" fontId="0" fillId="0" borderId="7" applyAlignment="1" pivotButton="0" quotePrefix="0" xfId="0">
      <alignment horizontal="center" vertical="top"/>
    </xf>
    <xf numFmtId="0" fontId="3" fillId="0" borderId="7" applyAlignment="1" pivotButton="0" quotePrefix="0" xfId="0">
      <alignment horizontal="left" vertical="top"/>
    </xf>
    <xf numFmtId="0" fontId="0" fillId="0" borderId="7" pivotButton="0" quotePrefix="0" xfId="0"/>
    <xf numFmtId="0" fontId="3" fillId="0" borderId="7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/>
    </xf>
    <xf numFmtId="0" fontId="3" fillId="0" borderId="7" applyAlignment="1" pivotButton="0" quotePrefix="1" xfId="0">
      <alignment horizontal="center" vertical="top"/>
    </xf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/>
    </xf>
    <xf numFmtId="0" fontId="3" fillId="0" borderId="8" applyAlignment="1" pivotButton="0" quotePrefix="0" xfId="0">
      <alignment horizontal="left" vertical="top"/>
    </xf>
    <xf numFmtId="0" fontId="3" fillId="0" borderId="8" applyAlignment="1" pivotButton="0" quotePrefix="0" xfId="0">
      <alignment vertical="top" wrapText="1"/>
    </xf>
    <xf numFmtId="0" fontId="0" fillId="0" borderId="8" pivotButton="0" quotePrefix="0" xfId="0"/>
    <xf numFmtId="0" fontId="3" fillId="0" borderId="8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/>
    </xf>
    <xf numFmtId="0" fontId="3" fillId="0" borderId="8" applyAlignment="1" pivotButton="0" quotePrefix="1" xfId="0">
      <alignment horizontal="center" vertical="top"/>
    </xf>
    <xf numFmtId="0" fontId="3" fillId="0" borderId="0" pivotButton="0" quotePrefix="0" xfId="0"/>
    <xf numFmtId="39" fontId="3" fillId="0" borderId="2" applyAlignment="1" pivotButton="0" quotePrefix="0" xfId="0">
      <alignment horizontal="right" vertical="top"/>
    </xf>
    <xf numFmtId="4" fontId="0" fillId="2" borderId="2" applyAlignment="1" pivotButton="0" quotePrefix="0" xfId="0">
      <alignment horizontal="right" vertical="top"/>
    </xf>
    <xf numFmtId="0" fontId="3" fillId="2" borderId="2" applyAlignment="1" pivotButton="0" quotePrefix="1" xfId="0">
      <alignment horizontal="center" wrapText="1"/>
    </xf>
    <xf numFmtId="0" fontId="0" fillId="0" borderId="3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2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7" applyAlignment="1" pivotButton="0" quotePrefix="0" xfId="0">
      <alignment horizontal="left" vertical="top" wrapText="1"/>
    </xf>
    <xf numFmtId="4" fontId="0" fillId="0" borderId="7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 wrapText="1"/>
    </xf>
    <xf numFmtId="4" fontId="0" fillId="0" borderId="0" applyAlignment="1" pivotButton="0" quotePrefix="0" xfId="0">
      <alignment horizontal="right" vertical="top"/>
    </xf>
    <xf numFmtId="4" fontId="0" fillId="0" borderId="8" applyAlignment="1" pivotButton="0" quotePrefix="0" xfId="0">
      <alignment horizontal="right" vertical="top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8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3" fillId="0" borderId="8" pivotButton="0" quotePrefix="0" xfId="0"/>
    <xf numFmtId="4" fontId="3" fillId="0" borderId="8" applyAlignment="1" pivotButton="0" quotePrefix="0" xfId="0">
      <alignment horizontal="right" vertical="top"/>
    </xf>
    <xf numFmtId="0" fontId="2" fillId="0" borderId="7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 wrapText="1"/>
    </xf>
    <xf numFmtId="0" fontId="3" fillId="0" borderId="2" applyAlignment="1" pivotButton="0" quotePrefix="1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1" xfId="0">
      <alignment horizontal="center" vertical="top"/>
    </xf>
    <xf numFmtId="4" fontId="3" fillId="2" borderId="0" applyAlignment="1" pivotButton="0" quotePrefix="0" xfId="0">
      <alignment horizontal="center" vertical="top"/>
    </xf>
    <xf numFmtId="0" fontId="3" fillId="2" borderId="7" applyAlignment="1" pivotButton="0" quotePrefix="0" xfId="0">
      <alignment horizontal="left" vertical="top"/>
    </xf>
    <xf numFmtId="0" fontId="3" fillId="2" borderId="7" applyAlignment="1" pivotButton="0" quotePrefix="0" xfId="0">
      <alignment wrapText="1"/>
    </xf>
    <xf numFmtId="0" fontId="3" fillId="2" borderId="7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applyAlignment="1" pivotButton="0" quotePrefix="1" xfId="0">
      <alignment horizontal="center" vertical="top"/>
    </xf>
    <xf numFmtId="4" fontId="3" fillId="2" borderId="7" applyAlignment="1" pivotButton="0" quotePrefix="0" xfId="0">
      <alignment horizontal="right" vertical="top"/>
    </xf>
    <xf numFmtId="4" fontId="3" fillId="2" borderId="0" applyAlignment="1" pivotButton="0" quotePrefix="0" xfId="0">
      <alignment horizontal="right" vertical="top"/>
    </xf>
    <xf numFmtId="0" fontId="3" fillId="2" borderId="8" applyAlignment="1" pivotButton="0" quotePrefix="0" xfId="0">
      <alignment horizontal="left" vertical="top"/>
    </xf>
    <xf numFmtId="0" fontId="3" fillId="2" borderId="8" applyAlignment="1" pivotButton="0" quotePrefix="0" xfId="0">
      <alignment wrapText="1"/>
    </xf>
    <xf numFmtId="0" fontId="3" fillId="2" borderId="8" pivotButton="0" quotePrefix="0" xfId="0"/>
    <xf numFmtId="0" fontId="3" fillId="2" borderId="8" applyAlignment="1" pivotButton="0" quotePrefix="0" xfId="0">
      <alignment horizontal="center" vertical="top"/>
    </xf>
    <xf numFmtId="0" fontId="3" fillId="2" borderId="8" applyAlignment="1" pivotButton="0" quotePrefix="1" xfId="0">
      <alignment horizontal="center" vertical="top"/>
    </xf>
    <xf numFmtId="4" fontId="3" fillId="2" borderId="8" applyAlignment="1" pivotButton="0" quotePrefix="0" xfId="0">
      <alignment horizontal="right" vertical="top"/>
    </xf>
    <xf numFmtId="0" fontId="8" fillId="0" borderId="2" applyAlignment="1" pivotButton="0" quotePrefix="1" xfId="0">
      <alignment horizontal="center" vertical="top"/>
    </xf>
    <xf numFmtId="4" fontId="8" fillId="0" borderId="2" applyAlignment="1" pivotButton="0" quotePrefix="0" xfId="0">
      <alignment horizontal="right" vertical="top"/>
    </xf>
    <xf numFmtId="0" fontId="0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 wrapText="1"/>
    </xf>
    <xf numFmtId="39" fontId="0" fillId="0" borderId="2" applyAlignment="1" pivotButton="0" quotePrefix="0" xfId="0">
      <alignment horizontal="right" vertical="top"/>
    </xf>
    <xf numFmtId="39" fontId="3" fillId="2" borderId="2" applyAlignment="1" pivotButton="0" quotePrefix="0" xfId="0">
      <alignment horizontal="right" vertical="top"/>
    </xf>
    <xf numFmtId="39" fontId="0" fillId="2" borderId="2" applyAlignment="1" pivotButton="0" quotePrefix="0" xfId="0">
      <alignment horizontal="right" vertical="top"/>
    </xf>
    <xf numFmtId="0" fontId="0" fillId="0" borderId="3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3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left" vertical="top" wrapText="1"/>
    </xf>
    <xf numFmtId="0" fontId="0" fillId="2" borderId="2" pivotButton="0" quotePrefix="0" xfId="0"/>
    <xf numFmtId="0" fontId="3" fillId="2" borderId="2" applyAlignment="1" pivotButton="0" quotePrefix="1" xfId="0">
      <alignment vertical="top" wrapText="1"/>
    </xf>
    <xf numFmtId="37" fontId="3" fillId="0" borderId="2" applyAlignment="1" pivotButton="0" quotePrefix="0" xfId="0">
      <alignment horizontal="right" vertical="top"/>
    </xf>
    <xf numFmtId="37" fontId="3" fillId="2" borderId="2" applyAlignment="1" pivotButton="0" quotePrefix="0" xfId="0">
      <alignment horizontal="right" vertical="top"/>
    </xf>
    <xf numFmtId="0" fontId="3" fillId="3" borderId="2" applyAlignment="1" pivotButton="0" quotePrefix="0" xfId="0">
      <alignment wrapText="1"/>
    </xf>
    <xf numFmtId="0" fontId="3" fillId="3" borderId="2" pivotButton="0" quotePrefix="0" xfId="0"/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1" xfId="0">
      <alignment horizontal="center" vertical="top"/>
    </xf>
    <xf numFmtId="4" fontId="3" fillId="3" borderId="2" applyAlignment="1" pivotButton="0" quotePrefix="0" xfId="0">
      <alignment horizontal="right" vertical="top"/>
    </xf>
    <xf numFmtId="0" fontId="3" fillId="3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top" wrapText="1"/>
    </xf>
    <xf numFmtId="0" fontId="0" fillId="3" borderId="2" pivotButton="0" quotePrefix="0" xfId="0"/>
    <xf numFmtId="0" fontId="3" fillId="3" borderId="2" applyAlignment="1" pivotButton="0" quotePrefix="0" xfId="0">
      <alignment vertical="top"/>
    </xf>
    <xf numFmtId="0" fontId="0" fillId="0" borderId="2" applyAlignment="1" pivotButton="0" quotePrefix="0" xfId="0">
      <alignment wrapText="1"/>
    </xf>
    <xf numFmtId="39" fontId="3" fillId="3" borderId="2" applyAlignment="1" pivotButton="0" quotePrefix="0" xfId="0">
      <alignment horizontal="right" vertical="top"/>
    </xf>
    <xf numFmtId="0" fontId="0" fillId="3" borderId="2" applyAlignment="1" pivotButton="0" quotePrefix="0" xfId="0">
      <alignment vertical="top" wrapText="1"/>
    </xf>
    <xf numFmtId="0" fontId="2" fillId="0" borderId="8" applyAlignment="1" pivotButton="0" quotePrefix="0" xfId="0">
      <alignment horizontal="center" vertical="top"/>
    </xf>
    <xf numFmtId="0" fontId="3" fillId="0" borderId="8" applyAlignment="1" pivotButton="0" quotePrefix="0" xfId="0">
      <alignment wrapText="1"/>
    </xf>
    <xf numFmtId="0" fontId="3" fillId="2" borderId="7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3" fillId="2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37" fontId="0" fillId="0" borderId="0" applyAlignment="1" pivotButton="0" quotePrefix="0" xfId="0">
      <alignment horizontal="right" vertical="top"/>
    </xf>
    <xf numFmtId="37" fontId="0" fillId="0" borderId="8" applyAlignment="1" pivotButton="0" quotePrefix="0" xfId="0">
      <alignment horizontal="right" vertical="top"/>
    </xf>
    <xf numFmtId="0" fontId="8" fillId="2" borderId="0" pivotButton="0" quotePrefix="0" xfId="0"/>
    <xf numFmtId="0" fontId="3" fillId="2" borderId="0" applyAlignment="1" pivotButton="0" quotePrefix="0" xfId="0">
      <alignment vertical="top"/>
    </xf>
    <xf numFmtId="0" fontId="3" fillId="2" borderId="8" applyAlignment="1" pivotButton="0" quotePrefix="0" xfId="0">
      <alignment horizontal="center" vertical="top" wrapText="1"/>
    </xf>
    <xf numFmtId="0" fontId="8" fillId="2" borderId="8" pivotButton="0" quotePrefix="0" xfId="0"/>
    <xf numFmtId="0" fontId="3" fillId="2" borderId="8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/>
    </xf>
    <xf numFmtId="0" fontId="0" fillId="2" borderId="0" applyAlignment="1" pivotButton="0" quotePrefix="1" xfId="0">
      <alignment horizontal="center" vertical="top"/>
    </xf>
    <xf numFmtId="39" fontId="0" fillId="2" borderId="0" applyAlignment="1" pivotButton="0" quotePrefix="0" xfId="0">
      <alignment horizontal="right" vertical="top"/>
    </xf>
    <xf numFmtId="0" fontId="0" fillId="2" borderId="8" applyAlignment="1" pivotButton="0" quotePrefix="0" xfId="0">
      <alignment horizontal="left" vertical="top"/>
    </xf>
    <xf numFmtId="0" fontId="0" fillId="2" borderId="8" applyAlignment="1" pivotButton="0" quotePrefix="0" xfId="0">
      <alignment vertical="top"/>
    </xf>
    <xf numFmtId="0" fontId="0" fillId="2" borderId="8" applyAlignment="1" pivotButton="0" quotePrefix="0" xfId="0">
      <alignment horizontal="center" vertical="top"/>
    </xf>
    <xf numFmtId="0" fontId="0" fillId="2" borderId="8" applyAlignment="1" pivotButton="0" quotePrefix="1" xfId="0">
      <alignment horizontal="center" vertical="top"/>
    </xf>
    <xf numFmtId="39" fontId="0" fillId="2" borderId="8" applyAlignment="1" pivotButton="0" quotePrefix="0" xfId="0">
      <alignment horizontal="right" vertical="top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1" xfId="0">
      <alignment vertical="top"/>
    </xf>
    <xf numFmtId="0" fontId="5" fillId="0" borderId="0" applyAlignment="1" pivotButton="0" quotePrefix="1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1" xfId="0">
      <alignment horizontal="center" vertical="top"/>
    </xf>
    <xf numFmtId="4" fontId="3" fillId="2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4" fontId="11" fillId="2" borderId="7" applyAlignment="1" pivotButton="0" quotePrefix="0" xfId="0">
      <alignment horizontal="right" vertical="top"/>
    </xf>
    <xf numFmtId="4" fontId="11" fillId="0" borderId="7" pivotButton="0" quotePrefix="0" xfId="0"/>
    <xf numFmtId="4" fontId="11" fillId="0" borderId="0" pivotButton="0" quotePrefix="0" xfId="0"/>
    <xf numFmtId="39" fontId="11" fillId="0" borderId="0" pivotButton="0" quotePrefix="0" xfId="0"/>
    <xf numFmtId="4" fontId="11" fillId="0" borderId="0" pivotButton="0" quotePrefix="0" xfId="0"/>
    <xf numFmtId="0" fontId="11" fillId="2" borderId="0" applyAlignment="1" pivotButton="0" quotePrefix="1" xfId="0">
      <alignment horizontal="center" vertical="top"/>
    </xf>
    <xf numFmtId="4" fontId="11" fillId="2" borderId="0" applyAlignment="1" pivotButton="0" quotePrefix="0" xfId="0">
      <alignment horizontal="right" vertical="top"/>
    </xf>
    <xf numFmtId="39" fontId="11" fillId="2" borderId="7" applyAlignment="1" pivotButton="0" quotePrefix="1" xfId="0">
      <alignment horizontal="center" vertical="top"/>
    </xf>
    <xf numFmtId="4" fontId="11" fillId="2" borderId="12" applyAlignment="1" pivotButton="0" quotePrefix="0" xfId="0">
      <alignment horizontal="right" vertical="top"/>
    </xf>
    <xf numFmtId="0" fontId="12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2" fillId="2" borderId="2" applyAlignment="1" pivotButton="0" quotePrefix="0" xfId="0">
      <alignment vertical="top" wrapText="1"/>
    </xf>
    <xf numFmtId="0" fontId="12" fillId="2" borderId="2" pivotButton="0" quotePrefix="0" xfId="0"/>
    <xf numFmtId="0" fontId="12" fillId="2" borderId="2" applyAlignment="1" pivotButton="0" quotePrefix="0" xfId="0">
      <alignment horizontal="center" vertical="top" wrapText="1"/>
    </xf>
    <xf numFmtId="0" fontId="12" fillId="2" borderId="2" applyAlignment="1" pivotButton="0" quotePrefix="0" xfId="0">
      <alignment horizontal="center" vertical="top"/>
    </xf>
    <xf numFmtId="0" fontId="12" fillId="2" borderId="2" applyAlignment="1" pivotButton="0" quotePrefix="1" xfId="0">
      <alignment horizontal="center" vertical="top"/>
    </xf>
    <xf numFmtId="4" fontId="12" fillId="2" borderId="2" applyAlignment="1" pivotButton="0" quotePrefix="0" xfId="0">
      <alignment horizontal="right" vertical="top"/>
    </xf>
    <xf numFmtId="0" fontId="12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/>
    </xf>
    <xf numFmtId="0" fontId="12" fillId="0" borderId="2" applyAlignment="1" pivotButton="0" quotePrefix="1" xfId="0">
      <alignment horizontal="center" vertical="top"/>
    </xf>
    <xf numFmtId="4" fontId="12" fillId="0" borderId="2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2" applyAlignment="1" pivotButton="0" quotePrefix="0" xfId="0">
      <alignment horizontal="center" vertical="top"/>
    </xf>
    <xf numFmtId="0" fontId="13" fillId="0" borderId="3" applyAlignment="1" pivotButton="0" quotePrefix="0" xfId="0">
      <alignment horizontal="center" vertical="top"/>
    </xf>
    <xf numFmtId="0" fontId="13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/>
    </xf>
    <xf numFmtId="0" fontId="10" fillId="0" borderId="2" applyAlignment="1" pivotButton="0" quotePrefix="1" xfId="0">
      <alignment horizontal="center" vertical="top"/>
    </xf>
    <xf numFmtId="39" fontId="10" fillId="0" borderId="2" applyAlignment="1" pivotButton="0" quotePrefix="0" xfId="0">
      <alignment horizontal="right" vertical="top"/>
    </xf>
    <xf numFmtId="0" fontId="10" fillId="2" borderId="2" applyAlignment="1" pivotButton="0" quotePrefix="0" xfId="0">
      <alignment vertical="top" wrapText="1"/>
    </xf>
    <xf numFmtId="0" fontId="10" fillId="2" borderId="2" applyAlignment="1" pivotButton="0" quotePrefix="0" xfId="0">
      <alignment vertical="top"/>
    </xf>
    <xf numFmtId="0" fontId="10" fillId="2" borderId="2" applyAlignment="1" pivotButton="0" quotePrefix="0" xfId="0">
      <alignment horizontal="center" vertical="top"/>
    </xf>
    <xf numFmtId="0" fontId="10" fillId="2" borderId="2" applyAlignment="1" pivotButton="0" quotePrefix="1" xfId="0">
      <alignment horizontal="center" vertical="top"/>
    </xf>
    <xf numFmtId="39" fontId="10" fillId="2" borderId="2" applyAlignment="1" pivotButton="0" quotePrefix="0" xfId="0">
      <alignment horizontal="right" vertical="top"/>
    </xf>
    <xf numFmtId="37" fontId="10" fillId="2" borderId="2" applyAlignment="1" pivotButton="0" quotePrefix="0" xfId="0">
      <alignment horizontal="right" vertical="top"/>
    </xf>
    <xf numFmtId="0" fontId="1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4" fontId="10" fillId="0" borderId="2" applyAlignment="1" pivotButton="0" quotePrefix="0" xfId="0">
      <alignment horizontal="right" vertical="top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1" xfId="0">
      <alignment horizontal="center" vertical="top"/>
    </xf>
    <xf numFmtId="4" fontId="10" fillId="0" borderId="0" applyAlignment="1" pivotButton="0" quotePrefix="0" xfId="0">
      <alignment horizontal="right" vertical="top"/>
    </xf>
    <xf numFmtId="4" fontId="10" fillId="0" borderId="2" applyAlignment="1" pivotButton="0" quotePrefix="0" xfId="0">
      <alignment vertical="top"/>
    </xf>
    <xf numFmtId="37" fontId="10" fillId="0" borderId="2" applyAlignment="1" pivotButton="0" quotePrefix="0" xfId="0">
      <alignment horizontal="right" vertical="top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1" xfId="0">
      <alignment horizontal="center" vertical="top"/>
    </xf>
    <xf numFmtId="4" fontId="10" fillId="0" borderId="1" applyAlignment="1" pivotButton="0" quotePrefix="0" xfId="0">
      <alignment horizontal="right" vertical="top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0" fillId="0" borderId="15" applyAlignment="1" pivotButton="0" quotePrefix="0" xfId="0">
      <alignment horizontal="center" vertical="top"/>
    </xf>
    <xf numFmtId="0" fontId="10" fillId="0" borderId="15" applyAlignment="1" pivotButton="0" quotePrefix="0" xfId="0">
      <alignment horizontal="left" vertical="top"/>
    </xf>
    <xf numFmtId="0" fontId="10" fillId="0" borderId="15" applyAlignment="1" pivotButton="0" quotePrefix="0" xfId="0">
      <alignment vertical="top" wrapText="1"/>
    </xf>
    <xf numFmtId="0" fontId="10" fillId="0" borderId="15" applyAlignment="1" pivotButton="0" quotePrefix="0" xfId="0">
      <alignment vertical="top"/>
    </xf>
    <xf numFmtId="0" fontId="10" fillId="0" borderId="15" applyAlignment="1" pivotButton="0" quotePrefix="0" xfId="0">
      <alignment horizontal="center" vertical="top" wrapText="1"/>
    </xf>
    <xf numFmtId="0" fontId="10" fillId="0" borderId="15" applyAlignment="1" pivotButton="0" quotePrefix="1" xfId="0">
      <alignment horizontal="center" vertical="top"/>
    </xf>
    <xf numFmtId="4" fontId="10" fillId="0" borderId="15" applyAlignment="1" pivotButton="0" quotePrefix="0" xfId="0">
      <alignment horizontal="right" vertical="top"/>
    </xf>
    <xf numFmtId="0" fontId="10" fillId="0" borderId="16" applyAlignment="1" pivotButton="0" quotePrefix="0" xfId="0">
      <alignment horizontal="center" vertical="top"/>
    </xf>
    <xf numFmtId="0" fontId="10" fillId="0" borderId="16" applyAlignment="1" pivotButton="0" quotePrefix="0" xfId="0">
      <alignment horizontal="left" vertical="top"/>
    </xf>
    <xf numFmtId="0" fontId="10" fillId="0" borderId="16" applyAlignment="1" pivotButton="0" quotePrefix="0" xfId="0">
      <alignment vertical="top" wrapText="1"/>
    </xf>
    <xf numFmtId="0" fontId="10" fillId="0" borderId="16" applyAlignment="1" pivotButton="0" quotePrefix="0" xfId="0">
      <alignment vertical="top"/>
    </xf>
    <xf numFmtId="0" fontId="10" fillId="0" borderId="16" applyAlignment="1" pivotButton="0" quotePrefix="0" xfId="0">
      <alignment horizontal="center" vertical="top" wrapText="1"/>
    </xf>
    <xf numFmtId="0" fontId="10" fillId="0" borderId="16" applyAlignment="1" pivotButton="0" quotePrefix="1" xfId="0">
      <alignment horizontal="center" vertical="top"/>
    </xf>
    <xf numFmtId="4" fontId="10" fillId="0" borderId="16" applyAlignment="1" pivotButton="0" quotePrefix="0" xfId="0">
      <alignment horizontal="right" vertical="top"/>
    </xf>
    <xf numFmtId="0" fontId="13" fillId="0" borderId="3" applyAlignment="1" pivotButton="0" quotePrefix="0" xfId="0">
      <alignment horizontal="center" vertical="top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top"/>
    </xf>
    <xf numFmtId="0" fontId="13" fillId="0" borderId="4" applyAlignment="1" pivotButton="0" quotePrefix="0" xfId="0">
      <alignment horizontal="center" vertical="top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0" pivotButton="0" quotePrefix="0" xfId="0"/>
    <xf numFmtId="0" fontId="16" fillId="0" borderId="0" pivotButton="0" quotePrefix="0" xfId="0"/>
    <xf numFmtId="0" fontId="10" fillId="0" borderId="3" applyAlignment="1" pivotButton="0" quotePrefix="0" xfId="0">
      <alignment horizontal="center" vertical="top"/>
    </xf>
    <xf numFmtId="0" fontId="17" fillId="0" borderId="2" applyAlignment="1" pivotButton="0" quotePrefix="0" xfId="0">
      <alignment vertical="top"/>
    </xf>
    <xf numFmtId="0" fontId="10" fillId="0" borderId="2" pivotButton="0" quotePrefix="0" xfId="0"/>
    <xf numFmtId="0" fontId="10" fillId="0" borderId="2" applyAlignment="1" pivotButton="0" quotePrefix="0" xfId="0">
      <alignment horizontal="center" wrapText="1"/>
    </xf>
    <xf numFmtId="0" fontId="17" fillId="0" borderId="2" pivotButton="0" quotePrefix="0" xfId="0"/>
    <xf numFmtId="0" fontId="10" fillId="0" borderId="2" applyAlignment="1" pivotButton="0" quotePrefix="0" xfId="0">
      <alignment wrapText="1"/>
    </xf>
    <xf numFmtId="0" fontId="13" fillId="0" borderId="0" applyAlignment="1" pivotButton="0" quotePrefix="0" xfId="0">
      <alignment horizontal="left"/>
    </xf>
    <xf numFmtId="0" fontId="10" fillId="2" borderId="2" applyAlignment="1" pivotButton="0" quotePrefix="0" xfId="0">
      <alignment horizontal="center" vertical="top" wrapText="1"/>
    </xf>
    <xf numFmtId="4" fontId="10" fillId="2" borderId="2" applyAlignment="1" pivotButton="0" quotePrefix="0" xfId="0">
      <alignment horizontal="right" vertical="top"/>
    </xf>
    <xf numFmtId="0" fontId="10" fillId="0" borderId="3" applyAlignment="1" pivotButton="0" quotePrefix="0" xfId="0">
      <alignment vertical="top"/>
    </xf>
    <xf numFmtId="37" fontId="10" fillId="0" borderId="2" applyAlignment="1" pivotButton="0" quotePrefix="0" xfId="0">
      <alignment horizontal="center" vertical="top"/>
    </xf>
    <xf numFmtId="0" fontId="10" fillId="0" borderId="2" applyAlignment="1" pivotButton="0" quotePrefix="1" xfId="0">
      <alignment vertical="top" wrapText="1"/>
    </xf>
    <xf numFmtId="0" fontId="10" fillId="0" borderId="2" applyAlignment="1" pivotButton="0" quotePrefix="1" xfId="0">
      <alignment wrapText="1"/>
    </xf>
    <xf numFmtId="0" fontId="10" fillId="2" borderId="2" applyAlignment="1" pivotButton="0" quotePrefix="0" xfId="0">
      <alignment wrapText="1"/>
    </xf>
    <xf numFmtId="0" fontId="10" fillId="2" borderId="2" pivotButton="0" quotePrefix="0" xfId="0"/>
    <xf numFmtId="0" fontId="17" fillId="2" borderId="2" pivotButton="0" quotePrefix="0" xfId="0"/>
    <xf numFmtId="0" fontId="10" fillId="2" borderId="2" applyAlignment="1" pivotButton="0" quotePrefix="1" xfId="0">
      <alignment wrapText="1"/>
    </xf>
    <xf numFmtId="0" fontId="10" fillId="2" borderId="2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center" vertical="top"/>
    </xf>
    <xf numFmtId="0" fontId="10" fillId="0" borderId="7" pivotButton="0" quotePrefix="0" xfId="0"/>
    <xf numFmtId="0" fontId="10" fillId="2" borderId="2" applyAlignment="1" pivotButton="0" quotePrefix="0" xfId="0">
      <alignment horizontal="center"/>
    </xf>
    <xf numFmtId="37" fontId="10" fillId="2" borderId="2" applyAlignment="1" pivotButton="0" quotePrefix="0" xfId="0">
      <alignment vertical="top"/>
    </xf>
    <xf numFmtId="4" fontId="10" fillId="2" borderId="2" applyAlignment="1" pivotButton="0" quotePrefix="0" xfId="0">
      <alignment vertical="top"/>
    </xf>
    <xf numFmtId="0" fontId="10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wrapText="1"/>
    </xf>
    <xf numFmtId="0" fontId="10" fillId="2" borderId="0" pivotButton="0" quotePrefix="0" xfId="0"/>
    <xf numFmtId="0" fontId="10" fillId="2" borderId="0" applyAlignment="1" pivotButton="0" quotePrefix="0" xfId="0">
      <alignment horizontal="center" vertical="top"/>
    </xf>
    <xf numFmtId="0" fontId="10" fillId="2" borderId="0" applyAlignment="1" pivotButton="0" quotePrefix="1" xfId="0">
      <alignment horizontal="center" vertical="top"/>
    </xf>
    <xf numFmtId="4" fontId="10" fillId="2" borderId="0" applyAlignment="1" pivotButton="0" quotePrefix="0" xfId="0">
      <alignment horizontal="right" vertical="top"/>
    </xf>
    <xf numFmtId="0" fontId="10" fillId="0" borderId="8" applyAlignment="1" pivotButton="0" quotePrefix="0" xfId="0">
      <alignment horizontal="center" vertical="top"/>
    </xf>
    <xf numFmtId="0" fontId="10" fillId="2" borderId="8" applyAlignment="1" pivotButton="0" quotePrefix="0" xfId="0">
      <alignment horizontal="left" vertical="top"/>
    </xf>
    <xf numFmtId="0" fontId="10" fillId="2" borderId="8" applyAlignment="1" pivotButton="0" quotePrefix="0" xfId="0">
      <alignment wrapText="1"/>
    </xf>
    <xf numFmtId="0" fontId="10" fillId="2" borderId="8" pivotButton="0" quotePrefix="0" xfId="0"/>
    <xf numFmtId="0" fontId="10" fillId="2" borderId="8" applyAlignment="1" pivotButton="0" quotePrefix="0" xfId="0">
      <alignment horizontal="center" vertical="top"/>
    </xf>
    <xf numFmtId="0" fontId="10" fillId="2" borderId="8" applyAlignment="1" pivotButton="0" quotePrefix="1" xfId="0">
      <alignment horizontal="center" vertical="top"/>
    </xf>
    <xf numFmtId="4" fontId="10" fillId="2" borderId="8" applyAlignment="1" pivotButton="0" quotePrefix="0" xfId="0">
      <alignment horizontal="right" vertical="top"/>
    </xf>
    <xf numFmtId="4" fontId="10" fillId="2" borderId="0" applyAlignment="1" pivotButton="0" quotePrefix="0" xfId="0">
      <alignment horizontal="center" vertical="top"/>
    </xf>
    <xf numFmtId="0" fontId="10" fillId="0" borderId="4" applyAlignment="1" pivotButton="0" quotePrefix="0" xfId="0">
      <alignment horizontal="center" vertical="top"/>
    </xf>
    <xf numFmtId="0" fontId="10" fillId="0" borderId="17" applyAlignment="1" pivotButton="0" quotePrefix="0" xfId="0">
      <alignment vertical="top"/>
    </xf>
    <xf numFmtId="0" fontId="10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left" vertical="top"/>
    </xf>
    <xf numFmtId="0" fontId="10" fillId="3" borderId="2" applyAlignment="1" pivotButton="0" quotePrefix="0" xfId="0">
      <alignment horizontal="center" vertical="top"/>
    </xf>
    <xf numFmtId="0" fontId="10" fillId="3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/>
    </xf>
    <xf numFmtId="0" fontId="10" fillId="3" borderId="2" applyAlignment="1" pivotButton="0" quotePrefix="1" xfId="0">
      <alignment horizontal="center" vertical="top"/>
    </xf>
    <xf numFmtId="39" fontId="10" fillId="3" borderId="2" applyAlignment="1" pivotButton="0" quotePrefix="0" xfId="0">
      <alignment horizontal="right" vertical="top"/>
    </xf>
    <xf numFmtId="0" fontId="10" fillId="3" borderId="2" pivotButton="0" quotePrefix="0" xfId="0"/>
    <xf numFmtId="0" fontId="10" fillId="3" borderId="2" applyAlignment="1" pivotButton="0" quotePrefix="0" xfId="0">
      <alignment horizontal="center" wrapText="1"/>
    </xf>
    <xf numFmtId="0" fontId="10" fillId="3" borderId="2" applyAlignment="1" pivotButton="0" quotePrefix="0" xfId="0">
      <alignment horizontal="center" vertical="top" wrapText="1"/>
    </xf>
    <xf numFmtId="4" fontId="10" fillId="3" borderId="2" applyAlignment="1" pivotButton="0" quotePrefix="0" xfId="0">
      <alignment horizontal="right" vertical="top"/>
    </xf>
    <xf numFmtId="0" fontId="10" fillId="4" borderId="2" applyAlignment="1" pivotButton="0" quotePrefix="0" xfId="0">
      <alignment horizontal="center" vertical="top"/>
    </xf>
    <xf numFmtId="0" fontId="10" fillId="4" borderId="2" applyAlignment="1" pivotButton="0" quotePrefix="1" xfId="0">
      <alignment vertical="top" wrapText="1"/>
    </xf>
    <xf numFmtId="0" fontId="10" fillId="4" borderId="2" pivotButton="0" quotePrefix="0" xfId="0"/>
    <xf numFmtId="0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1" xfId="0">
      <alignment horizontal="center" vertical="top"/>
    </xf>
    <xf numFmtId="4" fontId="10" fillId="4" borderId="2" applyAlignment="1" pivotButton="0" quotePrefix="0" xfId="0">
      <alignment horizontal="right" vertical="top"/>
    </xf>
    <xf numFmtId="0" fontId="10" fillId="4" borderId="2" applyAlignment="1" pivotButton="0" quotePrefix="0" xfId="0">
      <alignment vertical="center"/>
    </xf>
    <xf numFmtId="0" fontId="10" fillId="4" borderId="2" applyAlignment="1" pivotButton="0" quotePrefix="0" xfId="0">
      <alignment wrapText="1"/>
    </xf>
    <xf numFmtId="0" fontId="10" fillId="4" borderId="2" applyAlignment="1" pivotButton="0" quotePrefix="0" xfId="0">
      <alignment vertical="top" wrapText="1"/>
    </xf>
    <xf numFmtId="1" fontId="10" fillId="0" borderId="2" applyAlignment="1" pivotButton="0" quotePrefix="1" xfId="0">
      <alignment horizontal="center" vertical="top"/>
    </xf>
    <xf numFmtId="0" fontId="10" fillId="5" borderId="2" applyAlignment="1" pivotButton="0" quotePrefix="0" xfId="0">
      <alignment horizontal="center" vertical="top"/>
    </xf>
    <xf numFmtId="0" fontId="10" fillId="5" borderId="2" applyAlignment="1" pivotButton="0" quotePrefix="0" xfId="0">
      <alignment vertical="top" wrapText="1"/>
    </xf>
    <xf numFmtId="0" fontId="10" fillId="5" borderId="2" pivotButton="0" quotePrefix="0" xfId="0"/>
    <xf numFmtId="0" fontId="10" fillId="5" borderId="2" applyAlignment="1" pivotButton="0" quotePrefix="1" xfId="0">
      <alignment horizontal="center" vertical="top"/>
    </xf>
    <xf numFmtId="37" fontId="10" fillId="5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/>
    </xf>
    <xf numFmtId="0" fontId="10" fillId="0" borderId="2" pivotButton="0" quotePrefix="0" xfId="0"/>
    <xf numFmtId="0" fontId="10" fillId="0" borderId="2" applyAlignment="1" pivotButton="0" quotePrefix="1" xfId="0">
      <alignment horizontal="center" vertical="top"/>
    </xf>
    <xf numFmtId="0" fontId="10" fillId="0" borderId="2" applyAlignment="1" pivotButton="0" quotePrefix="0" xfId="0">
      <alignment vertical="top" wrapText="1"/>
    </xf>
    <xf numFmtId="0" fontId="10" fillId="3" borderId="2" applyAlignment="1" pivotButton="0" quotePrefix="1" xfId="0">
      <alignment wrapText="1"/>
    </xf>
    <xf numFmtId="37" fontId="10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top"/>
    </xf>
    <xf numFmtId="0" fontId="10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/>
    </xf>
    <xf numFmtId="0" fontId="10" fillId="6" borderId="2" applyAlignment="1" pivotButton="0" quotePrefix="0" xfId="0">
      <alignment horizontal="center" vertical="top" wrapText="1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1" xfId="0">
      <alignment horizontal="center" vertical="top"/>
    </xf>
    <xf numFmtId="39" fontId="10" fillId="6" borderId="2" applyAlignment="1" pivotButton="0" quotePrefix="0" xfId="0">
      <alignment horizontal="right" vertical="top"/>
    </xf>
    <xf numFmtId="0" fontId="10" fillId="3" borderId="2" applyAlignment="1" pivotButton="0" quotePrefix="0" xfId="0">
      <alignment wrapText="1"/>
    </xf>
    <xf numFmtId="0" fontId="12" fillId="3" borderId="2" applyAlignment="1" pivotButton="0" quotePrefix="1" xfId="0">
      <alignment horizontal="center" vertical="top"/>
    </xf>
    <xf numFmtId="4" fontId="12" fillId="3" borderId="2" applyAlignment="1" pivotButton="0" quotePrefix="0" xfId="0">
      <alignment horizontal="right" vertical="top"/>
    </xf>
    <xf numFmtId="0" fontId="10" fillId="7" borderId="2" applyAlignment="1" pivotButton="0" quotePrefix="0" xfId="0">
      <alignment horizontal="center" vertical="top"/>
    </xf>
    <xf numFmtId="0" fontId="10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/>
    </xf>
    <xf numFmtId="0" fontId="10" fillId="7" borderId="2" applyAlignment="1" pivotButton="0" quotePrefix="0" xfId="0">
      <alignment horizontal="center" vertical="top" wrapText="1"/>
    </xf>
    <xf numFmtId="0" fontId="10" fillId="7" borderId="2" applyAlignment="1" pivotButton="0" quotePrefix="1" xfId="0">
      <alignment horizontal="center" vertical="top"/>
    </xf>
    <xf numFmtId="4" fontId="10" fillId="7" borderId="2" applyAlignment="1" pivotButton="0" quotePrefix="0" xfId="0">
      <alignment horizontal="right" vertical="top"/>
    </xf>
    <xf numFmtId="0" fontId="10" fillId="2" borderId="2" applyAlignment="1" pivotButton="0" quotePrefix="0" xfId="0">
      <alignment vertical="center" wrapText="1"/>
    </xf>
    <xf numFmtId="1" fontId="10" fillId="2" borderId="2" applyAlignment="1" pivotButton="0" quotePrefix="1" xfId="0">
      <alignment horizontal="center" vertical="top"/>
    </xf>
    <xf numFmtId="0" fontId="10" fillId="2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top"/>
    </xf>
    <xf numFmtId="0" fontId="10" fillId="6" borderId="2" applyAlignment="1" pivotButton="0" quotePrefix="0" xfId="0">
      <alignment wrapText="1"/>
    </xf>
    <xf numFmtId="0" fontId="10" fillId="6" borderId="2" pivotButton="0" quotePrefix="0" xfId="0"/>
    <xf numFmtId="37" fontId="10" fillId="6" borderId="2" applyAlignment="1" pivotButton="0" quotePrefix="0" xfId="0">
      <alignment horizontal="center" vertical="top"/>
    </xf>
    <xf numFmtId="0" fontId="0" fillId="6" borderId="0" pivotButton="0" quotePrefix="0" xfId="0"/>
    <xf numFmtId="0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top" wrapText="1"/>
    </xf>
    <xf numFmtId="4" fontId="10" fillId="0" borderId="2" applyAlignment="1" pivotButton="0" quotePrefix="0" xfId="0">
      <alignment horizontal="right" vertical="top"/>
    </xf>
    <xf numFmtId="0" fontId="17" fillId="0" borderId="2" pivotButton="0" quotePrefix="0" xfId="0"/>
    <xf numFmtId="0" fontId="10" fillId="0" borderId="2" applyAlignment="1" pivotButton="0" quotePrefix="0" xfId="0">
      <alignment vertical="center" wrapText="1"/>
    </xf>
    <xf numFmtId="0" fontId="10" fillId="8" borderId="2" applyAlignment="1" pivotButton="0" quotePrefix="0" xfId="0">
      <alignment wrapText="1"/>
    </xf>
    <xf numFmtId="0" fontId="10" fillId="8" borderId="2" pivotButton="0" quotePrefix="0" xfId="0"/>
    <xf numFmtId="0" fontId="10" fillId="8" borderId="2" applyAlignment="1" pivotButton="0" quotePrefix="1" xfId="0">
      <alignment horizontal="center" vertical="top"/>
    </xf>
    <xf numFmtId="4" fontId="10" fillId="8" borderId="2" applyAlignment="1" pivotButton="0" quotePrefix="0" xfId="0">
      <alignment horizontal="right" vertical="top"/>
    </xf>
    <xf numFmtId="0" fontId="10" fillId="8" borderId="2" applyAlignment="1" pivotButton="0" quotePrefix="0" xfId="0">
      <alignment vertical="center"/>
    </xf>
    <xf numFmtId="0" fontId="13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2" fillId="0" borderId="5" applyAlignment="1" pivotButton="0" quotePrefix="0" xfId="0">
      <alignment horizontal="left" vertical="top"/>
    </xf>
    <xf numFmtId="0" fontId="12" fillId="0" borderId="6" applyAlignment="1" pivotButton="0" quotePrefix="0" xfId="0">
      <alignment horizontal="left" vertical="top"/>
    </xf>
    <xf numFmtId="0" fontId="12" fillId="2" borderId="5" applyAlignment="1" pivotButton="0" quotePrefix="0" xfId="0">
      <alignment horizontal="left" vertical="top"/>
    </xf>
    <xf numFmtId="0" fontId="12" fillId="2" borderId="6" applyAlignment="1" pivotButton="0" quotePrefix="0" xfId="0">
      <alignment horizontal="left" vertical="top"/>
    </xf>
    <xf numFmtId="0" fontId="13" fillId="0" borderId="3" applyAlignment="1" pivotButton="0" quotePrefix="0" xfId="0">
      <alignment horizontal="center" vertical="top"/>
    </xf>
    <xf numFmtId="0" fontId="13" fillId="0" borderId="4" applyAlignment="1" pivotButton="0" quotePrefix="0" xfId="0">
      <alignment horizontal="center" vertical="top"/>
    </xf>
    <xf numFmtId="0" fontId="13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0" fillId="2" borderId="5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left" vertical="top" wrapText="1"/>
    </xf>
    <xf numFmtId="0" fontId="10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left" vertical="top"/>
    </xf>
    <xf numFmtId="0" fontId="1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0" fontId="13" fillId="0" borderId="2" applyAlignment="1" pivotButton="0" quotePrefix="0" xfId="0">
      <alignment horizont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0" fillId="0" borderId="11" applyAlignment="1" pivotButton="0" quotePrefix="0" xfId="0">
      <alignment horizontal="left" vertical="top"/>
    </xf>
    <xf numFmtId="0" fontId="10" fillId="0" borderId="12" applyAlignment="1" pivotButton="0" quotePrefix="0" xfId="0">
      <alignment horizontal="left" vertical="top"/>
    </xf>
    <xf numFmtId="0" fontId="13" fillId="0" borderId="3" applyAlignment="1" pivotButton="0" quotePrefix="0" xfId="0">
      <alignment horizontal="center"/>
    </xf>
    <xf numFmtId="0" fontId="10" fillId="0" borderId="5" applyAlignment="1" pivotButton="0" quotePrefix="0" xfId="0">
      <alignment vertical="top"/>
    </xf>
    <xf numFmtId="0" fontId="10" fillId="0" borderId="6" applyAlignment="1" pivotButton="0" quotePrefix="0" xfId="0">
      <alignment vertical="top"/>
    </xf>
    <xf numFmtId="0" fontId="10" fillId="6" borderId="5" applyAlignment="1" pivotButton="0" quotePrefix="0" xfId="0">
      <alignment horizontal="left" vertical="top"/>
    </xf>
    <xf numFmtId="0" fontId="10" fillId="6" borderId="6" applyAlignment="1" pivotButton="0" quotePrefix="0" xfId="0">
      <alignment horizontal="left" vertical="top"/>
    </xf>
    <xf numFmtId="0" fontId="10" fillId="3" borderId="5" applyAlignment="1" pivotButton="0" quotePrefix="0" xfId="0">
      <alignment horizontal="left" vertical="top"/>
    </xf>
    <xf numFmtId="0" fontId="10" fillId="3" borderId="6" applyAlignment="1" pivotButton="0" quotePrefix="0" xfId="0">
      <alignment horizontal="left" vertical="top"/>
    </xf>
    <xf numFmtId="0" fontId="16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0" fillId="2" borderId="5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top" wrapText="1"/>
    </xf>
    <xf numFmtId="0" fontId="13" fillId="0" borderId="11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3" fillId="0" borderId="17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0" fillId="0" borderId="17" applyAlignment="1" pivotButton="0" quotePrefix="0" xfId="0">
      <alignment horizontal="left" vertical="top"/>
    </xf>
    <xf numFmtId="0" fontId="10" fillId="0" borderId="0" applyAlignment="1" pivotButton="0" quotePrefix="0" xfId="0">
      <alignment horizontal="center"/>
    </xf>
    <xf numFmtId="0" fontId="10" fillId="3" borderId="17" applyAlignment="1" pivotButton="0" quotePrefix="0" xfId="0">
      <alignment horizontal="left" vertical="top"/>
    </xf>
    <xf numFmtId="0" fontId="10" fillId="4" borderId="5" applyAlignment="1" pivotButton="0" quotePrefix="0" xfId="0">
      <alignment horizontal="left" vertical="top"/>
    </xf>
    <xf numFmtId="0" fontId="10" fillId="4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top"/>
    </xf>
    <xf numFmtId="0" fontId="10" fillId="5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0" fontId="10" fillId="8" borderId="5" applyAlignment="1" pivotButton="0" quotePrefix="0" xfId="0">
      <alignment horizontal="left" vertical="top"/>
    </xf>
    <xf numFmtId="0" fontId="10" fillId="8" borderId="6" applyAlignment="1" pivotButton="0" quotePrefix="0" xfId="0">
      <alignment horizontal="left" vertical="top"/>
    </xf>
    <xf numFmtId="0" fontId="3" fillId="2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top"/>
    </xf>
    <xf numFmtId="0" fontId="2" fillId="0" borderId="5" applyAlignment="1" pivotButton="0" quotePrefix="0" xfId="0">
      <alignment horizontal="center" vertical="top"/>
    </xf>
    <xf numFmtId="0" fontId="2" fillId="0" borderId="6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left" vertical="top"/>
    </xf>
    <xf numFmtId="0" fontId="3" fillId="2" borderId="12" applyAlignment="1" pivotButton="0" quotePrefix="0" xfId="0">
      <alignment horizontal="left" vertical="top"/>
    </xf>
    <xf numFmtId="0" fontId="3" fillId="2" borderId="2" applyAlignment="1" pivotButton="0" quotePrefix="0" xfId="0">
      <alignment horizontal="left" vertical="top" wrapText="1"/>
    </xf>
    <xf numFmtId="0" fontId="3" fillId="3" borderId="5" applyAlignment="1" pivotButton="0" quotePrefix="0" xfId="0">
      <alignment horizontal="left" vertical="top"/>
    </xf>
    <xf numFmtId="0" fontId="3" fillId="3" borderId="6" applyAlignment="1" pivotButton="0" quotePrefix="0" xfId="0">
      <alignment horizontal="left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3" fillId="0" borderId="5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0" fontId="3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2" fillId="0" borderId="11" applyAlignment="1" pivotButton="0" quotePrefix="0" xfId="0">
      <alignment horizontal="center" vertical="top"/>
    </xf>
    <xf numFmtId="0" fontId="2" fillId="0" borderId="12" applyAlignment="1" pivotButton="0" quotePrefix="0" xfId="0">
      <alignment horizontal="center" vertical="top"/>
    </xf>
    <xf numFmtId="0" fontId="3" fillId="2" borderId="2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3" fillId="0" borderId="2" applyAlignment="1" pivotButton="0" quotePrefix="0" xfId="0">
      <alignment horizontal="left" vertical="top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8" fillId="0" borderId="5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/>
    </xf>
    <xf numFmtId="0" fontId="10" fillId="0" borderId="2" applyAlignment="1" pivotButton="0" quotePrefix="1" xfId="0">
      <alignment horizontal="left" vertical="top" wrapText="1"/>
    </xf>
    <xf numFmtId="0" fontId="13" fillId="0" borderId="2" applyAlignment="1" pivotButton="0" quotePrefix="0" xfId="0">
      <alignment horizontal="center" vertical="center"/>
    </xf>
    <xf numFmtId="4" fontId="10" fillId="3" borderId="2" applyAlignment="1" pivotButton="0" quotePrefix="0" xfId="0">
      <alignment vertical="top"/>
    </xf>
    <xf numFmtId="0" fontId="10" fillId="0" borderId="2" applyAlignment="1" pivotButton="0" quotePrefix="0" xfId="0">
      <alignment horizontal="center"/>
    </xf>
    <xf numFmtId="0" fontId="18" fillId="0" borderId="2" applyAlignment="1" pivotButton="0" quotePrefix="1" xfId="0">
      <alignment horizontal="center" vertical="top"/>
    </xf>
    <xf numFmtId="0" fontId="0" fillId="0" borderId="1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/>
    </xf>
    <xf numFmtId="0" fontId="0" fillId="9" borderId="0" pivotButton="0" quotePrefix="0" xfId="0"/>
    <xf numFmtId="0" fontId="1" fillId="9" borderId="2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center"/>
    </xf>
    <xf numFmtId="0" fontId="1" fillId="9" borderId="3" applyAlignment="1" pivotButton="0" quotePrefix="0" xfId="0">
      <alignment horizontal="center"/>
    </xf>
    <xf numFmtId="0" fontId="12" fillId="2" borderId="2" applyAlignment="1" pivotButton="0" quotePrefix="0" xfId="0">
      <alignment horizontal="left" vertical="top"/>
    </xf>
    <xf numFmtId="0" fontId="12" fillId="0" borderId="2" applyAlignment="1" pivotButton="0" quotePrefix="0" xfId="0">
      <alignment horizontal="left" vertical="top"/>
    </xf>
    <xf numFmtId="0" fontId="12" fillId="9" borderId="2" applyAlignment="1" pivotButton="0" quotePrefix="0" xfId="0">
      <alignment horizontal="center" vertical="top"/>
    </xf>
    <xf numFmtId="0" fontId="12" fillId="9" borderId="2" applyAlignment="1" pivotButton="0" quotePrefix="0" xfId="0">
      <alignment horizontal="left" vertical="top"/>
    </xf>
    <xf numFmtId="0" fontId="12" fillId="9" borderId="2" applyAlignment="1" pivotButton="0" quotePrefix="0" xfId="0">
      <alignment vertical="top" wrapText="1"/>
    </xf>
    <xf numFmtId="0" fontId="12" fillId="9" borderId="2" applyAlignment="1" pivotButton="0" quotePrefix="0" xfId="0">
      <alignment vertical="top"/>
    </xf>
    <xf numFmtId="0" fontId="12" fillId="9" borderId="2" applyAlignment="1" pivotButton="0" quotePrefix="1" xfId="0">
      <alignment horizontal="center" vertical="top"/>
    </xf>
    <xf numFmtId="4" fontId="12" fillId="9" borderId="2" applyAlignment="1" pivotButton="0" quotePrefix="0" xfId="0">
      <alignment horizontal="right" vertical="top"/>
    </xf>
    <xf numFmtId="0" fontId="10" fillId="0" borderId="2" applyAlignment="1" pivotButton="0" quotePrefix="0" xfId="0">
      <alignment horizontal="left" vertical="top"/>
    </xf>
    <xf numFmtId="0" fontId="10" fillId="2" borderId="2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10" fillId="6" borderId="2" applyAlignment="1" pivotButton="0" quotePrefix="0" xfId="0">
      <alignment horizontal="left" vertical="top"/>
    </xf>
    <xf numFmtId="0" fontId="10" fillId="3" borderId="2" applyAlignment="1" pivotButton="0" quotePrefix="0" xfId="0">
      <alignment horizontal="left" vertical="top"/>
    </xf>
    <xf numFmtId="0" fontId="10" fillId="2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top"/>
    </xf>
    <xf numFmtId="0" fontId="10" fillId="5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top"/>
    </xf>
    <xf numFmtId="0" fontId="13" fillId="9" borderId="2" applyAlignment="1" pivotButton="0" quotePrefix="0" xfId="0">
      <alignment horizontal="center" vertical="top"/>
    </xf>
    <xf numFmtId="0" fontId="13" fillId="9" borderId="3" applyAlignment="1" pivotButton="0" quotePrefix="0" xfId="0">
      <alignment horizontal="center" vertical="top"/>
    </xf>
    <xf numFmtId="0" fontId="13" fillId="9" borderId="3" applyAlignment="1" pivotButton="0" quotePrefix="0" xfId="0">
      <alignment horizontal="center" vertical="center"/>
    </xf>
    <xf numFmtId="0" fontId="13" fillId="9" borderId="3" applyAlignment="1" pivotButton="0" quotePrefix="0" xfId="0">
      <alignment horizontal="center"/>
    </xf>
    <xf numFmtId="0" fontId="10" fillId="9" borderId="2" applyAlignment="1" pivotButton="0" quotePrefix="0" xfId="0">
      <alignment horizontal="center" vertical="top"/>
    </xf>
    <xf numFmtId="0" fontId="10" fillId="9" borderId="2" applyAlignment="1" pivotButton="0" quotePrefix="0" xfId="0">
      <alignment horizontal="left" vertical="top"/>
    </xf>
    <xf numFmtId="0" fontId="10" fillId="9" borderId="2" applyAlignment="1" pivotButton="0" quotePrefix="0" xfId="0">
      <alignment vertical="top" wrapText="1"/>
    </xf>
    <xf numFmtId="0" fontId="10" fillId="9" borderId="2" pivotButton="0" quotePrefix="0" xfId="0"/>
    <xf numFmtId="0" fontId="10" fillId="9" borderId="2" applyAlignment="1" pivotButton="0" quotePrefix="0" xfId="0">
      <alignment horizontal="center" vertical="top" wrapText="1"/>
    </xf>
    <xf numFmtId="0" fontId="10" fillId="9" borderId="2" applyAlignment="1" pivotButton="0" quotePrefix="1" xfId="0">
      <alignment horizontal="center" vertical="top"/>
    </xf>
    <xf numFmtId="4" fontId="10" fillId="9" borderId="2" applyAlignment="1" pivotButton="0" quotePrefix="0" xfId="0">
      <alignment horizontal="right" vertical="top"/>
    </xf>
    <xf numFmtId="0" fontId="10" fillId="9" borderId="2" applyAlignment="1" pivotButton="0" quotePrefix="1" xfId="0">
      <alignment wrapText="1"/>
    </xf>
    <xf numFmtId="37" fontId="10" fillId="9" borderId="2" applyAlignment="1" pivotButton="0" quotePrefix="0" xfId="0">
      <alignment horizontal="center" vertical="top"/>
    </xf>
    <xf numFmtId="0" fontId="10" fillId="9" borderId="2" applyAlignment="1" pivotButton="0" quotePrefix="0" xfId="0">
      <alignment vertical="top"/>
    </xf>
    <xf numFmtId="0" fontId="13" fillId="9" borderId="1" applyAlignment="1" pivotButton="0" quotePrefix="0" xfId="0">
      <alignment horizontal="center"/>
    </xf>
    <xf numFmtId="0" fontId="13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/>
    </xf>
    <xf numFmtId="0" fontId="13" fillId="9" borderId="4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top"/>
    </xf>
    <xf numFmtId="0" fontId="17" fillId="9" borderId="2" pivotButton="0" quotePrefix="0" xfId="0"/>
    <xf numFmtId="0" fontId="0" fillId="9" borderId="2" applyAlignment="1" pivotButton="0" quotePrefix="0" xfId="0">
      <alignment horizontal="center" vertical="top"/>
    </xf>
    <xf numFmtId="0" fontId="3" fillId="9" borderId="2" applyAlignment="1" pivotButton="0" quotePrefix="0" xfId="0">
      <alignment horizontal="left" vertical="top"/>
    </xf>
    <xf numFmtId="0" fontId="3" fillId="9" borderId="2" applyAlignment="1" pivotButton="0" quotePrefix="0" xfId="0">
      <alignment vertical="top" wrapText="1"/>
    </xf>
    <xf numFmtId="0" fontId="3" fillId="9" borderId="2" pivotButton="0" quotePrefix="0" xfId="0"/>
    <xf numFmtId="0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/>
    </xf>
    <xf numFmtId="0" fontId="3" fillId="9" borderId="2" applyAlignment="1" pivotButton="0" quotePrefix="1" xfId="0">
      <alignment horizontal="center" vertical="top"/>
    </xf>
    <xf numFmtId="4" fontId="3" fillId="9" borderId="2" applyAlignment="1" pivotButton="0" quotePrefix="0" xfId="0">
      <alignment horizontal="right" vertical="top"/>
    </xf>
    <xf numFmtId="0" fontId="8" fillId="9" borderId="2" pivotButton="0" quotePrefix="0" xfId="0"/>
    <xf numFmtId="0" fontId="0" fillId="9" borderId="2" pivotButton="0" quotePrefix="0" xfId="0"/>
    <xf numFmtId="0" fontId="2" fillId="0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3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view="pageBreakPreview" topLeftCell="A58" zoomScaleNormal="55" workbookViewId="0">
      <selection activeCell="U188" sqref="U188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461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461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461" t="inlineStr">
        <is>
          <t>Satuan Kerja</t>
        </is>
      </c>
      <c r="C5" t="inlineStr">
        <is>
          <t>Badan Kesatuan Bangsa dan Politik Kota Banjarmasin</t>
        </is>
      </c>
      <c r="G5" s="1" t="n"/>
    </row>
    <row r="6" ht="18.75" customHeight="1" s="79">
      <c r="A6" s="461" t="inlineStr">
        <is>
          <t>Ruangan</t>
        </is>
      </c>
      <c r="C6" s="88" t="inlineStr">
        <is>
          <t xml:space="preserve">REKAP </t>
        </is>
      </c>
      <c r="G6" s="1" t="n"/>
    </row>
    <row r="8">
      <c r="A8" t="inlineStr">
        <is>
          <t xml:space="preserve">NO.KODE LOKASI : </t>
        </is>
      </c>
    </row>
    <row r="9" ht="24.75" customHeight="1" s="79">
      <c r="A9" s="462" t="inlineStr">
        <is>
          <t>No.</t>
        </is>
      </c>
      <c r="B9" s="462" t="inlineStr">
        <is>
          <t>Nama Barang</t>
        </is>
      </c>
      <c r="C9" s="589" t="n"/>
      <c r="D9" s="462" t="inlineStr">
        <is>
          <t>Merk/</t>
        </is>
      </c>
      <c r="E9" s="462" t="inlineStr">
        <is>
          <t>No. Seri</t>
        </is>
      </c>
      <c r="F9" s="590" t="inlineStr">
        <is>
          <t>Ukuran</t>
        </is>
      </c>
      <c r="G9" s="590" t="inlineStr">
        <is>
          <t>Bahan</t>
        </is>
      </c>
      <c r="H9" s="462" t="inlineStr">
        <is>
          <t xml:space="preserve">Tahun </t>
        </is>
      </c>
      <c r="I9" s="462" t="inlineStr">
        <is>
          <t xml:space="preserve">No/. Kode Barang </t>
        </is>
      </c>
      <c r="J9" s="462" t="inlineStr">
        <is>
          <t xml:space="preserve">Jumlah </t>
        </is>
      </c>
      <c r="K9" s="462" t="inlineStr">
        <is>
          <t xml:space="preserve">Harga </t>
        </is>
      </c>
      <c r="L9" s="460" t="inlineStr">
        <is>
          <t xml:space="preserve">Keadaan Barang </t>
        </is>
      </c>
      <c r="M9" s="591" t="n"/>
      <c r="N9" s="592" t="n"/>
      <c r="O9" s="462" t="inlineStr">
        <is>
          <t>Keterangan</t>
        </is>
      </c>
    </row>
    <row r="10">
      <c r="A10" s="454" t="inlineStr">
        <is>
          <t>Urut</t>
        </is>
      </c>
      <c r="B10" s="454" t="inlineStr">
        <is>
          <t>Jenis Barang</t>
        </is>
      </c>
      <c r="C10" s="593" t="n"/>
      <c r="D10" s="454" t="inlineStr">
        <is>
          <t>Model</t>
        </is>
      </c>
      <c r="E10" s="454" t="inlineStr">
        <is>
          <t>Pabrik</t>
        </is>
      </c>
      <c r="F10" s="594" t="n"/>
      <c r="G10" s="594" t="n"/>
      <c r="H10" s="2" t="inlineStr">
        <is>
          <t>Pembuatan</t>
        </is>
      </c>
      <c r="I10" s="2" t="n"/>
      <c r="J10" s="2" t="inlineStr">
        <is>
          <t>Barang</t>
        </is>
      </c>
      <c r="K10" s="2" t="inlineStr">
        <is>
          <t>Beli/</t>
        </is>
      </c>
      <c r="L10" s="2" t="inlineStr">
        <is>
          <t>Baik</t>
        </is>
      </c>
      <c r="M10" s="2" t="inlineStr">
        <is>
          <t>Kurang Baik</t>
        </is>
      </c>
      <c r="N10" s="2" t="inlineStr">
        <is>
          <t>Rusak Berat</t>
        </is>
      </c>
      <c r="O10" s="454" t="inlineStr">
        <is>
          <t>Keterangan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3" t="inlineStr">
        <is>
          <t>Atau Pembelian</t>
        </is>
      </c>
      <c r="I11" s="3" t="n"/>
      <c r="J11" s="3" t="inlineStr">
        <is>
          <t>Register x)</t>
        </is>
      </c>
      <c r="K11" s="3" t="inlineStr">
        <is>
          <t>Perolehan</t>
        </is>
      </c>
      <c r="L11" s="3" t="inlineStr">
        <is>
          <t>(B)</t>
        </is>
      </c>
      <c r="M11" s="3" t="inlineStr">
        <is>
          <t>(KB)</t>
        </is>
      </c>
      <c r="N11" s="3" t="inlineStr">
        <is>
          <t>(RB)</t>
        </is>
      </c>
      <c r="O11" s="595" t="n"/>
    </row>
    <row r="12">
      <c r="A12" s="453" t="n">
        <v>1</v>
      </c>
      <c r="B12" s="7" t="n">
        <v>2</v>
      </c>
      <c r="C12" s="592" t="n"/>
      <c r="D12" s="453" t="n">
        <v>3</v>
      </c>
      <c r="E12" s="453" t="n">
        <v>4</v>
      </c>
      <c r="F12" s="458" t="n">
        <v>5</v>
      </c>
      <c r="G12" s="458" t="n">
        <v>6</v>
      </c>
      <c r="H12" s="2" t="n">
        <v>7</v>
      </c>
      <c r="I12" s="2" t="n">
        <v>8</v>
      </c>
      <c r="J12" s="2" t="n">
        <v>9</v>
      </c>
      <c r="K12" s="2" t="n">
        <v>10</v>
      </c>
      <c r="L12" s="2" t="n">
        <v>11</v>
      </c>
      <c r="M12" s="2" t="n">
        <v>12</v>
      </c>
      <c r="N12" s="2" t="n">
        <v>13</v>
      </c>
      <c r="O12" s="453" t="n">
        <v>14</v>
      </c>
    </row>
    <row r="13" ht="31.5" customHeight="1" s="79">
      <c r="A13" s="453" t="n">
        <v>1</v>
      </c>
      <c r="B13" s="567" t="inlineStr">
        <is>
          <t>Lemari Besi</t>
        </is>
      </c>
      <c r="C13" s="592" t="n"/>
      <c r="D13" s="26" t="inlineStr">
        <is>
          <t>BROTHER / -</t>
        </is>
      </c>
      <c r="E13" s="12" t="n"/>
      <c r="F13" s="12" t="n"/>
      <c r="G13" s="9" t="inlineStr">
        <is>
          <t>Besi</t>
        </is>
      </c>
      <c r="H13" s="9" t="n">
        <v>2008</v>
      </c>
      <c r="I13" s="9" t="inlineStr">
        <is>
          <t>02.06.01.04.001</t>
        </is>
      </c>
      <c r="J13" s="11" t="inlineStr">
        <is>
          <t>0008</t>
        </is>
      </c>
      <c r="K13" s="20" t="n">
        <v>1730000</v>
      </c>
      <c r="L13" s="9" t="inlineStr">
        <is>
          <t>Baik</t>
        </is>
      </c>
      <c r="M13" s="12" t="n"/>
      <c r="N13" s="12" t="n"/>
      <c r="O13" s="10" t="inlineStr">
        <is>
          <t>Ruang Sekretariat</t>
        </is>
      </c>
    </row>
    <row r="14" ht="31.5" customHeight="1" s="79">
      <c r="A14" s="453">
        <f>A13+1</f>
        <v/>
      </c>
      <c r="B14" s="567" t="inlineStr">
        <is>
          <t>Lemari Besi</t>
        </is>
      </c>
      <c r="C14" s="592" t="n"/>
      <c r="D14" s="26" t="inlineStr">
        <is>
          <t>LION / L 33 Swing Door</t>
        </is>
      </c>
      <c r="E14" s="12" t="n"/>
      <c r="F14" s="12" t="n"/>
      <c r="G14" s="9" t="inlineStr">
        <is>
          <t>Besi</t>
        </is>
      </c>
      <c r="H14" s="9" t="n">
        <v>2013</v>
      </c>
      <c r="I14" s="9" t="inlineStr">
        <is>
          <t>02.06.01.04.001</t>
        </is>
      </c>
      <c r="J14" s="11" t="inlineStr">
        <is>
          <t>0014</t>
        </is>
      </c>
      <c r="K14" s="20" t="n">
        <v>2820699</v>
      </c>
      <c r="L14" s="9" t="inlineStr">
        <is>
          <t>Baik</t>
        </is>
      </c>
      <c r="M14" s="12" t="n"/>
      <c r="N14" s="12" t="n"/>
      <c r="O14" s="10" t="inlineStr">
        <is>
          <t>Ruang Sekretariat</t>
        </is>
      </c>
    </row>
    <row r="15" ht="31.5" customHeight="1" s="79">
      <c r="A15" s="453">
        <f>A14+1</f>
        <v/>
      </c>
      <c r="B15" s="567" t="inlineStr">
        <is>
          <t>Lemari Besi</t>
        </is>
      </c>
      <c r="C15" s="592" t="n"/>
      <c r="D15" s="26" t="inlineStr">
        <is>
          <t>Brother / B-203</t>
        </is>
      </c>
      <c r="E15" s="12" t="n"/>
      <c r="F15" s="12" t="n"/>
      <c r="G15" s="9" t="inlineStr">
        <is>
          <t>Besi</t>
        </is>
      </c>
      <c r="H15" s="9" t="n">
        <v>2014</v>
      </c>
      <c r="I15" s="9" t="inlineStr">
        <is>
          <t>02.06.01.04.001</t>
        </is>
      </c>
      <c r="J15" s="11" t="inlineStr">
        <is>
          <t>0016</t>
        </is>
      </c>
      <c r="K15" s="20" t="n">
        <v>3669674</v>
      </c>
      <c r="L15" s="9" t="inlineStr">
        <is>
          <t>Baik</t>
        </is>
      </c>
      <c r="M15" s="12" t="n"/>
      <c r="N15" s="12" t="n"/>
      <c r="O15" s="10" t="inlineStr">
        <is>
          <t>Ruang Sekretariat</t>
        </is>
      </c>
    </row>
    <row r="16" ht="31.5" customHeight="1" s="79">
      <c r="A16" s="453">
        <f>A15+1</f>
        <v/>
      </c>
      <c r="B16" s="567" t="inlineStr">
        <is>
          <t>Filling Besi / Metal</t>
        </is>
      </c>
      <c r="C16" s="592" t="n"/>
      <c r="D16" s="26" t="inlineStr">
        <is>
          <t>BROTHER / -</t>
        </is>
      </c>
      <c r="E16" s="12" t="n"/>
      <c r="F16" s="12" t="n"/>
      <c r="G16" s="30" t="inlineStr">
        <is>
          <t>Besi</t>
        </is>
      </c>
      <c r="H16" s="9" t="n">
        <v>2006</v>
      </c>
      <c r="I16" s="9" t="inlineStr">
        <is>
          <t>02.06.01.04.004</t>
        </is>
      </c>
      <c r="J16" s="11" t="inlineStr">
        <is>
          <t>0002</t>
        </is>
      </c>
      <c r="K16" s="20" t="n">
        <v>1220000</v>
      </c>
      <c r="L16" s="9" t="inlineStr">
        <is>
          <t>Baik</t>
        </is>
      </c>
      <c r="M16" s="31" t="inlineStr">
        <is>
          <t>Di KIB Kurang Baik</t>
        </is>
      </c>
      <c r="N16" s="12" t="n"/>
      <c r="O16" s="10" t="inlineStr">
        <is>
          <t>Ruang Sekretariat</t>
        </is>
      </c>
    </row>
    <row r="17" ht="31.5" customHeight="1" s="79">
      <c r="A17" s="453">
        <f>A16+1</f>
        <v/>
      </c>
      <c r="B17" s="567" t="inlineStr">
        <is>
          <t>Filling Besi / Metal</t>
        </is>
      </c>
      <c r="C17" s="592" t="n"/>
      <c r="D17" s="26" t="inlineStr">
        <is>
          <t>BROTHER / -</t>
        </is>
      </c>
      <c r="E17" s="12" t="n"/>
      <c r="F17" s="12" t="n"/>
      <c r="G17" s="30" t="inlineStr">
        <is>
          <t>Besi</t>
        </is>
      </c>
      <c r="H17" s="9" t="n">
        <v>2008</v>
      </c>
      <c r="I17" s="9" t="inlineStr">
        <is>
          <t>02.06.01.04.004</t>
        </is>
      </c>
      <c r="J17" s="11" t="inlineStr">
        <is>
          <t>0003</t>
        </is>
      </c>
      <c r="K17" s="20" t="n">
        <v>1220000</v>
      </c>
      <c r="L17" s="9" t="inlineStr">
        <is>
          <t>Baik</t>
        </is>
      </c>
      <c r="M17" s="12" t="n"/>
      <c r="N17" s="12" t="n"/>
      <c r="O17" s="10" t="inlineStr">
        <is>
          <t>Ruang Sekretariat</t>
        </is>
      </c>
    </row>
    <row r="18" ht="31.5" customHeight="1" s="79">
      <c r="A18" s="453">
        <f>A17+1</f>
        <v/>
      </c>
      <c r="B18" s="567" t="inlineStr">
        <is>
          <t>Filling Besi / Metal</t>
        </is>
      </c>
      <c r="C18" s="592" t="n"/>
      <c r="D18" s="26" t="inlineStr">
        <is>
          <t>Secure Line / -</t>
        </is>
      </c>
      <c r="E18" s="12" t="n"/>
      <c r="F18" s="12" t="n"/>
      <c r="G18" s="30" t="inlineStr">
        <is>
          <t>Besi</t>
        </is>
      </c>
      <c r="H18" s="9" t="n">
        <v>2013</v>
      </c>
      <c r="I18" s="9" t="inlineStr">
        <is>
          <t>02.06.01.04.004</t>
        </is>
      </c>
      <c r="J18" s="11" t="inlineStr">
        <is>
          <t>0007</t>
        </is>
      </c>
      <c r="K18" s="20" t="n">
        <v>2880334</v>
      </c>
      <c r="L18" s="9" t="inlineStr">
        <is>
          <t>Baik</t>
        </is>
      </c>
      <c r="M18" s="12" t="n"/>
      <c r="N18" s="12" t="n"/>
      <c r="O18" s="10" t="inlineStr">
        <is>
          <t>Ruang Sekretariat</t>
        </is>
      </c>
    </row>
    <row r="19" ht="31.5" customHeight="1" s="79">
      <c r="A19" s="453">
        <f>A18+1</f>
        <v/>
      </c>
      <c r="B19" s="567" t="inlineStr">
        <is>
          <t>Filling Besi / Metal</t>
        </is>
      </c>
      <c r="C19" s="592" t="n"/>
      <c r="D19" s="26" t="inlineStr">
        <is>
          <t>BROTHER / BS - 102</t>
        </is>
      </c>
      <c r="E19" s="12" t="n"/>
      <c r="F19" s="12" t="n"/>
      <c r="G19" s="30" t="inlineStr">
        <is>
          <t>Besi</t>
        </is>
      </c>
      <c r="H19" s="9" t="n">
        <v>2014</v>
      </c>
      <c r="I19" s="9" t="inlineStr">
        <is>
          <t>02.06.01.04.004</t>
        </is>
      </c>
      <c r="J19" s="11" t="inlineStr">
        <is>
          <t>0010</t>
        </is>
      </c>
      <c r="K19" s="20" t="n">
        <v>3292653</v>
      </c>
      <c r="L19" s="9" t="inlineStr">
        <is>
          <t>Baik</t>
        </is>
      </c>
      <c r="M19" s="12" t="n"/>
      <c r="N19" s="12" t="n"/>
      <c r="O19" s="10" t="inlineStr">
        <is>
          <t>Ruang Sekretariat</t>
        </is>
      </c>
    </row>
    <row r="20" ht="31.5" customHeight="1" s="79">
      <c r="A20" s="453">
        <f>A19+1</f>
        <v/>
      </c>
      <c r="B20" s="567" t="inlineStr">
        <is>
          <t>Filling Besi / Metal</t>
        </is>
      </c>
      <c r="C20" s="592" t="n"/>
      <c r="D20" s="26" t="inlineStr">
        <is>
          <t>BROTHER / BS - 102</t>
        </is>
      </c>
      <c r="E20" s="12" t="n"/>
      <c r="F20" s="12" t="n"/>
      <c r="G20" s="30" t="inlineStr">
        <is>
          <t>Besi</t>
        </is>
      </c>
      <c r="H20" s="9" t="n">
        <v>2014</v>
      </c>
      <c r="I20" s="9" t="inlineStr">
        <is>
          <t>02.06.01.04.004</t>
        </is>
      </c>
      <c r="J20" s="11" t="inlineStr">
        <is>
          <t>0013</t>
        </is>
      </c>
      <c r="K20" s="20" t="n">
        <v>3292652</v>
      </c>
      <c r="L20" s="9" t="inlineStr">
        <is>
          <t>Baik</t>
        </is>
      </c>
      <c r="M20" s="12" t="n"/>
      <c r="N20" s="12" t="n"/>
      <c r="O20" s="10" t="inlineStr">
        <is>
          <t>Ruang Sekretariat</t>
        </is>
      </c>
    </row>
    <row r="21" ht="47.25" customHeight="1" s="79">
      <c r="A21" s="453">
        <f>A20+1</f>
        <v/>
      </c>
      <c r="B21" s="567" t="inlineStr">
        <is>
          <t>Kursi Putar</t>
        </is>
      </c>
      <c r="C21" s="592" t="n"/>
      <c r="D21" s="26" t="inlineStr">
        <is>
          <t>USHUTO / Kursi Kerja 6033</t>
        </is>
      </c>
      <c r="E21" s="12" t="n"/>
      <c r="F21" s="12" t="n"/>
      <c r="G21" s="30" t="inlineStr">
        <is>
          <t>Besi Plastik</t>
        </is>
      </c>
      <c r="H21" s="9" t="n">
        <v>2013</v>
      </c>
      <c r="I21" s="9" t="inlineStr">
        <is>
          <t>02.06.02.01.030</t>
        </is>
      </c>
      <c r="J21" s="11" t="inlineStr">
        <is>
          <t>0025</t>
        </is>
      </c>
      <c r="K21" s="20" t="n">
        <v>486971.68</v>
      </c>
      <c r="L21" s="9" t="inlineStr">
        <is>
          <t>Baik</t>
        </is>
      </c>
      <c r="M21" s="12" t="n"/>
      <c r="N21" s="4" t="n"/>
      <c r="O21" s="10" t="inlineStr">
        <is>
          <t>Ruang Sekretariat</t>
        </is>
      </c>
    </row>
    <row r="22" ht="47.25" customHeight="1" s="79">
      <c r="A22" s="453">
        <f>A21+1</f>
        <v/>
      </c>
      <c r="B22" s="567" t="inlineStr">
        <is>
          <t>Kursi Putar</t>
        </is>
      </c>
      <c r="C22" s="592" t="n"/>
      <c r="D22" s="26" t="inlineStr">
        <is>
          <t>USHUTO / Kursi Kerja 6033</t>
        </is>
      </c>
      <c r="E22" s="12" t="n"/>
      <c r="F22" s="12" t="n"/>
      <c r="G22" s="30" t="inlineStr">
        <is>
          <t>Besi Plastik</t>
        </is>
      </c>
      <c r="H22" s="9" t="n">
        <v>2013</v>
      </c>
      <c r="I22" s="9" t="inlineStr">
        <is>
          <t>02.06.02.01.030</t>
        </is>
      </c>
      <c r="J22" s="11" t="inlineStr">
        <is>
          <t>0027</t>
        </is>
      </c>
      <c r="K22" s="20" t="n">
        <v>486971.68</v>
      </c>
      <c r="L22" s="9" t="inlineStr">
        <is>
          <t>Baik</t>
        </is>
      </c>
      <c r="M22" s="12" t="n"/>
      <c r="N22" s="4" t="n"/>
      <c r="O22" s="26" t="inlineStr">
        <is>
          <t xml:space="preserve">Ruang Sekretariat </t>
        </is>
      </c>
    </row>
    <row r="23" ht="31.5" customHeight="1" s="79">
      <c r="A23" s="453">
        <f>A22+1</f>
        <v/>
      </c>
      <c r="B23" s="567" t="inlineStr">
        <is>
          <t>Kursi Putar</t>
        </is>
      </c>
      <c r="C23" s="592" t="n"/>
      <c r="D23" s="26" t="inlineStr">
        <is>
          <t>Indachi/         D 920</t>
        </is>
      </c>
      <c r="E23" s="32" t="n"/>
      <c r="F23" s="32" t="n"/>
      <c r="G23" s="9" t="inlineStr">
        <is>
          <t>Besi Plastik</t>
        </is>
      </c>
      <c r="H23" s="9" t="n">
        <v>2014</v>
      </c>
      <c r="I23" s="9" t="inlineStr">
        <is>
          <t>02.06.02.01.030</t>
        </is>
      </c>
      <c r="J23" s="11" t="inlineStr">
        <is>
          <t>0031</t>
        </is>
      </c>
      <c r="K23" s="20" t="n">
        <v>794180</v>
      </c>
      <c r="L23" s="9" t="inlineStr">
        <is>
          <t>Baik</t>
        </is>
      </c>
      <c r="M23" s="109" t="n"/>
      <c r="N23" s="32" t="n"/>
      <c r="O23" s="26" t="inlineStr">
        <is>
          <t>Ruang Kaban</t>
        </is>
      </c>
    </row>
    <row r="24" ht="31.5" customHeight="1" s="79">
      <c r="A24" s="453">
        <f>A23+1</f>
        <v/>
      </c>
      <c r="B24" s="567" t="inlineStr">
        <is>
          <t>Kursi Putar</t>
        </is>
      </c>
      <c r="C24" s="592" t="n"/>
      <c r="D24" s="26" t="inlineStr">
        <is>
          <t>Indachi / D 920</t>
        </is>
      </c>
      <c r="E24" s="12" t="n"/>
      <c r="F24" s="12" t="n"/>
      <c r="G24" s="30" t="inlineStr">
        <is>
          <t>Besi Plastik</t>
        </is>
      </c>
      <c r="H24" s="9" t="n">
        <v>2014</v>
      </c>
      <c r="I24" s="9" t="inlineStr">
        <is>
          <t>02.06.02.01.030</t>
        </is>
      </c>
      <c r="J24" s="11" t="inlineStr">
        <is>
          <t>0032</t>
        </is>
      </c>
      <c r="K24" s="20" t="n">
        <v>794180</v>
      </c>
      <c r="L24" s="9" t="inlineStr">
        <is>
          <t>Baik</t>
        </is>
      </c>
      <c r="M24" s="12" t="n"/>
      <c r="N24" s="4" t="n"/>
      <c r="O24" s="10" t="inlineStr">
        <is>
          <t xml:space="preserve">Ruang Sekretariat </t>
        </is>
      </c>
    </row>
    <row r="25" ht="31.5" customHeight="1" s="79">
      <c r="A25" s="453">
        <f>A24+1</f>
        <v/>
      </c>
      <c r="B25" s="567" t="inlineStr">
        <is>
          <t>Kursi Putar</t>
        </is>
      </c>
      <c r="C25" s="592" t="n"/>
      <c r="D25" s="26" t="inlineStr">
        <is>
          <t>Indachi / D 920</t>
        </is>
      </c>
      <c r="E25" s="12" t="n"/>
      <c r="F25" s="12" t="n"/>
      <c r="G25" s="30" t="inlineStr">
        <is>
          <t>Besi Plastik</t>
        </is>
      </c>
      <c r="H25" s="9" t="n">
        <v>2014</v>
      </c>
      <c r="I25" s="9" t="inlineStr">
        <is>
          <t>02.06.02.01.030</t>
        </is>
      </c>
      <c r="J25" s="11" t="inlineStr">
        <is>
          <t>0033</t>
        </is>
      </c>
      <c r="K25" s="20" t="n">
        <v>794180</v>
      </c>
      <c r="L25" s="9" t="inlineStr">
        <is>
          <t>Baik</t>
        </is>
      </c>
      <c r="M25" s="12" t="n"/>
      <c r="N25" s="4" t="n"/>
      <c r="O25" s="10" t="inlineStr">
        <is>
          <t>Ruang Sekretariat</t>
        </is>
      </c>
    </row>
    <row r="26" ht="31.5" customHeight="1" s="79">
      <c r="A26" s="453">
        <f>A25+1</f>
        <v/>
      </c>
      <c r="B26" s="567" t="inlineStr">
        <is>
          <t>Kursi Putar</t>
        </is>
      </c>
      <c r="C26" s="592" t="n"/>
      <c r="D26" s="26" t="inlineStr">
        <is>
          <t>Indachi/         D 920</t>
        </is>
      </c>
      <c r="E26" s="32" t="n"/>
      <c r="F26" s="32" t="n"/>
      <c r="G26" s="9" t="inlineStr">
        <is>
          <t>Besi Plastik</t>
        </is>
      </c>
      <c r="H26" s="9" t="n">
        <v>2014</v>
      </c>
      <c r="I26" s="9" t="inlineStr">
        <is>
          <t>02.06.02.01.030</t>
        </is>
      </c>
      <c r="J26" s="11" t="inlineStr">
        <is>
          <t>0038</t>
        </is>
      </c>
      <c r="K26" s="20" t="n">
        <v>794180</v>
      </c>
      <c r="L26" s="9" t="inlineStr">
        <is>
          <t>Baik</t>
        </is>
      </c>
      <c r="M26" s="109" t="n"/>
      <c r="N26" s="27" t="n"/>
      <c r="O26" s="26" t="inlineStr">
        <is>
          <t>Ruang Kaban</t>
        </is>
      </c>
    </row>
    <row r="27" ht="31.5" customHeight="1" s="79">
      <c r="A27" s="453">
        <f>A26+1</f>
        <v/>
      </c>
      <c r="B27" s="567" t="inlineStr">
        <is>
          <t>Kursi Putar</t>
        </is>
      </c>
      <c r="C27" s="592" t="n"/>
      <c r="D27" s="26" t="inlineStr">
        <is>
          <t>Indachi / D 920</t>
        </is>
      </c>
      <c r="E27" s="12" t="n"/>
      <c r="F27" s="12" t="n"/>
      <c r="G27" s="30" t="inlineStr">
        <is>
          <t>Besi Plastik</t>
        </is>
      </c>
      <c r="H27" s="9" t="n">
        <v>2014</v>
      </c>
      <c r="I27" s="9" t="inlineStr">
        <is>
          <t>02.06.02.01.030</t>
        </is>
      </c>
      <c r="J27" s="11" t="inlineStr">
        <is>
          <t>0041</t>
        </is>
      </c>
      <c r="K27" s="20" t="n">
        <v>794180</v>
      </c>
      <c r="L27" s="9" t="inlineStr">
        <is>
          <t>Baik</t>
        </is>
      </c>
      <c r="M27" s="12" t="n"/>
      <c r="N27" s="4" t="n"/>
      <c r="O27" s="10" t="inlineStr">
        <is>
          <t>Ruang Sekretariat</t>
        </is>
      </c>
    </row>
    <row r="28" ht="33" customHeight="1" s="79">
      <c r="A28" s="453">
        <f>A27+1</f>
        <v/>
      </c>
      <c r="B28" s="567" t="inlineStr">
        <is>
          <t>Kursi Rapat</t>
        </is>
      </c>
      <c r="C28" s="592" t="n"/>
      <c r="D28" s="26" t="inlineStr">
        <is>
          <t>Chitose / Warna Biru</t>
        </is>
      </c>
      <c r="E28" s="12" t="n"/>
      <c r="F28" s="12" t="n"/>
      <c r="G28" s="30" t="inlineStr">
        <is>
          <t>Besi</t>
        </is>
      </c>
      <c r="H28" s="9" t="n">
        <v>2009</v>
      </c>
      <c r="I28" s="9" t="inlineStr">
        <is>
          <t>02.06.02.01.027</t>
        </is>
      </c>
      <c r="J28" s="11" t="inlineStr">
        <is>
          <t>0002</t>
        </is>
      </c>
      <c r="K28" s="20" t="n">
        <v>350000</v>
      </c>
      <c r="L28" s="9" t="inlineStr">
        <is>
          <t>Baik</t>
        </is>
      </c>
      <c r="M28" s="12" t="n"/>
      <c r="N28" s="4" t="n"/>
      <c r="O28" s="10" t="inlineStr">
        <is>
          <t xml:space="preserve">Ruang Sekretariat </t>
        </is>
      </c>
    </row>
    <row r="29" ht="33" customHeight="1" s="79">
      <c r="A29" s="453">
        <f>A28+1</f>
        <v/>
      </c>
      <c r="B29" s="567" t="inlineStr">
        <is>
          <t>Kursi Rapat</t>
        </is>
      </c>
      <c r="C29" s="592" t="n"/>
      <c r="D29" s="26" t="inlineStr">
        <is>
          <t>Chitose / Warna Biru</t>
        </is>
      </c>
      <c r="E29" s="12" t="n"/>
      <c r="F29" s="12" t="n"/>
      <c r="G29" s="30" t="inlineStr">
        <is>
          <t>Besi</t>
        </is>
      </c>
      <c r="H29" s="9" t="n">
        <v>2009</v>
      </c>
      <c r="I29" s="9" t="inlineStr">
        <is>
          <t>02.06.02.01.027</t>
        </is>
      </c>
      <c r="J29" s="11" t="inlineStr">
        <is>
          <t>0004</t>
        </is>
      </c>
      <c r="K29" s="20" t="n">
        <v>350000</v>
      </c>
      <c r="L29" s="9" t="inlineStr">
        <is>
          <t>Baik</t>
        </is>
      </c>
      <c r="M29" s="12" t="n"/>
      <c r="N29" s="4" t="n"/>
      <c r="O29" s="10" t="inlineStr">
        <is>
          <t xml:space="preserve">Ruang Sekretariat </t>
        </is>
      </c>
    </row>
    <row r="30" ht="33" customHeight="1" s="79">
      <c r="A30" s="453">
        <f>A29+1</f>
        <v/>
      </c>
      <c r="B30" s="567" t="inlineStr">
        <is>
          <t>Kursi Rapat</t>
        </is>
      </c>
      <c r="C30" s="592" t="n"/>
      <c r="D30" s="26" t="inlineStr">
        <is>
          <t>Chitose / Warna Biru</t>
        </is>
      </c>
      <c r="E30" s="12" t="n"/>
      <c r="F30" s="12" t="n"/>
      <c r="G30" s="30" t="inlineStr">
        <is>
          <t>Besi</t>
        </is>
      </c>
      <c r="H30" s="9" t="n">
        <v>2009</v>
      </c>
      <c r="I30" s="9" t="inlineStr">
        <is>
          <t>02.06.02.01.027</t>
        </is>
      </c>
      <c r="J30" s="11" t="inlineStr">
        <is>
          <t>0005</t>
        </is>
      </c>
      <c r="K30" s="20" t="n">
        <v>350000</v>
      </c>
      <c r="L30" s="9" t="inlineStr">
        <is>
          <t>Baik</t>
        </is>
      </c>
      <c r="M30" s="12" t="n"/>
      <c r="N30" s="4" t="n"/>
      <c r="O30" s="10" t="inlineStr">
        <is>
          <t>Ruang Sekretariat</t>
        </is>
      </c>
    </row>
    <row r="31" ht="28.5" customHeight="1" s="79">
      <c r="A31" s="453">
        <f>A30+1</f>
        <v/>
      </c>
      <c r="B31" s="567" t="inlineStr">
        <is>
          <t>Kursi Lipat</t>
        </is>
      </c>
      <c r="C31" s="592" t="n"/>
      <c r="D31" s="26" t="inlineStr">
        <is>
          <t>MATRIX / -</t>
        </is>
      </c>
      <c r="E31" s="27" t="n"/>
      <c r="F31" s="27" t="n"/>
      <c r="G31" s="9" t="n"/>
      <c r="H31" s="7" t="n">
        <v>2018</v>
      </c>
      <c r="I31" s="9" t="inlineStr">
        <is>
          <t>02.06.02.01.034</t>
        </is>
      </c>
      <c r="J31" s="11" t="inlineStr">
        <is>
          <t>0007</t>
        </is>
      </c>
      <c r="K31" s="19" t="n">
        <v>333232</v>
      </c>
      <c r="L31" s="9" t="inlineStr">
        <is>
          <t>Baik</t>
        </is>
      </c>
      <c r="M31" s="26" t="n"/>
      <c r="N31" s="27" t="n"/>
      <c r="O31" s="26" t="inlineStr">
        <is>
          <t>Ruang Sekretaris</t>
        </is>
      </c>
    </row>
    <row r="32" ht="28.5" customHeight="1" s="79">
      <c r="A32" s="453">
        <f>A31+1</f>
        <v/>
      </c>
      <c r="B32" s="598" t="inlineStr">
        <is>
          <t>Kursi Lipat</t>
        </is>
      </c>
      <c r="C32" s="592" t="n"/>
      <c r="D32" s="26" t="inlineStr">
        <is>
          <t>MATRIX / -</t>
        </is>
      </c>
      <c r="E32" s="27" t="n"/>
      <c r="F32" s="27" t="n"/>
      <c r="G32" s="9" t="n"/>
      <c r="H32" s="7" t="n">
        <v>2018</v>
      </c>
      <c r="I32" s="9" t="inlineStr">
        <is>
          <t>02.06.02.01.034</t>
        </is>
      </c>
      <c r="J32" s="11" t="inlineStr">
        <is>
          <t>0008</t>
        </is>
      </c>
      <c r="K32" s="19" t="n">
        <v>333232</v>
      </c>
      <c r="L32" s="9" t="inlineStr">
        <is>
          <t>Baik</t>
        </is>
      </c>
      <c r="M32" s="26" t="n"/>
      <c r="N32" s="27" t="n"/>
      <c r="O32" s="26" t="inlineStr">
        <is>
          <t>Ruang Sekretaris</t>
        </is>
      </c>
    </row>
    <row r="33" ht="28.5" customHeight="1" s="79">
      <c r="A33" s="453">
        <f>A32+1</f>
        <v/>
      </c>
      <c r="B33" s="564" t="inlineStr">
        <is>
          <t>Sofa</t>
        </is>
      </c>
      <c r="C33" s="592" t="n"/>
      <c r="D33" s="55" t="inlineStr">
        <is>
          <t>3.2.1. In Frame IF 007Hitam/CT Royal 0198/Espresso 0197</t>
        </is>
      </c>
      <c r="E33" s="55" t="n"/>
      <c r="F33" s="170" t="n"/>
      <c r="G33" s="39" t="inlineStr">
        <is>
          <t>Kulit Hitam</t>
        </is>
      </c>
      <c r="H33" s="39" t="n">
        <v>2013</v>
      </c>
      <c r="I33" s="39" t="inlineStr">
        <is>
          <t>02.06.02.01.049</t>
        </is>
      </c>
      <c r="J33" s="56" t="inlineStr">
        <is>
          <t>0001</t>
        </is>
      </c>
      <c r="K33" s="63" t="inlineStr">
        <is>
          <t>9384350.04</t>
        </is>
      </c>
      <c r="L33" s="39" t="inlineStr">
        <is>
          <t>Baik</t>
        </is>
      </c>
      <c r="M33" s="26" t="n"/>
      <c r="N33" s="170" t="n"/>
      <c r="O33" s="26" t="inlineStr">
        <is>
          <t>Ruang Sekretaris</t>
        </is>
      </c>
    </row>
    <row r="34" ht="28.5" customHeight="1" s="79">
      <c r="A34" s="453">
        <f>A33+1</f>
        <v/>
      </c>
      <c r="B34" s="567" t="inlineStr">
        <is>
          <t>Sofa</t>
        </is>
      </c>
      <c r="C34" s="592" t="n"/>
      <c r="D34" s="26" t="inlineStr">
        <is>
          <t>LEXUS / 321</t>
        </is>
      </c>
      <c r="E34" s="26" t="n"/>
      <c r="F34" s="32" t="n"/>
      <c r="G34" s="9" t="n"/>
      <c r="H34" s="9" t="n">
        <v>2020</v>
      </c>
      <c r="I34" s="9" t="inlineStr">
        <is>
          <t>02.06.02.01.049</t>
        </is>
      </c>
      <c r="J34" s="11" t="inlineStr">
        <is>
          <t>0002</t>
        </is>
      </c>
      <c r="K34" s="20" t="n">
        <v>12524430</v>
      </c>
      <c r="L34" s="9" t="inlineStr">
        <is>
          <t>Baik</t>
        </is>
      </c>
      <c r="M34" s="109" t="n"/>
      <c r="N34" s="32" t="n"/>
      <c r="O34" s="26" t="inlineStr">
        <is>
          <t>Ruang Kaban</t>
        </is>
      </c>
    </row>
    <row r="35" ht="28.5" customHeight="1" s="79">
      <c r="A35" s="453">
        <f>A34+1</f>
        <v/>
      </c>
      <c r="B35" s="567" t="inlineStr">
        <is>
          <t>Lemari Es</t>
        </is>
      </c>
      <c r="C35" s="592" t="n"/>
      <c r="D35" s="26" t="inlineStr">
        <is>
          <t>Kulkas SHARP/    SJ19BHTB</t>
        </is>
      </c>
      <c r="E35" s="27" t="n"/>
      <c r="F35" s="27" t="n"/>
      <c r="G35" s="9" t="inlineStr">
        <is>
          <t>Besi</t>
        </is>
      </c>
      <c r="H35" s="7" t="n">
        <v>2012</v>
      </c>
      <c r="I35" s="9" t="inlineStr">
        <is>
          <t>02.06.02.04.001</t>
        </is>
      </c>
      <c r="J35" s="11" t="inlineStr">
        <is>
          <t>0001</t>
        </is>
      </c>
      <c r="K35" s="19" t="n">
        <v>1975000</v>
      </c>
      <c r="L35" s="9" t="inlineStr">
        <is>
          <t>Baik</t>
        </is>
      </c>
      <c r="M35" s="109" t="n"/>
      <c r="N35" s="27" t="n"/>
      <c r="O35" s="26" t="inlineStr">
        <is>
          <t>Ruang Kaban</t>
        </is>
      </c>
    </row>
    <row r="36" ht="28.5" customHeight="1" s="79">
      <c r="A36" s="453">
        <f>A35+1</f>
        <v/>
      </c>
      <c r="B36" s="567" t="inlineStr">
        <is>
          <t>AC Unit</t>
        </is>
      </c>
      <c r="C36" s="592" t="n"/>
      <c r="D36" s="26" t="inlineStr">
        <is>
          <t>Daikin/   FTV25BXV</t>
        </is>
      </c>
      <c r="E36" s="32" t="n"/>
      <c r="F36" s="32" t="n"/>
      <c r="G36" s="9" t="inlineStr">
        <is>
          <t>1 PK</t>
        </is>
      </c>
      <c r="H36" s="9" t="n">
        <v>2019</v>
      </c>
      <c r="I36" s="9" t="inlineStr">
        <is>
          <t>02.06.02.04.003</t>
        </is>
      </c>
      <c r="J36" s="11" t="inlineStr">
        <is>
          <t>0014</t>
        </is>
      </c>
      <c r="K36" s="20" t="n">
        <v>5033356</v>
      </c>
      <c r="L36" s="9" t="inlineStr">
        <is>
          <t>Baik</t>
        </is>
      </c>
      <c r="M36" s="109" t="n"/>
      <c r="N36" s="32" t="n"/>
      <c r="O36" s="26" t="inlineStr">
        <is>
          <t>Ruang Kaban</t>
        </is>
      </c>
    </row>
    <row r="37" ht="28.5" customHeight="1" s="79">
      <c r="A37" s="453">
        <f>A36+1</f>
        <v/>
      </c>
      <c r="B37" s="564" t="inlineStr">
        <is>
          <t>AC Unit</t>
        </is>
      </c>
      <c r="C37" s="592" t="n"/>
      <c r="D37" s="55" t="inlineStr">
        <is>
          <t>Daikin/FTV25CXV</t>
        </is>
      </c>
      <c r="E37" s="170" t="n"/>
      <c r="F37" s="170" t="n"/>
      <c r="G37" s="49" t="n"/>
      <c r="H37" s="39" t="n">
        <v>2020</v>
      </c>
      <c r="I37" s="39" t="inlineStr">
        <is>
          <t>02.06.02.04.003</t>
        </is>
      </c>
      <c r="J37" s="56" t="inlineStr">
        <is>
          <t>0015</t>
        </is>
      </c>
      <c r="K37" s="90" t="n">
        <v>8165750</v>
      </c>
      <c r="L37" s="39" t="inlineStr">
        <is>
          <t>Baik</t>
        </is>
      </c>
      <c r="M37" s="26" t="n"/>
      <c r="N37" s="170" t="n"/>
      <c r="O37" s="26" t="inlineStr">
        <is>
          <t>Ruang Sekretaris</t>
        </is>
      </c>
    </row>
    <row r="38" ht="31.5" customHeight="1" s="79">
      <c r="A38" s="453">
        <f>A37+1</f>
        <v/>
      </c>
      <c r="B38" s="567" t="inlineStr">
        <is>
          <t>Televisi</t>
        </is>
      </c>
      <c r="C38" s="592" t="n"/>
      <c r="D38" s="26" t="inlineStr">
        <is>
          <t>THOSIBA/   47L2400VJ</t>
        </is>
      </c>
      <c r="E38" s="32" t="n"/>
      <c r="F38" s="32" t="n"/>
      <c r="G38" s="9" t="inlineStr">
        <is>
          <t>Besi Plastik</t>
        </is>
      </c>
      <c r="H38" s="9" t="n">
        <v>2014</v>
      </c>
      <c r="I38" s="9" t="inlineStr">
        <is>
          <t>02.06.02.06.003</t>
        </is>
      </c>
      <c r="J38" s="11" t="inlineStr">
        <is>
          <t>0005</t>
        </is>
      </c>
      <c r="K38" s="20" t="n">
        <v>10223684</v>
      </c>
      <c r="L38" s="9" t="inlineStr">
        <is>
          <t>Baik</t>
        </is>
      </c>
      <c r="M38" s="109" t="n"/>
      <c r="N38" s="32" t="n"/>
      <c r="O38" s="26" t="inlineStr">
        <is>
          <t>Ruang Kaban</t>
        </is>
      </c>
    </row>
    <row r="39" ht="31.5" customHeight="1" s="79">
      <c r="A39" s="453">
        <f>A38+1</f>
        <v/>
      </c>
      <c r="B39" s="567" t="inlineStr">
        <is>
          <t>Televisi</t>
        </is>
      </c>
      <c r="C39" s="592" t="n"/>
      <c r="D39" s="26" t="inlineStr">
        <is>
          <t>Samsung./ 43n5001</t>
        </is>
      </c>
      <c r="E39" s="32" t="n"/>
      <c r="F39" s="32" t="n"/>
      <c r="G39" s="9" t="n"/>
      <c r="H39" s="9" t="n">
        <v>2020</v>
      </c>
      <c r="I39" s="9" t="inlineStr">
        <is>
          <t>02.06.02.06.003</t>
        </is>
      </c>
      <c r="J39" s="11" t="inlineStr">
        <is>
          <t>0006</t>
        </is>
      </c>
      <c r="K39" s="20">
        <f>16532240/3</f>
        <v/>
      </c>
      <c r="L39" s="9" t="inlineStr">
        <is>
          <t>Baik</t>
        </is>
      </c>
      <c r="M39" s="109" t="n"/>
      <c r="N39" s="32" t="n"/>
      <c r="O39" s="26" t="inlineStr">
        <is>
          <t>Ruang Kaban</t>
        </is>
      </c>
    </row>
    <row r="40" ht="63" customHeight="1" s="79">
      <c r="A40" s="453">
        <f>A39+1</f>
        <v/>
      </c>
      <c r="B40" s="567" t="inlineStr">
        <is>
          <t>Camera Video</t>
        </is>
      </c>
      <c r="C40" s="592" t="n"/>
      <c r="D40" s="26" t="inlineStr">
        <is>
          <t>CCTV/UVR SPC 8 CH / KAMERA SPC 2 MP</t>
        </is>
      </c>
      <c r="E40" s="32" t="n"/>
      <c r="F40" s="32" t="n"/>
      <c r="G40" s="9" t="inlineStr">
        <is>
          <t>Besi Plastik</t>
        </is>
      </c>
      <c r="H40" s="9" t="n">
        <v>2019</v>
      </c>
      <c r="I40" s="9" t="inlineStr">
        <is>
          <t>02.06.02.06.021</t>
        </is>
      </c>
      <c r="J40" s="11" t="inlineStr">
        <is>
          <t>0002</t>
        </is>
      </c>
      <c r="K40" s="20" t="n">
        <v>4620620</v>
      </c>
      <c r="L40" s="9" t="inlineStr">
        <is>
          <t>Baik</t>
        </is>
      </c>
      <c r="M40" s="109" t="n"/>
      <c r="N40" s="32" t="n"/>
      <c r="O40" s="26" t="inlineStr">
        <is>
          <t>Ruang Kaban</t>
        </is>
      </c>
    </row>
    <row r="41" ht="110.25" customHeight="1" s="79">
      <c r="A41" s="453">
        <f>A40+1</f>
        <v/>
      </c>
      <c r="B41" s="567" t="inlineStr">
        <is>
          <t>PC Unit</t>
        </is>
      </c>
      <c r="C41" s="592" t="n"/>
      <c r="D41" s="26" t="inlineStr">
        <is>
          <t>Intel - Casing DE Case-LG Pentium ® G 2020 Asrock HG1-LG LED16</t>
        </is>
      </c>
      <c r="E41" s="4" t="n"/>
      <c r="F41" s="4" t="n"/>
      <c r="G41" s="32" t="inlineStr">
        <is>
          <t>Besi Plastik</t>
        </is>
      </c>
      <c r="H41" s="30" t="inlineStr">
        <is>
          <t>2013                       16 Inci</t>
        </is>
      </c>
      <c r="I41" s="9" t="inlineStr">
        <is>
          <t>02.06.03.02.001</t>
        </is>
      </c>
      <c r="J41" s="11" t="inlineStr">
        <is>
          <t>0012</t>
        </is>
      </c>
      <c r="K41" s="19" t="n">
        <v>3922641.51</v>
      </c>
      <c r="L41" s="9" t="inlineStr">
        <is>
          <t>Baik</t>
        </is>
      </c>
      <c r="M41" s="27" t="n"/>
      <c r="N41" s="27" t="n"/>
      <c r="O41" s="26" t="inlineStr">
        <is>
          <t xml:space="preserve">Ruang Sekretariat </t>
        </is>
      </c>
    </row>
    <row r="42" ht="31.5" customHeight="1" s="79">
      <c r="A42" s="453">
        <f>A41+1</f>
        <v/>
      </c>
      <c r="B42" s="567" t="inlineStr">
        <is>
          <t>PC Unit</t>
        </is>
      </c>
      <c r="C42" s="592" t="n"/>
      <c r="D42" s="26" t="inlineStr">
        <is>
          <t>Lenovo / C260</t>
        </is>
      </c>
      <c r="E42" s="4" t="n"/>
      <c r="F42" s="4" t="n"/>
      <c r="G42" s="32" t="inlineStr">
        <is>
          <t>Besi Plastik</t>
        </is>
      </c>
      <c r="H42" s="30" t="n">
        <v>2015</v>
      </c>
      <c r="I42" s="9" t="inlineStr">
        <is>
          <t>02.06.03.02.001</t>
        </is>
      </c>
      <c r="J42" s="11" t="inlineStr">
        <is>
          <t>0013</t>
        </is>
      </c>
      <c r="K42" s="19" t="n">
        <v>6026316</v>
      </c>
      <c r="L42" s="9" t="inlineStr">
        <is>
          <t>Baik</t>
        </is>
      </c>
      <c r="M42" s="27" t="n"/>
      <c r="N42" s="27" t="n"/>
      <c r="O42" s="10" t="inlineStr">
        <is>
          <t xml:space="preserve">Ruang Sekretariat </t>
        </is>
      </c>
    </row>
    <row r="43" ht="47.25" customHeight="1" s="79">
      <c r="A43" s="453">
        <f>A42+1</f>
        <v/>
      </c>
      <c r="B43" s="567" t="inlineStr">
        <is>
          <t>PC Unit</t>
        </is>
      </c>
      <c r="C43" s="592" t="n"/>
      <c r="D43" s="26" t="inlineStr">
        <is>
          <t>Lenovo / 330 -20 GM AIO</t>
        </is>
      </c>
      <c r="E43" s="4" t="n"/>
      <c r="F43" s="4" t="n"/>
      <c r="G43" s="32" t="inlineStr">
        <is>
          <t>Besi Plastik</t>
        </is>
      </c>
      <c r="H43" s="30" t="n">
        <v>2019</v>
      </c>
      <c r="I43" s="9" t="inlineStr">
        <is>
          <t>02.06.03.02.001</t>
        </is>
      </c>
      <c r="J43" s="11" t="inlineStr">
        <is>
          <t>0020</t>
        </is>
      </c>
      <c r="K43" s="19" t="n">
        <v>5327418</v>
      </c>
      <c r="L43" s="9" t="inlineStr">
        <is>
          <t>Baik</t>
        </is>
      </c>
      <c r="M43" s="27" t="n"/>
      <c r="N43" s="27" t="n"/>
      <c r="O43" s="26" t="inlineStr">
        <is>
          <t xml:space="preserve">Ruang Sekretariat </t>
        </is>
      </c>
    </row>
    <row r="44" ht="31.5" customHeight="1" s="79">
      <c r="A44" s="453">
        <f>A43+1</f>
        <v/>
      </c>
      <c r="B44" s="567" t="inlineStr">
        <is>
          <t>PC Unit</t>
        </is>
      </c>
      <c r="C44" s="592" t="n"/>
      <c r="D44" s="26" t="inlineStr">
        <is>
          <t>LENOVO V130 / -</t>
        </is>
      </c>
      <c r="E44" s="4" t="n"/>
      <c r="F44" s="4" t="n"/>
      <c r="G44" s="32" t="inlineStr">
        <is>
          <t>Campuran</t>
        </is>
      </c>
      <c r="H44" s="30" t="n">
        <v>2020</v>
      </c>
      <c r="I44" s="9" t="inlineStr">
        <is>
          <t>02.06.03.02.001</t>
        </is>
      </c>
      <c r="J44" s="11" t="inlineStr">
        <is>
          <t>0021</t>
        </is>
      </c>
      <c r="K44" s="19" t="n">
        <v>5567960</v>
      </c>
      <c r="L44" s="9" t="inlineStr">
        <is>
          <t>Baik</t>
        </is>
      </c>
      <c r="M44" s="27" t="n"/>
      <c r="N44" s="27" t="n"/>
      <c r="O44" s="10" t="inlineStr">
        <is>
          <t>Ruang Sekretariat</t>
        </is>
      </c>
    </row>
    <row r="45" ht="31.5" customHeight="1" s="79">
      <c r="A45" s="453">
        <f>A44+1</f>
        <v/>
      </c>
      <c r="B45" s="567" t="inlineStr">
        <is>
          <t xml:space="preserve">Printer </t>
        </is>
      </c>
      <c r="C45" s="592" t="n"/>
      <c r="D45" s="26" t="inlineStr">
        <is>
          <t>EPSON / L 120</t>
        </is>
      </c>
      <c r="E45" s="12" t="n"/>
      <c r="F45" s="12" t="n"/>
      <c r="G45" s="30" t="inlineStr">
        <is>
          <t>Besi Plastik</t>
        </is>
      </c>
      <c r="H45" s="9" t="n">
        <v>2016</v>
      </c>
      <c r="I45" s="9" t="inlineStr">
        <is>
          <t>02.06.03.05.003</t>
        </is>
      </c>
      <c r="J45" s="11" t="inlineStr">
        <is>
          <t>0024</t>
        </is>
      </c>
      <c r="K45" s="20" t="n">
        <v>2000000</v>
      </c>
      <c r="L45" s="9" t="inlineStr">
        <is>
          <t>Baik</t>
        </is>
      </c>
      <c r="M45" s="12" t="n"/>
      <c r="N45" s="4" t="n"/>
      <c r="O45" s="26" t="inlineStr">
        <is>
          <t xml:space="preserve">Ruang Sekretariat </t>
        </is>
      </c>
    </row>
    <row r="46" ht="31.5" customHeight="1" s="79">
      <c r="A46" s="453">
        <f>A45+1</f>
        <v/>
      </c>
      <c r="B46" s="567" t="inlineStr">
        <is>
          <t xml:space="preserve">Printer </t>
        </is>
      </c>
      <c r="C46" s="592" t="n"/>
      <c r="D46" s="26" t="inlineStr">
        <is>
          <t>EPSON / L 120</t>
        </is>
      </c>
      <c r="E46" s="12" t="n"/>
      <c r="F46" s="12" t="n"/>
      <c r="G46" s="30" t="inlineStr">
        <is>
          <t>Besi Plastik</t>
        </is>
      </c>
      <c r="H46" s="9" t="n">
        <v>2016</v>
      </c>
      <c r="I46" s="9" t="inlineStr">
        <is>
          <t>02.06.03.05.003</t>
        </is>
      </c>
      <c r="J46" s="11" t="inlineStr">
        <is>
          <t>0025</t>
        </is>
      </c>
      <c r="K46" s="20" t="n">
        <v>2000000</v>
      </c>
      <c r="L46" s="9" t="inlineStr">
        <is>
          <t>Baik</t>
        </is>
      </c>
      <c r="M46" s="12" t="n"/>
      <c r="N46" s="4" t="n"/>
      <c r="O46" s="26" t="inlineStr">
        <is>
          <t xml:space="preserve">Ruang Sekretariat </t>
        </is>
      </c>
    </row>
    <row r="47" ht="94.5" customHeight="1" s="79">
      <c r="A47" s="453">
        <f>A46+1</f>
        <v/>
      </c>
      <c r="B47" s="567" t="inlineStr">
        <is>
          <t xml:space="preserve">Printer </t>
        </is>
      </c>
      <c r="C47" s="592" t="n"/>
      <c r="D47" s="26" t="inlineStr">
        <is>
          <t xml:space="preserve">BROTHER / INKJET MULTIFUNCTION MFC-T4500DW </t>
        </is>
      </c>
      <c r="E47" s="12" t="n"/>
      <c r="F47" s="12" t="n"/>
      <c r="G47" s="30" t="n"/>
      <c r="H47" s="9" t="n">
        <v>2019</v>
      </c>
      <c r="I47" s="9" t="inlineStr">
        <is>
          <t>02.06.03.05.003</t>
        </is>
      </c>
      <c r="J47" s="11" t="inlineStr">
        <is>
          <t>0030</t>
        </is>
      </c>
      <c r="K47" s="20" t="n">
        <v>11056905</v>
      </c>
      <c r="L47" s="9" t="inlineStr">
        <is>
          <t>Baik</t>
        </is>
      </c>
      <c r="M47" s="12" t="n"/>
      <c r="N47" s="4" t="n"/>
      <c r="O47" s="26" t="inlineStr">
        <is>
          <t xml:space="preserve">Ruang Sekretariat </t>
        </is>
      </c>
    </row>
    <row r="48" ht="31.5" customHeight="1" s="79">
      <c r="A48" s="453">
        <f>A47+1</f>
        <v/>
      </c>
      <c r="B48" s="567" t="inlineStr">
        <is>
          <t xml:space="preserve">Printer </t>
        </is>
      </c>
      <c r="C48" s="592" t="n"/>
      <c r="D48" s="26" t="inlineStr">
        <is>
          <t>EPSON / L 3110</t>
        </is>
      </c>
      <c r="E48" s="12" t="n"/>
      <c r="F48" s="12" t="n"/>
      <c r="G48" s="30" t="inlineStr">
        <is>
          <t>Besi</t>
        </is>
      </c>
      <c r="H48" s="9" t="n">
        <v>2019</v>
      </c>
      <c r="I48" s="9" t="inlineStr">
        <is>
          <t>02.06.03.05.003</t>
        </is>
      </c>
      <c r="J48" s="11" t="inlineStr">
        <is>
          <t>0031</t>
        </is>
      </c>
      <c r="K48" s="20" t="n">
        <v>2512933</v>
      </c>
      <c r="L48" s="9" t="inlineStr">
        <is>
          <t>Baik</t>
        </is>
      </c>
      <c r="M48" s="12" t="n"/>
      <c r="N48" s="4" t="n"/>
      <c r="O48" s="10" t="inlineStr">
        <is>
          <t xml:space="preserve">Ruang Sekretariat </t>
        </is>
      </c>
    </row>
    <row r="49" ht="31.5" customHeight="1" s="79">
      <c r="A49" s="453">
        <f>A48+1</f>
        <v/>
      </c>
      <c r="B49" s="567" t="inlineStr">
        <is>
          <t xml:space="preserve">Printer </t>
        </is>
      </c>
      <c r="C49" s="592" t="n"/>
      <c r="D49" s="26" t="inlineStr">
        <is>
          <t>EPSON / L 3110</t>
        </is>
      </c>
      <c r="E49" s="12" t="n"/>
      <c r="F49" s="12" t="n"/>
      <c r="G49" s="30" t="inlineStr">
        <is>
          <t>Besi</t>
        </is>
      </c>
      <c r="H49" s="9" t="n">
        <v>2019</v>
      </c>
      <c r="I49" s="9" t="inlineStr">
        <is>
          <t>02.06.03.05.003</t>
        </is>
      </c>
      <c r="J49" s="11" t="inlineStr">
        <is>
          <t>0032</t>
        </is>
      </c>
      <c r="K49" s="20" t="n">
        <v>2512933</v>
      </c>
      <c r="L49" s="9" t="inlineStr">
        <is>
          <t>Baik</t>
        </is>
      </c>
      <c r="M49" s="12" t="n"/>
      <c r="N49" s="4" t="n"/>
      <c r="O49" s="10" t="inlineStr">
        <is>
          <t xml:space="preserve">Ruang Sekretariat </t>
        </is>
      </c>
    </row>
    <row r="50" ht="47.25" customHeight="1" s="79">
      <c r="A50" s="453">
        <f>A49+1</f>
        <v/>
      </c>
      <c r="B50" s="599" t="inlineStr">
        <is>
          <t>Printer</t>
        </is>
      </c>
      <c r="C50" s="592" t="n"/>
      <c r="D50" s="26" t="inlineStr">
        <is>
          <t>Epson ECO Tank L3110N /-</t>
        </is>
      </c>
      <c r="E50" s="27" t="n"/>
      <c r="F50" s="27" t="n"/>
      <c r="G50" s="9" t="inlineStr">
        <is>
          <t>Campuran</t>
        </is>
      </c>
      <c r="H50" s="7" t="n">
        <v>2020</v>
      </c>
      <c r="I50" s="9" t="inlineStr">
        <is>
          <t>02.06.03.05.003</t>
        </is>
      </c>
      <c r="J50" s="11" t="inlineStr">
        <is>
          <t>0033</t>
        </is>
      </c>
      <c r="K50" s="19" t="n">
        <v>2783950</v>
      </c>
      <c r="L50" s="9" t="inlineStr">
        <is>
          <t>Baik</t>
        </is>
      </c>
      <c r="M50" s="26" t="n"/>
      <c r="N50" s="27" t="n"/>
      <c r="O50" s="26" t="inlineStr">
        <is>
          <t>Ruang Sekretaris</t>
        </is>
      </c>
    </row>
    <row r="51" ht="47.25" customHeight="1" s="79">
      <c r="A51" s="453">
        <f>A50+1</f>
        <v/>
      </c>
      <c r="B51" s="599" t="inlineStr">
        <is>
          <t>Printer</t>
        </is>
      </c>
      <c r="C51" s="592" t="n"/>
      <c r="D51" s="26" t="inlineStr">
        <is>
          <t>Epson ECO Tank L3110N /-</t>
        </is>
      </c>
      <c r="E51" s="27" t="n"/>
      <c r="F51" s="27" t="n"/>
      <c r="G51" s="7" t="n"/>
      <c r="H51" s="7" t="n">
        <v>2020</v>
      </c>
      <c r="I51" s="9" t="inlineStr">
        <is>
          <t>02.06.03.05.003</t>
        </is>
      </c>
      <c r="J51" s="11" t="inlineStr">
        <is>
          <t>0035</t>
        </is>
      </c>
      <c r="K51" s="28">
        <f>5516570/2</f>
        <v/>
      </c>
      <c r="L51" s="9" t="inlineStr">
        <is>
          <t>Baik</t>
        </is>
      </c>
      <c r="M51" s="27" t="n"/>
      <c r="N51" s="27" t="n"/>
      <c r="O51" s="26" t="inlineStr">
        <is>
          <t>Ruang Sekretariat by Siska</t>
        </is>
      </c>
    </row>
    <row r="52" ht="47.25" customHeight="1" s="79">
      <c r="A52" s="453">
        <f>A51+1</f>
        <v/>
      </c>
      <c r="B52" s="564" t="inlineStr">
        <is>
          <t>Meja Kerja Pejabat Eselon II</t>
        </is>
      </c>
      <c r="C52" s="592" t="n"/>
      <c r="D52" s="48" t="inlineStr">
        <is>
          <t>Zetta MT 301 / Esselon II</t>
        </is>
      </c>
      <c r="E52" s="170" t="n"/>
      <c r="F52" s="170" t="n"/>
      <c r="G52" s="39" t="inlineStr">
        <is>
          <t>Kayu Partikel</t>
        </is>
      </c>
      <c r="H52" s="39" t="n">
        <v>2014</v>
      </c>
      <c r="I52" s="39" t="inlineStr">
        <is>
          <t>02.06.04.01.004</t>
        </is>
      </c>
      <c r="J52" s="56" t="inlineStr">
        <is>
          <t>0001</t>
        </is>
      </c>
      <c r="K52" s="90" t="n">
        <v>5780423</v>
      </c>
      <c r="L52" s="39" t="inlineStr">
        <is>
          <t>Baik</t>
        </is>
      </c>
      <c r="M52" s="26" t="n"/>
      <c r="N52" s="170" t="n"/>
      <c r="O52" s="26" t="inlineStr">
        <is>
          <t>Ruang Sekretaris</t>
        </is>
      </c>
    </row>
    <row r="53" ht="47.25" customHeight="1" s="79">
      <c r="A53" s="453">
        <f>A52+1</f>
        <v/>
      </c>
      <c r="B53" s="599" t="inlineStr">
        <is>
          <t>Meja Kerja Pejabat Eselon II</t>
        </is>
      </c>
      <c r="C53" s="592" t="n"/>
      <c r="D53" s="50" t="inlineStr">
        <is>
          <t>Zetta MT 301/Esselon II</t>
        </is>
      </c>
      <c r="E53" s="27" t="n"/>
      <c r="F53" s="27" t="n"/>
      <c r="G53" s="7" t="inlineStr">
        <is>
          <t>Kayu Partikel</t>
        </is>
      </c>
      <c r="H53" s="7" t="n">
        <v>2016</v>
      </c>
      <c r="I53" s="7" t="inlineStr">
        <is>
          <t>02.06.04.01.004</t>
        </is>
      </c>
      <c r="J53" s="8" t="inlineStr">
        <is>
          <t>0002</t>
        </is>
      </c>
      <c r="K53" s="19" t="n">
        <v>2333333</v>
      </c>
      <c r="L53" s="7" t="inlineStr">
        <is>
          <t>Baik</t>
        </is>
      </c>
      <c r="M53" s="109" t="n"/>
      <c r="N53" s="27" t="n"/>
      <c r="O53" s="26" t="inlineStr">
        <is>
          <t>Ruang Kaban</t>
        </is>
      </c>
    </row>
    <row r="54" ht="31.5" customHeight="1" s="79">
      <c r="A54" s="453">
        <f>A53+1</f>
        <v/>
      </c>
      <c r="B54" s="567" t="inlineStr">
        <is>
          <t>Meja Kerja Pejabat Lain-lain</t>
        </is>
      </c>
      <c r="C54" s="592" t="n"/>
      <c r="D54" s="26" t="inlineStr">
        <is>
          <t xml:space="preserve">EXPO / MT301 </t>
        </is>
      </c>
      <c r="E54" s="12" t="n"/>
      <c r="F54" s="12" t="n"/>
      <c r="G54" s="30" t="n"/>
      <c r="H54" s="9" t="n">
        <v>2020</v>
      </c>
      <c r="I54" s="9" t="inlineStr">
        <is>
          <t>02.06.04.01.009</t>
        </is>
      </c>
      <c r="J54" s="11" t="inlineStr">
        <is>
          <t>0001 s/d 0008</t>
        </is>
      </c>
      <c r="K54" s="20" t="n">
        <v>7053750</v>
      </c>
      <c r="L54" s="9" t="inlineStr">
        <is>
          <t>Baik</t>
        </is>
      </c>
      <c r="M54" s="12" t="n"/>
      <c r="N54" s="12" t="n"/>
      <c r="O54" s="26" t="inlineStr">
        <is>
          <t>Ruang Sekretariat</t>
        </is>
      </c>
    </row>
    <row r="55" ht="31.5" customHeight="1" s="79">
      <c r="A55" s="453">
        <f>A54+1</f>
        <v/>
      </c>
      <c r="B55" s="564" t="inlineStr">
        <is>
          <t>Kursi Kerja Pejabat Eselon III</t>
        </is>
      </c>
      <c r="C55" s="592" t="n"/>
      <c r="D55" s="48" t="inlineStr">
        <is>
          <t>Tiger T904 Esselon III</t>
        </is>
      </c>
      <c r="E55" s="170" t="n"/>
      <c r="F55" s="170" t="n"/>
      <c r="G55" s="39" t="inlineStr">
        <is>
          <t>Besi Plastik</t>
        </is>
      </c>
      <c r="H55" s="39" t="n">
        <v>2011</v>
      </c>
      <c r="I55" s="39" t="inlineStr">
        <is>
          <t>02.06.04.03.005</t>
        </is>
      </c>
      <c r="J55" s="56" t="inlineStr">
        <is>
          <t>0006</t>
        </is>
      </c>
      <c r="K55" s="90" t="n">
        <v>1485000</v>
      </c>
      <c r="L55" s="39" t="inlineStr">
        <is>
          <t>Baik</t>
        </is>
      </c>
      <c r="M55" s="26" t="n"/>
      <c r="N55" s="170" t="n"/>
      <c r="O55" s="26" t="inlineStr">
        <is>
          <t>Ruang Sekretaris</t>
        </is>
      </c>
    </row>
    <row r="56" ht="31.5" customHeight="1" s="79">
      <c r="A56" s="453">
        <f>A55+1</f>
        <v/>
      </c>
      <c r="B56" s="567" t="inlineStr">
        <is>
          <t>Kursi Kerja Pejabat Eselon III</t>
        </is>
      </c>
      <c r="C56" s="592" t="n"/>
      <c r="D56" s="26" t="inlineStr">
        <is>
          <t>Tiger T804/  Esselon III</t>
        </is>
      </c>
      <c r="E56" s="32" t="n"/>
      <c r="F56" s="32" t="n"/>
      <c r="G56" s="9" t="inlineStr">
        <is>
          <t>Besi Plastik</t>
        </is>
      </c>
      <c r="H56" s="9" t="n">
        <v>2011</v>
      </c>
      <c r="I56" s="9" t="inlineStr">
        <is>
          <t>02.06.04.03.005</t>
        </is>
      </c>
      <c r="J56" s="11" t="inlineStr">
        <is>
          <t>0007</t>
        </is>
      </c>
      <c r="K56" s="20" t="n">
        <v>1485000</v>
      </c>
      <c r="L56" s="9" t="inlineStr">
        <is>
          <t>Baik</t>
        </is>
      </c>
      <c r="M56" s="109" t="n"/>
      <c r="N56" s="32" t="n"/>
    </row>
    <row r="57" ht="63" customHeight="1" s="79">
      <c r="A57" s="453">
        <f>A56+1</f>
        <v/>
      </c>
      <c r="B57" s="600" t="inlineStr">
        <is>
          <t>Lemari dan Arsip Pejabat Lain-lain</t>
        </is>
      </c>
      <c r="C57" s="592" t="n"/>
      <c r="D57" s="59" t="inlineStr">
        <is>
          <t xml:space="preserve">Informa MC Glass Door/Lemari Buku </t>
        </is>
      </c>
      <c r="E57" s="60" t="n"/>
      <c r="F57" s="60" t="n"/>
      <c r="G57" s="39" t="inlineStr">
        <is>
          <t>Kayu Partikel</t>
        </is>
      </c>
      <c r="H57" s="39" t="n">
        <v>2016</v>
      </c>
      <c r="I57" s="39" t="inlineStr">
        <is>
          <t>02.06.04.07.009</t>
        </is>
      </c>
      <c r="J57" s="56" t="inlineStr">
        <is>
          <t>0001</t>
        </is>
      </c>
      <c r="K57" s="90" t="inlineStr">
        <is>
          <t>2739.13</t>
        </is>
      </c>
      <c r="L57" s="39" t="inlineStr">
        <is>
          <t>Baik</t>
        </is>
      </c>
      <c r="M57" s="26" t="n"/>
      <c r="N57" s="60" t="n"/>
      <c r="O57" s="26" t="inlineStr">
        <is>
          <t>Ruang Sekretaris</t>
        </is>
      </c>
    </row>
    <row r="58">
      <c r="A58" s="7">
        <f>A57+1</f>
        <v/>
      </c>
    </row>
    <row r="59">
      <c r="A59" s="7">
        <f>A58+1</f>
        <v/>
      </c>
    </row>
    <row r="60">
      <c r="A60" s="7">
        <f>A59+1</f>
        <v/>
      </c>
    </row>
    <row r="61">
      <c r="A61" s="7">
        <f>A60+1</f>
        <v/>
      </c>
    </row>
    <row r="62">
      <c r="A62" s="7">
        <f>A61+1</f>
        <v/>
      </c>
    </row>
    <row r="63">
      <c r="A63" s="7">
        <f>A62+1</f>
        <v/>
      </c>
    </row>
    <row r="64">
      <c r="A64" s="7">
        <f>A63+1</f>
        <v/>
      </c>
    </row>
    <row r="65">
      <c r="A65" s="7">
        <f>A64+1</f>
        <v/>
      </c>
    </row>
    <row r="66">
      <c r="A66" s="7">
        <f>A65+1</f>
        <v/>
      </c>
    </row>
    <row r="67">
      <c r="A67" s="7">
        <f>A66+1</f>
        <v/>
      </c>
    </row>
    <row r="68">
      <c r="A68" s="7">
        <f>A67+1</f>
        <v/>
      </c>
    </row>
    <row r="69">
      <c r="A69" s="7">
        <f>A68+1</f>
        <v/>
      </c>
    </row>
    <row r="70">
      <c r="A70" s="7">
        <f>A69+1</f>
        <v/>
      </c>
    </row>
    <row r="71">
      <c r="A71" s="7">
        <f>A70+1</f>
        <v/>
      </c>
    </row>
    <row r="72">
      <c r="A72" s="7">
        <f>A71+1</f>
        <v/>
      </c>
    </row>
    <row r="73">
      <c r="A73" s="7">
        <f>A72+1</f>
        <v/>
      </c>
    </row>
    <row r="74">
      <c r="A74" s="7">
        <f>A73+1</f>
        <v/>
      </c>
      <c r="B74" s="567" t="n"/>
      <c r="C74" s="592" t="n"/>
      <c r="D74" s="26" t="n"/>
      <c r="E74" s="27" t="n"/>
      <c r="F74" s="27" t="n"/>
      <c r="G74" s="9" t="n"/>
      <c r="H74" s="7" t="n"/>
      <c r="I74" s="9" t="n"/>
      <c r="J74" s="11" t="n"/>
      <c r="K74" s="19" t="n"/>
      <c r="L74" s="9" t="n"/>
      <c r="M74" s="27" t="n"/>
      <c r="N74" s="27" t="n"/>
      <c r="O74" s="30" t="n"/>
    </row>
    <row r="75">
      <c r="A75" s="7">
        <f>A74+1</f>
        <v/>
      </c>
      <c r="B75" s="567" t="n"/>
      <c r="C75" s="592" t="n"/>
      <c r="D75" s="26" t="n"/>
      <c r="E75" s="32" t="n"/>
      <c r="F75" s="32" t="n"/>
      <c r="G75" s="9" t="n"/>
      <c r="H75" s="9" t="n"/>
      <c r="I75" s="9" t="n"/>
      <c r="J75" s="11" t="n"/>
      <c r="K75" s="20" t="n"/>
      <c r="L75" s="9" t="n"/>
      <c r="M75" s="32" t="n"/>
      <c r="N75" s="32" t="n"/>
      <c r="O75" s="30" t="n"/>
    </row>
    <row r="76">
      <c r="A76" s="7">
        <f>A75+1</f>
        <v/>
      </c>
      <c r="B76" s="564" t="n"/>
      <c r="C76" s="592" t="n"/>
      <c r="D76" s="59" t="n"/>
      <c r="E76" s="60" t="n"/>
      <c r="F76" s="60" t="n"/>
      <c r="G76" s="39" t="n"/>
      <c r="H76" s="39" t="n"/>
      <c r="I76" s="39" t="n"/>
      <c r="J76" s="56" t="n"/>
      <c r="K76" s="57" t="n"/>
      <c r="L76" s="39" t="n"/>
      <c r="M76" s="60" t="n"/>
      <c r="N76" s="60" t="n"/>
      <c r="O76" s="30" t="n"/>
    </row>
    <row r="77">
      <c r="A77" s="7" t="n"/>
      <c r="B77" s="567" t="n"/>
      <c r="C77" s="592" t="n"/>
      <c r="D77" s="26" t="n"/>
      <c r="E77" s="12" t="n"/>
      <c r="F77" s="12" t="n"/>
      <c r="G77" s="30" t="n"/>
      <c r="H77" s="9" t="n"/>
      <c r="I77" s="9" t="n"/>
      <c r="J77" s="11" t="n"/>
      <c r="K77" s="20" t="n"/>
      <c r="L77" s="9" t="n"/>
      <c r="M77" s="12" t="n"/>
      <c r="N77" s="4" t="n"/>
      <c r="O77" s="30" t="n"/>
    </row>
    <row r="78">
      <c r="A78" s="7" t="n"/>
      <c r="B78" s="567" t="n"/>
      <c r="C78" s="592" t="n"/>
      <c r="D78" s="26" t="n"/>
      <c r="E78" s="12" t="n"/>
      <c r="F78" s="12" t="n"/>
      <c r="G78" s="30" t="n"/>
      <c r="H78" s="9" t="n"/>
      <c r="I78" s="9" t="n"/>
      <c r="J78" s="11" t="n"/>
      <c r="K78" s="20" t="n"/>
      <c r="L78" s="9" t="n"/>
      <c r="M78" s="12" t="n"/>
      <c r="N78" s="4" t="n"/>
      <c r="O78" s="30" t="n"/>
    </row>
    <row r="79">
      <c r="A79" s="7" t="n"/>
      <c r="B79" s="567" t="n"/>
      <c r="C79" s="592" t="n"/>
      <c r="D79" s="26" t="n"/>
      <c r="E79" s="12" t="n"/>
      <c r="F79" s="12" t="n"/>
      <c r="G79" s="30" t="n"/>
      <c r="H79" s="9" t="n"/>
      <c r="I79" s="9" t="n"/>
      <c r="J79" s="11" t="n"/>
      <c r="K79" s="20" t="n"/>
      <c r="L79" s="9" t="n"/>
      <c r="M79" s="12" t="n"/>
      <c r="N79" s="4" t="n"/>
      <c r="O79" s="30" t="n"/>
    </row>
    <row r="80">
      <c r="A80" s="7" t="n"/>
      <c r="B80" s="567" t="n"/>
      <c r="C80" s="592" t="n"/>
      <c r="D80" s="26" t="n"/>
      <c r="E80" s="12" t="n"/>
      <c r="F80" s="12" t="n"/>
      <c r="G80" s="30" t="n"/>
      <c r="H80" s="9" t="n"/>
      <c r="I80" s="9" t="n"/>
      <c r="J80" s="11" t="n"/>
      <c r="K80" s="20" t="n"/>
      <c r="L80" s="9" t="n"/>
      <c r="M80" s="12" t="n"/>
      <c r="N80" s="4" t="n"/>
      <c r="O80" s="30" t="n"/>
    </row>
    <row r="81">
      <c r="A81" s="7" t="n"/>
      <c r="B81" s="567" t="n"/>
      <c r="C81" s="592" t="n"/>
      <c r="D81" s="26" t="n"/>
      <c r="E81" s="12" t="n"/>
      <c r="F81" s="12" t="n"/>
      <c r="G81" s="30" t="n"/>
      <c r="H81" s="9" t="n"/>
      <c r="I81" s="9" t="n"/>
      <c r="J81" s="11" t="n"/>
      <c r="K81" s="20" t="n"/>
      <c r="L81" s="9" t="n"/>
      <c r="M81" s="12" t="n"/>
      <c r="N81" s="4" t="n"/>
      <c r="O81" s="30" t="n"/>
    </row>
    <row r="82">
      <c r="A82" s="7" t="n"/>
      <c r="B82" s="599" t="n"/>
      <c r="C82" s="592" t="n"/>
      <c r="D82" s="26" t="n"/>
      <c r="E82" s="27" t="n"/>
      <c r="F82" s="27" t="n"/>
      <c r="G82" s="9" t="n"/>
      <c r="H82" s="7" t="n"/>
      <c r="I82" s="9" t="n"/>
      <c r="J82" s="11" t="n"/>
      <c r="K82" s="28" t="n"/>
      <c r="L82" s="9" t="n"/>
      <c r="M82" s="27" t="n"/>
      <c r="N82" s="27" t="n"/>
      <c r="O82" s="30" t="n"/>
    </row>
    <row r="83">
      <c r="A83" s="7" t="n"/>
      <c r="B83" s="599" t="n"/>
      <c r="C83" s="592" t="n"/>
      <c r="D83" s="26" t="n"/>
      <c r="E83" s="27" t="n"/>
      <c r="F83" s="27" t="n"/>
      <c r="G83" s="7" t="n"/>
      <c r="H83" s="7" t="n"/>
      <c r="I83" s="9" t="n"/>
      <c r="J83" s="11" t="n"/>
      <c r="K83" s="28" t="n"/>
      <c r="L83" s="9" t="n"/>
      <c r="M83" s="27" t="n"/>
      <c r="N83" s="27" t="n"/>
      <c r="O83" s="30" t="n"/>
    </row>
    <row r="84">
      <c r="A84" s="7" t="n"/>
      <c r="B84" s="567" t="n"/>
      <c r="C84" s="592" t="n"/>
      <c r="D84" s="26" t="n"/>
      <c r="E84" s="4" t="n"/>
      <c r="F84" s="4" t="n"/>
      <c r="G84" s="32" t="n"/>
      <c r="H84" s="30" t="n"/>
      <c r="I84" s="32" t="n"/>
      <c r="J84" s="11" t="n"/>
      <c r="K84" s="19" t="n"/>
      <c r="L84" s="9" t="n"/>
      <c r="M84" s="27" t="n"/>
      <c r="N84" s="27" t="n"/>
      <c r="O84" s="30" t="n"/>
    </row>
    <row r="85">
      <c r="A85" s="7" t="n"/>
      <c r="B85" s="567" t="n"/>
      <c r="C85" s="592" t="n"/>
      <c r="D85" s="26" t="n"/>
      <c r="E85" s="4" t="n"/>
      <c r="F85" s="4" t="n"/>
      <c r="G85" s="32" t="n"/>
      <c r="H85" s="30" t="n"/>
      <c r="I85" s="32" t="n"/>
      <c r="J85" s="11" t="n"/>
      <c r="K85" s="19" t="n"/>
      <c r="L85" s="9" t="n"/>
      <c r="M85" s="27" t="n"/>
      <c r="N85" s="27" t="n"/>
      <c r="O85" s="30" t="n"/>
    </row>
    <row r="86">
      <c r="A86" s="7" t="n"/>
      <c r="B86" s="567" t="n"/>
      <c r="C86" s="592" t="n"/>
      <c r="D86" s="26" t="n"/>
      <c r="E86" s="4" t="n"/>
      <c r="F86" s="4" t="n"/>
      <c r="G86" s="32" t="n"/>
      <c r="H86" s="30" t="n"/>
      <c r="I86" s="32" t="n"/>
      <c r="J86" s="11" t="n"/>
      <c r="K86" s="19" t="n"/>
      <c r="L86" s="9" t="n"/>
      <c r="M86" s="27" t="n"/>
      <c r="N86" s="27" t="n"/>
      <c r="O86" s="30" t="n"/>
    </row>
    <row r="87">
      <c r="A87" s="7">
        <f>A75+1</f>
        <v/>
      </c>
      <c r="B87" s="567" t="n"/>
      <c r="C87" s="592" t="n"/>
      <c r="D87" s="26" t="n"/>
      <c r="E87" s="32" t="n"/>
      <c r="F87" s="32" t="n"/>
      <c r="G87" s="9" t="n"/>
      <c r="H87" s="9" t="n"/>
      <c r="I87" s="9" t="n"/>
      <c r="J87" s="11" t="n"/>
      <c r="K87" s="20" t="n"/>
      <c r="L87" s="9" t="n"/>
      <c r="M87" s="32" t="n"/>
      <c r="N87" s="32" t="n"/>
      <c r="O87" s="30" t="n"/>
    </row>
    <row r="88">
      <c r="A88" s="7">
        <f>A87+1</f>
        <v/>
      </c>
      <c r="B88" s="567" t="n"/>
      <c r="C88" s="592" t="n"/>
      <c r="D88" s="26" t="n"/>
      <c r="E88" s="32" t="n"/>
      <c r="F88" s="32" t="n"/>
      <c r="G88" s="9" t="n"/>
      <c r="H88" s="9" t="n"/>
      <c r="I88" s="9" t="n"/>
      <c r="J88" s="11" t="n"/>
      <c r="K88" s="20" t="n"/>
      <c r="L88" s="9" t="n"/>
      <c r="M88" s="32" t="n"/>
      <c r="N88" s="32" t="n"/>
      <c r="O88" s="30" t="n"/>
    </row>
    <row r="89">
      <c r="A89" s="7">
        <f>A88+1</f>
        <v/>
      </c>
      <c r="B89" s="567" t="n"/>
      <c r="C89" s="592" t="n"/>
      <c r="D89" s="26" t="n"/>
      <c r="E89" s="32" t="n"/>
      <c r="F89" s="32" t="n"/>
      <c r="G89" s="9" t="n"/>
      <c r="H89" s="9" t="n"/>
      <c r="I89" s="9" t="n"/>
      <c r="J89" s="11" t="n"/>
      <c r="K89" s="33" t="n"/>
      <c r="L89" s="9" t="n"/>
      <c r="M89" s="32" t="n"/>
      <c r="N89" s="32" t="n"/>
      <c r="O89" s="26" t="n"/>
    </row>
    <row r="90">
      <c r="A90" s="7">
        <f>A89+1</f>
        <v/>
      </c>
      <c r="B90" s="61" t="n"/>
      <c r="C90" s="62" t="n"/>
      <c r="D90" s="60" t="n"/>
      <c r="E90" s="60" t="n"/>
      <c r="F90" s="60" t="n"/>
      <c r="G90" s="60" t="n"/>
      <c r="H90" s="39" t="n"/>
      <c r="I90" s="39" t="n"/>
      <c r="J90" s="56" t="n"/>
      <c r="K90" s="57" t="n"/>
      <c r="L90" s="43" t="n"/>
      <c r="M90" s="60" t="n"/>
      <c r="N90" s="60" t="n"/>
      <c r="O90" s="30" t="n"/>
    </row>
    <row r="91">
      <c r="A91" s="7">
        <f>A90+1</f>
        <v/>
      </c>
      <c r="B91" s="567" t="n"/>
      <c r="C91" s="592" t="n"/>
      <c r="D91" s="26" t="n"/>
      <c r="E91" s="27" t="n"/>
      <c r="F91" s="27" t="n"/>
      <c r="G91" s="9" t="n"/>
      <c r="H91" s="7" t="n"/>
      <c r="I91" s="9" t="n"/>
      <c r="J91" s="11" t="n"/>
      <c r="K91" s="28" t="n"/>
      <c r="L91" s="9" t="n"/>
      <c r="M91" s="27" t="n"/>
      <c r="N91" s="27" t="n"/>
      <c r="O91" s="30" t="n"/>
    </row>
    <row r="92">
      <c r="A92" s="7">
        <f>A91+1</f>
        <v/>
      </c>
    </row>
    <row r="93">
      <c r="A93" s="7">
        <f>A92+1</f>
        <v/>
      </c>
    </row>
    <row r="94">
      <c r="A94" s="7">
        <f>A93+1</f>
        <v/>
      </c>
    </row>
    <row r="95">
      <c r="A95" s="7">
        <f>#REF!+1</f>
        <v/>
      </c>
    </row>
    <row r="96">
      <c r="A96" s="7">
        <f>#REF!+1</f>
        <v/>
      </c>
    </row>
    <row r="97">
      <c r="A97" s="7">
        <f>A96+1</f>
        <v/>
      </c>
    </row>
    <row r="98">
      <c r="A98" s="7">
        <f>A97+1</f>
        <v/>
      </c>
    </row>
    <row r="99">
      <c r="A99" s="7">
        <f>A98+1</f>
        <v/>
      </c>
    </row>
    <row r="100">
      <c r="A100" s="7">
        <f>A99+1</f>
        <v/>
      </c>
    </row>
    <row r="101">
      <c r="A101" s="7">
        <f>A100+1</f>
        <v/>
      </c>
    </row>
    <row r="102">
      <c r="A102" s="7">
        <f>A101+1</f>
        <v/>
      </c>
    </row>
    <row r="103">
      <c r="A103" s="7">
        <f>A102+1</f>
        <v/>
      </c>
    </row>
    <row r="104">
      <c r="A104" s="7">
        <f>A103+1</f>
        <v/>
      </c>
    </row>
    <row r="105">
      <c r="A105" s="7">
        <f>A104+1</f>
        <v/>
      </c>
    </row>
    <row r="106">
      <c r="A106" s="7">
        <f>A105+1</f>
        <v/>
      </c>
    </row>
    <row r="107">
      <c r="A107" s="7">
        <f>A106+1</f>
        <v/>
      </c>
    </row>
    <row r="108">
      <c r="A108" s="7">
        <f>A107+1</f>
        <v/>
      </c>
    </row>
    <row r="109">
      <c r="A109" s="7">
        <f>A108+1</f>
        <v/>
      </c>
    </row>
    <row r="110">
      <c r="A110" s="7">
        <f>A109+1</f>
        <v/>
      </c>
    </row>
    <row r="111">
      <c r="A111" s="7">
        <f>A110+1</f>
        <v/>
      </c>
    </row>
    <row r="112">
      <c r="A112" s="7">
        <f>A111+1</f>
        <v/>
      </c>
    </row>
    <row r="113">
      <c r="A113" s="7">
        <f>A112+1</f>
        <v/>
      </c>
    </row>
    <row r="114">
      <c r="A114" s="7">
        <f>A113+1</f>
        <v/>
      </c>
    </row>
    <row r="115">
      <c r="A115" s="7">
        <f>A114+1</f>
        <v/>
      </c>
    </row>
    <row r="116">
      <c r="A116" s="7">
        <f>A115+1</f>
        <v/>
      </c>
    </row>
    <row r="117">
      <c r="A117" s="7">
        <f>A116+1</f>
        <v/>
      </c>
    </row>
    <row r="118">
      <c r="A118" s="7">
        <f>A117+1</f>
        <v/>
      </c>
    </row>
    <row r="119">
      <c r="A119" s="7">
        <f>A118+1</f>
        <v/>
      </c>
      <c r="B119" s="53" t="n"/>
      <c r="C119" s="54" t="n"/>
      <c r="D119" s="27" t="n"/>
      <c r="E119" s="27" t="n"/>
      <c r="F119" s="27" t="n"/>
      <c r="G119" s="27" t="n"/>
      <c r="H119" s="7" t="n"/>
      <c r="I119" s="7" t="n"/>
      <c r="J119" s="8" t="n"/>
      <c r="K119" s="28" t="n"/>
      <c r="L119" s="7" t="n"/>
      <c r="M119" s="27" t="n"/>
      <c r="N119" s="27" t="n"/>
      <c r="O119" s="50" t="n"/>
    </row>
    <row r="120">
      <c r="A120" s="7">
        <f>A119+1</f>
        <v/>
      </c>
      <c r="B120" s="567" t="n"/>
      <c r="C120" s="592" t="n"/>
      <c r="D120" s="26" t="n"/>
      <c r="E120" s="32" t="n"/>
      <c r="F120" s="32" t="n"/>
      <c r="G120" s="9" t="n"/>
      <c r="H120" s="9" t="n"/>
      <c r="I120" s="9" t="n"/>
      <c r="J120" s="11" t="n"/>
      <c r="K120" s="33" t="n"/>
      <c r="L120" s="36" t="n"/>
      <c r="M120" s="32" t="n"/>
      <c r="N120" s="27" t="n"/>
      <c r="O120" s="26" t="n"/>
    </row>
    <row r="121">
      <c r="A121" s="7">
        <f>A120+1</f>
        <v/>
      </c>
      <c r="B121" s="567" t="n"/>
      <c r="C121" s="592" t="n"/>
      <c r="D121" s="26" t="n"/>
      <c r="E121" s="32" t="n"/>
      <c r="F121" s="32" t="n"/>
      <c r="G121" s="30" t="n"/>
      <c r="H121" s="9" t="n"/>
      <c r="I121" s="9" t="n"/>
      <c r="J121" s="11" t="n"/>
      <c r="K121" s="33" t="n"/>
      <c r="L121" s="9" t="n"/>
      <c r="M121" s="26" t="n"/>
      <c r="N121" s="51" t="n"/>
      <c r="O121" s="26" t="n"/>
    </row>
    <row r="122">
      <c r="A122" s="7">
        <f>A121+1</f>
        <v/>
      </c>
      <c r="B122" s="567" t="n"/>
      <c r="C122" s="592" t="n"/>
      <c r="D122" s="26" t="n"/>
      <c r="E122" s="27" t="n"/>
      <c r="F122" s="27" t="n"/>
      <c r="G122" s="9" t="n"/>
      <c r="H122" s="7" t="n"/>
      <c r="I122" s="9" t="n"/>
      <c r="J122" s="11" t="n"/>
      <c r="K122" s="52" t="n"/>
      <c r="L122" s="9" t="n"/>
      <c r="M122" s="27" t="n"/>
      <c r="N122" s="27" t="n"/>
      <c r="O122" s="50" t="n"/>
    </row>
    <row r="123">
      <c r="A123" s="7">
        <f>A122+1</f>
        <v/>
      </c>
      <c r="B123" s="567" t="n"/>
      <c r="C123" s="592" t="n"/>
      <c r="D123" s="26" t="n"/>
      <c r="E123" s="32" t="n"/>
      <c r="F123" s="32" t="n"/>
      <c r="G123" s="9" t="n"/>
      <c r="H123" s="9" t="n"/>
      <c r="I123" s="9" t="n"/>
      <c r="J123" s="11" t="n"/>
      <c r="K123" s="33" t="n"/>
      <c r="L123" s="9" t="n"/>
      <c r="M123" s="32" t="n"/>
      <c r="N123" s="32" t="n"/>
      <c r="O123" s="26" t="n"/>
    </row>
    <row r="124">
      <c r="A124" s="7">
        <f>A123+1</f>
        <v/>
      </c>
      <c r="B124" s="567" t="n"/>
      <c r="C124" s="592" t="n"/>
      <c r="D124" s="26" t="n"/>
      <c r="E124" s="32" t="n"/>
      <c r="F124" s="32" t="n"/>
      <c r="G124" s="9" t="n"/>
      <c r="H124" s="9" t="n"/>
      <c r="I124" s="9" t="n"/>
      <c r="J124" s="11" t="n"/>
      <c r="K124" s="33" t="n"/>
      <c r="L124" s="9" t="n"/>
      <c r="M124" s="32" t="n"/>
      <c r="N124" s="32" t="n"/>
      <c r="O124" s="26" t="n"/>
    </row>
    <row r="125">
      <c r="A125" s="7">
        <f>A124+1</f>
        <v/>
      </c>
      <c r="B125" s="567" t="n"/>
      <c r="C125" s="592" t="n"/>
      <c r="D125" s="26" t="n"/>
      <c r="E125" s="32" t="n"/>
      <c r="F125" s="32" t="n"/>
      <c r="G125" s="9" t="n"/>
      <c r="H125" s="9" t="n"/>
      <c r="I125" s="9" t="n"/>
      <c r="J125" s="11" t="n"/>
      <c r="K125" s="33" t="n"/>
      <c r="L125" s="9" t="n"/>
      <c r="M125" s="32" t="n"/>
      <c r="N125" s="32" t="n"/>
      <c r="O125" s="26" t="n"/>
    </row>
    <row r="126">
      <c r="A126" s="7">
        <f>A125+1</f>
        <v/>
      </c>
      <c r="B126" s="567" t="n"/>
      <c r="C126" s="592" t="n"/>
      <c r="D126" s="26" t="n"/>
      <c r="E126" s="32" t="n"/>
      <c r="F126" s="32" t="n"/>
      <c r="G126" s="9" t="n"/>
      <c r="H126" s="9" t="n"/>
      <c r="I126" s="9" t="n"/>
      <c r="J126" s="11" t="n"/>
      <c r="K126" s="33" t="n"/>
      <c r="L126" s="9" t="n"/>
      <c r="M126" s="32" t="n"/>
      <c r="N126" s="32" t="n"/>
      <c r="O126" s="26" t="n"/>
    </row>
    <row r="127">
      <c r="A127" s="7">
        <f>A126+1</f>
        <v/>
      </c>
      <c r="B127" s="567" t="n"/>
      <c r="C127" s="592" t="n"/>
      <c r="D127" s="26" t="n"/>
      <c r="E127" s="32" t="n"/>
      <c r="F127" s="32" t="n"/>
      <c r="G127" s="9" t="n"/>
      <c r="H127" s="9" t="n"/>
      <c r="I127" s="9" t="n"/>
      <c r="J127" s="11" t="n"/>
      <c r="K127" s="33" t="n"/>
      <c r="L127" s="9" t="n"/>
      <c r="M127" s="32" t="n"/>
      <c r="N127" s="32" t="n"/>
      <c r="O127" s="26" t="n"/>
    </row>
    <row r="128">
      <c r="A128" s="7">
        <f>A127+1</f>
        <v/>
      </c>
      <c r="B128" s="567" t="n"/>
      <c r="C128" s="592" t="n"/>
      <c r="D128" s="26" t="n"/>
      <c r="E128" s="32" t="n"/>
      <c r="F128" s="32" t="n"/>
      <c r="G128" s="9" t="n"/>
      <c r="H128" s="9" t="n"/>
      <c r="I128" s="9" t="n"/>
      <c r="J128" s="11" t="n"/>
      <c r="K128" s="33" t="n"/>
      <c r="L128" s="9" t="n"/>
      <c r="M128" s="32" t="n"/>
      <c r="N128" s="32" t="n"/>
      <c r="O128" s="26" t="n"/>
    </row>
    <row r="129">
      <c r="A129" s="7">
        <f>A128+1</f>
        <v/>
      </c>
      <c r="B129" s="567" t="n"/>
      <c r="C129" s="592" t="n"/>
      <c r="D129" s="26" t="n"/>
      <c r="E129" s="32" t="n"/>
      <c r="F129" s="32" t="n"/>
      <c r="G129" s="9" t="n"/>
      <c r="H129" s="9" t="n"/>
      <c r="I129" s="9" t="n"/>
      <c r="J129" s="11" t="n"/>
      <c r="K129" s="33" t="n"/>
      <c r="L129" s="9" t="n"/>
      <c r="M129" s="32" t="n"/>
      <c r="N129" s="32" t="n"/>
      <c r="O129" s="26" t="n"/>
    </row>
    <row r="130">
      <c r="A130" s="7">
        <f>A129+1</f>
        <v/>
      </c>
      <c r="B130" s="567" t="n"/>
      <c r="C130" s="592" t="n"/>
      <c r="D130" s="26" t="n"/>
      <c r="E130" s="32" t="n"/>
      <c r="F130" s="32" t="n"/>
      <c r="G130" s="9" t="n"/>
      <c r="H130" s="9" t="n"/>
      <c r="I130" s="9" t="n"/>
      <c r="J130" s="11" t="n"/>
      <c r="K130" s="33" t="n"/>
      <c r="L130" s="9" t="n"/>
      <c r="M130" s="32" t="n"/>
      <c r="N130" s="32" t="n"/>
      <c r="O130" s="26" t="n"/>
    </row>
    <row r="131">
      <c r="A131" s="7">
        <f>A130+1</f>
        <v/>
      </c>
      <c r="B131" s="567" t="n"/>
      <c r="C131" s="592" t="n"/>
      <c r="D131" s="26" t="n"/>
      <c r="E131" s="32" t="n"/>
      <c r="F131" s="32" t="n"/>
      <c r="G131" s="9" t="n"/>
      <c r="H131" s="9" t="n"/>
      <c r="I131" s="9" t="n"/>
      <c r="J131" s="11" t="n"/>
      <c r="K131" s="33" t="n"/>
      <c r="L131" s="9" t="n"/>
      <c r="M131" s="26" t="n"/>
      <c r="N131" s="32" t="n"/>
      <c r="O131" s="26" t="n"/>
    </row>
    <row r="132">
      <c r="A132" s="7">
        <f>A131+1</f>
        <v/>
      </c>
      <c r="B132" s="567" t="n"/>
      <c r="C132" s="592" t="n"/>
      <c r="D132" s="26" t="n"/>
      <c r="E132" s="32" t="n"/>
      <c r="F132" s="32" t="n"/>
      <c r="G132" s="30" t="n"/>
      <c r="H132" s="9" t="n"/>
      <c r="I132" s="9" t="n"/>
      <c r="J132" s="11" t="n"/>
      <c r="K132" s="33" t="n"/>
      <c r="L132" s="9" t="n"/>
      <c r="M132" s="31" t="n"/>
      <c r="N132" s="32" t="n"/>
      <c r="O132" s="26" t="n"/>
    </row>
    <row r="133">
      <c r="A133" s="7">
        <f>A132+1</f>
        <v/>
      </c>
      <c r="B133" s="567" t="n"/>
      <c r="C133" s="592" t="n"/>
      <c r="D133" s="26" t="n"/>
      <c r="E133" s="32" t="n"/>
      <c r="F133" s="32" t="n"/>
      <c r="G133" s="30" t="n"/>
      <c r="H133" s="9" t="n"/>
      <c r="I133" s="9" t="n"/>
      <c r="J133" s="11" t="n"/>
      <c r="K133" s="33" t="n"/>
      <c r="L133" s="9" t="n"/>
      <c r="M133" s="32" t="n"/>
      <c r="N133" s="32" t="n"/>
      <c r="O133" s="26" t="n"/>
    </row>
    <row r="134">
      <c r="A134" s="7">
        <f>A133+1</f>
        <v/>
      </c>
      <c r="B134" s="567" t="n"/>
      <c r="C134" s="592" t="n"/>
      <c r="D134" s="26" t="n"/>
      <c r="E134" s="32" t="n"/>
      <c r="F134" s="32" t="n"/>
      <c r="G134" s="30" t="n"/>
      <c r="H134" s="9" t="n"/>
      <c r="I134" s="9" t="n"/>
      <c r="J134" s="11" t="n"/>
      <c r="K134" s="33" t="n"/>
      <c r="L134" s="9" t="n"/>
      <c r="M134" s="32" t="n"/>
      <c r="N134" s="32" t="n"/>
      <c r="O134" s="26" t="n"/>
    </row>
    <row r="135">
      <c r="A135" s="7">
        <f>A134+1</f>
        <v/>
      </c>
      <c r="B135" s="567" t="n"/>
      <c r="C135" s="592" t="n"/>
      <c r="D135" s="26" t="n"/>
      <c r="E135" s="32" t="n"/>
      <c r="F135" s="32" t="n"/>
      <c r="G135" s="30" t="n"/>
      <c r="H135" s="9" t="n"/>
      <c r="I135" s="9" t="n"/>
      <c r="J135" s="11" t="n"/>
      <c r="K135" s="33" t="n"/>
      <c r="L135" s="9" t="n"/>
      <c r="M135" s="32" t="n"/>
      <c r="N135" s="51" t="n"/>
      <c r="O135" s="26" t="n"/>
    </row>
    <row r="136">
      <c r="A136" s="7">
        <f>A135+1</f>
        <v/>
      </c>
      <c r="B136" s="567" t="n"/>
      <c r="C136" s="592" t="n"/>
      <c r="D136" s="26" t="n"/>
      <c r="E136" s="32" t="n"/>
      <c r="F136" s="32" t="n"/>
      <c r="G136" s="30" t="n"/>
      <c r="H136" s="9" t="n"/>
      <c r="I136" s="9" t="n"/>
      <c r="J136" s="11" t="n"/>
      <c r="K136" s="33" t="n"/>
      <c r="L136" s="9" t="n"/>
      <c r="M136" s="32" t="n"/>
      <c r="N136" s="51" t="n"/>
      <c r="O136" s="26" t="n"/>
    </row>
    <row r="137">
      <c r="A137" s="7">
        <f>A136+1</f>
        <v/>
      </c>
      <c r="B137" s="567" t="n"/>
      <c r="C137" s="592" t="n"/>
      <c r="D137" s="26" t="n"/>
      <c r="E137" s="32" t="n"/>
      <c r="F137" s="32" t="n"/>
      <c r="G137" s="30" t="n"/>
      <c r="H137" s="9" t="n"/>
      <c r="I137" s="9" t="n"/>
      <c r="J137" s="11" t="n"/>
      <c r="K137" s="33" t="n"/>
      <c r="L137" s="9" t="n"/>
      <c r="M137" s="32" t="n"/>
      <c r="N137" s="32" t="n"/>
      <c r="O137" s="26" t="n"/>
    </row>
    <row r="138">
      <c r="A138" s="7">
        <f>A137+1</f>
        <v/>
      </c>
      <c r="B138" s="567" t="n"/>
      <c r="C138" s="592" t="n"/>
      <c r="D138" s="26" t="n"/>
      <c r="E138" s="32" t="n"/>
      <c r="F138" s="32" t="n"/>
      <c r="G138" s="30" t="n"/>
      <c r="H138" s="9" t="n"/>
      <c r="I138" s="9" t="n"/>
      <c r="J138" s="11" t="n"/>
      <c r="K138" s="33" t="n"/>
      <c r="L138" s="9" t="n"/>
      <c r="M138" s="32" t="n"/>
      <c r="N138" s="32" t="n"/>
      <c r="O138" s="26" t="n"/>
    </row>
    <row r="139">
      <c r="A139" s="7">
        <f>A138+1</f>
        <v/>
      </c>
      <c r="B139" s="567" t="n"/>
      <c r="C139" s="592" t="n"/>
      <c r="D139" s="26" t="n"/>
      <c r="E139" s="32" t="n"/>
      <c r="F139" s="32" t="n"/>
      <c r="G139" s="30" t="n"/>
      <c r="H139" s="9" t="n"/>
      <c r="I139" s="9" t="n"/>
      <c r="J139" s="11" t="n"/>
      <c r="K139" s="33" t="n"/>
      <c r="L139" s="9" t="n"/>
      <c r="M139" s="32" t="n"/>
      <c r="N139" s="32" t="n"/>
      <c r="O139" s="26" t="n"/>
    </row>
    <row r="140">
      <c r="A140" s="7">
        <f>A139+1</f>
        <v/>
      </c>
      <c r="B140" s="567" t="n"/>
      <c r="C140" s="592" t="n"/>
      <c r="D140" s="26" t="n"/>
      <c r="E140" s="32" t="n"/>
      <c r="F140" s="32" t="n"/>
      <c r="G140" s="30" t="n"/>
      <c r="H140" s="9" t="n"/>
      <c r="I140" s="9" t="n"/>
      <c r="J140" s="11" t="n"/>
      <c r="K140" s="33" t="n"/>
      <c r="L140" s="9" t="n"/>
      <c r="M140" s="26" t="n"/>
      <c r="N140" s="51" t="n"/>
      <c r="O140" s="26" t="n"/>
    </row>
    <row r="141">
      <c r="A141" s="7">
        <f>A140+1</f>
        <v/>
      </c>
      <c r="B141" s="567" t="n"/>
      <c r="C141" s="592" t="n"/>
      <c r="D141" s="26" t="n"/>
      <c r="E141" s="32" t="n"/>
      <c r="F141" s="32" t="n"/>
      <c r="G141" s="30" t="n"/>
      <c r="H141" s="9" t="n"/>
      <c r="I141" s="9" t="n"/>
      <c r="J141" s="11" t="n"/>
      <c r="K141" s="33" t="n"/>
      <c r="L141" s="9" t="n"/>
      <c r="M141" s="32" t="n"/>
      <c r="N141" s="32" t="n"/>
      <c r="O141" s="26" t="n"/>
    </row>
    <row r="142">
      <c r="A142" s="7">
        <f>A141+1</f>
        <v/>
      </c>
      <c r="B142" s="567" t="n"/>
      <c r="C142" s="592" t="n"/>
      <c r="D142" s="26" t="n"/>
      <c r="E142" s="32" t="n"/>
      <c r="F142" s="32" t="n"/>
      <c r="G142" s="30" t="n"/>
      <c r="H142" s="9" t="n"/>
      <c r="I142" s="9" t="n"/>
      <c r="J142" s="11" t="n"/>
      <c r="K142" s="33" t="n"/>
      <c r="L142" s="9" t="n"/>
      <c r="M142" s="32" t="n"/>
      <c r="N142" s="32" t="n"/>
      <c r="O142" s="26" t="n"/>
    </row>
    <row r="143">
      <c r="A143" s="7">
        <f>A142+1</f>
        <v/>
      </c>
      <c r="B143" s="567" t="n"/>
      <c r="C143" s="592" t="n"/>
      <c r="D143" s="26" t="n"/>
      <c r="E143" s="32" t="n"/>
      <c r="F143" s="32" t="n"/>
      <c r="G143" s="9" t="n"/>
      <c r="H143" s="9" t="n"/>
      <c r="I143" s="9" t="n"/>
      <c r="J143" s="11" t="n"/>
      <c r="K143" s="33" t="n"/>
      <c r="L143" s="9" t="n"/>
      <c r="M143" s="32" t="n"/>
      <c r="N143" s="32" t="n"/>
      <c r="O143" s="26" t="n"/>
    </row>
    <row r="144">
      <c r="A144" s="7">
        <f>A143+1</f>
        <v/>
      </c>
      <c r="B144" s="567" t="n"/>
      <c r="C144" s="592" t="n"/>
      <c r="D144" s="26" t="n"/>
      <c r="E144" s="32" t="n"/>
      <c r="F144" s="32" t="n"/>
      <c r="G144" s="9" t="n"/>
      <c r="H144" s="9" t="n"/>
      <c r="I144" s="9" t="n"/>
      <c r="J144" s="11" t="n"/>
      <c r="K144" s="33" t="n"/>
      <c r="L144" s="9" t="n"/>
      <c r="M144" s="32" t="n"/>
      <c r="N144" s="32" t="n"/>
      <c r="O144" s="26" t="n"/>
    </row>
    <row r="145">
      <c r="A145" s="7">
        <f>A144+1</f>
        <v/>
      </c>
      <c r="B145" s="567" t="n"/>
      <c r="C145" s="592" t="n"/>
      <c r="D145" s="37" t="n"/>
      <c r="E145" s="32" t="n"/>
      <c r="F145" s="32" t="n"/>
      <c r="G145" s="9" t="n"/>
      <c r="H145" s="9" t="n"/>
      <c r="I145" s="9" t="n"/>
      <c r="J145" s="11" t="n"/>
      <c r="K145" s="33" t="n"/>
      <c r="L145" s="9" t="n"/>
      <c r="M145" s="32" t="n"/>
      <c r="N145" s="32" t="n"/>
      <c r="O145" s="26" t="n"/>
    </row>
    <row r="146">
      <c r="A146" s="7">
        <f>A145+1</f>
        <v/>
      </c>
      <c r="B146" s="567" t="n"/>
      <c r="C146" s="592" t="n"/>
      <c r="D146" s="26" t="n"/>
      <c r="E146" s="32" t="n"/>
      <c r="F146" s="32" t="n"/>
      <c r="G146" s="9" t="n"/>
      <c r="H146" s="9" t="n"/>
      <c r="I146" s="9" t="n"/>
      <c r="J146" s="11" t="n"/>
      <c r="K146" s="33" t="n"/>
      <c r="L146" s="9" t="n"/>
      <c r="M146" s="32" t="n"/>
      <c r="N146" s="27" t="n"/>
      <c r="O146" s="26" t="n"/>
    </row>
    <row r="147">
      <c r="A147" s="7">
        <f>A146+1</f>
        <v/>
      </c>
      <c r="B147" s="443" t="n"/>
      <c r="C147" s="444" t="n"/>
      <c r="D147" s="26" t="n"/>
      <c r="E147" s="12" t="n"/>
      <c r="F147" s="12" t="n"/>
      <c r="G147" s="30" t="n"/>
      <c r="H147" s="9" t="n"/>
      <c r="I147" s="9" t="n"/>
      <c r="J147" s="11" t="n"/>
      <c r="K147" s="33" t="n"/>
      <c r="L147" s="9" t="n"/>
      <c r="M147" s="26" t="n"/>
      <c r="N147" s="35" t="n"/>
      <c r="O147" s="26" t="n"/>
    </row>
    <row r="148">
      <c r="A148" s="7">
        <f>A147+1</f>
        <v/>
      </c>
      <c r="B148" s="443" t="n"/>
      <c r="C148" s="444" t="n"/>
      <c r="D148" s="26" t="n"/>
      <c r="E148" s="12" t="n"/>
      <c r="F148" s="12" t="n"/>
      <c r="G148" s="30" t="n"/>
      <c r="H148" s="9" t="n"/>
      <c r="I148" s="9" t="n"/>
      <c r="J148" s="11" t="n"/>
      <c r="K148" s="33" t="n"/>
      <c r="L148" s="9" t="n"/>
      <c r="M148" s="26" t="n"/>
      <c r="N148" s="35" t="n"/>
      <c r="O148" s="26" t="n"/>
    </row>
    <row r="149">
      <c r="A149" s="7">
        <f>A148+1</f>
        <v/>
      </c>
      <c r="B149" s="443" t="n"/>
      <c r="C149" s="444" t="n"/>
      <c r="D149" s="26" t="n"/>
      <c r="E149" s="12" t="n"/>
      <c r="F149" s="12" t="n"/>
      <c r="G149" s="30" t="n"/>
      <c r="H149" s="9" t="n"/>
      <c r="I149" s="9" t="n"/>
      <c r="J149" s="11" t="n"/>
      <c r="K149" s="33" t="n"/>
      <c r="L149" s="9" t="n"/>
      <c r="M149" s="26" t="n"/>
      <c r="N149" s="35" t="n"/>
      <c r="O149" s="26" t="n"/>
    </row>
    <row r="150">
      <c r="A150" s="7">
        <f>A149+1</f>
        <v/>
      </c>
      <c r="B150" s="567" t="n"/>
      <c r="C150" s="592" t="n"/>
      <c r="D150" s="26" t="n"/>
      <c r="E150" s="12" t="n"/>
      <c r="F150" s="12" t="n"/>
      <c r="G150" s="9" t="n"/>
      <c r="H150" s="9" t="n"/>
      <c r="I150" s="9" t="n"/>
      <c r="J150" s="11" t="n"/>
      <c r="K150" s="33" t="n"/>
      <c r="L150" s="9" t="n"/>
      <c r="M150" s="12" t="n"/>
      <c r="N150" s="12" t="n"/>
      <c r="O150" s="10" t="n"/>
    </row>
    <row r="151">
      <c r="A151" s="7">
        <f>A150+1</f>
        <v/>
      </c>
      <c r="B151" s="443" t="n"/>
      <c r="C151" s="444" t="n"/>
      <c r="D151" s="26" t="n"/>
      <c r="E151" s="12" t="n"/>
      <c r="F151" s="12" t="n"/>
      <c r="G151" s="30" t="n"/>
      <c r="H151" s="9" t="n"/>
      <c r="I151" s="9" t="n"/>
      <c r="J151" s="11" t="n"/>
      <c r="K151" s="33" t="n"/>
      <c r="L151" s="9" t="n"/>
      <c r="M151" s="26" t="n"/>
      <c r="N151" s="35" t="n"/>
      <c r="O151" s="26" t="n"/>
    </row>
    <row r="152">
      <c r="A152" s="7">
        <f>A151+1</f>
        <v/>
      </c>
      <c r="B152" s="443" t="n"/>
      <c r="C152" s="444" t="n"/>
      <c r="D152" s="26" t="n"/>
      <c r="E152" s="12" t="n"/>
      <c r="F152" s="12" t="n"/>
      <c r="G152" s="30" t="n"/>
      <c r="H152" s="9" t="n"/>
      <c r="I152" s="9" t="n"/>
      <c r="J152" s="11" t="n"/>
      <c r="K152" s="33" t="n"/>
      <c r="L152" s="9" t="n"/>
      <c r="M152" s="26" t="n"/>
      <c r="N152" s="35" t="n"/>
      <c r="O152" s="26" t="n"/>
    </row>
    <row r="153">
      <c r="A153" s="7">
        <f>A152+1</f>
        <v/>
      </c>
      <c r="B153" s="443" t="n"/>
      <c r="C153" s="444" t="n"/>
      <c r="D153" s="26" t="n"/>
      <c r="E153" s="12" t="n"/>
      <c r="F153" s="12" t="n"/>
      <c r="G153" s="30" t="n"/>
      <c r="H153" s="9" t="n"/>
      <c r="I153" s="9" t="n"/>
      <c r="J153" s="11" t="n"/>
      <c r="K153" s="33" t="n"/>
      <c r="L153" s="9" t="n"/>
      <c r="M153" s="26" t="n"/>
      <c r="N153" s="35" t="n"/>
      <c r="O153" s="26" t="n"/>
    </row>
    <row r="154">
      <c r="A154" s="7">
        <f>A153+1</f>
        <v/>
      </c>
      <c r="B154" s="443" t="n"/>
      <c r="C154" s="444" t="n"/>
      <c r="D154" s="26" t="n"/>
      <c r="E154" s="12" t="n"/>
      <c r="F154" s="12" t="n"/>
      <c r="G154" s="30" t="n"/>
      <c r="H154" s="9" t="n"/>
      <c r="I154" s="9" t="n"/>
      <c r="J154" s="11" t="n"/>
      <c r="K154" s="33" t="n"/>
      <c r="L154" s="9" t="n"/>
      <c r="M154" s="26" t="n"/>
      <c r="N154" s="35" t="n"/>
      <c r="O154" s="26" t="n"/>
    </row>
    <row r="155">
      <c r="A155" s="7">
        <f>A154+1</f>
        <v/>
      </c>
      <c r="B155" s="443" t="n"/>
      <c r="C155" s="444" t="n"/>
      <c r="D155" s="26" t="n"/>
      <c r="E155" s="12" t="n"/>
      <c r="F155" s="12" t="n"/>
      <c r="G155" s="30" t="n"/>
      <c r="H155" s="9" t="n"/>
      <c r="I155" s="9" t="n"/>
      <c r="J155" s="11" t="n"/>
      <c r="K155" s="33" t="n"/>
      <c r="L155" s="9" t="n"/>
      <c r="M155" s="26" t="n"/>
      <c r="N155" s="35" t="n"/>
      <c r="O155" s="26" t="n"/>
    </row>
    <row r="156">
      <c r="A156" s="7">
        <f>A155+1</f>
        <v/>
      </c>
      <c r="B156" s="443" t="n"/>
      <c r="C156" s="444" t="n"/>
      <c r="D156" s="26" t="n"/>
      <c r="E156" s="12" t="n"/>
      <c r="F156" s="12" t="n"/>
      <c r="G156" s="30" t="n"/>
      <c r="H156" s="9" t="n"/>
      <c r="I156" s="9" t="n"/>
      <c r="J156" s="11" t="n"/>
      <c r="K156" s="33" t="n"/>
      <c r="L156" s="9" t="n"/>
      <c r="M156" s="26" t="n"/>
      <c r="N156" s="35" t="n"/>
      <c r="O156" s="26" t="n"/>
    </row>
    <row r="157">
      <c r="A157" s="7">
        <f>A156+1</f>
        <v/>
      </c>
      <c r="B157" s="443" t="n"/>
      <c r="C157" s="444" t="n"/>
      <c r="D157" s="26" t="n"/>
      <c r="E157" s="12" t="n"/>
      <c r="F157" s="12" t="n"/>
      <c r="G157" s="30" t="n"/>
      <c r="H157" s="9" t="n"/>
      <c r="I157" s="9" t="n"/>
      <c r="J157" s="11" t="n"/>
      <c r="K157" s="33" t="n"/>
      <c r="L157" s="9" t="n"/>
      <c r="M157" s="26" t="n"/>
      <c r="N157" s="35" t="n"/>
      <c r="O157" s="26" t="n"/>
    </row>
    <row r="158">
      <c r="A158" s="7">
        <f>A157+1</f>
        <v/>
      </c>
      <c r="B158" s="443" t="n"/>
      <c r="C158" s="444" t="n"/>
      <c r="D158" s="26" t="n"/>
      <c r="E158" s="12" t="n"/>
      <c r="F158" s="12" t="n"/>
      <c r="G158" s="30" t="n"/>
      <c r="H158" s="9" t="n"/>
      <c r="I158" s="9" t="n"/>
      <c r="J158" s="11" t="n"/>
      <c r="K158" s="33" t="n"/>
      <c r="L158" s="9" t="n"/>
      <c r="M158" s="26" t="n"/>
      <c r="N158" s="35" t="n"/>
      <c r="O158" s="26" t="n"/>
    </row>
    <row r="159">
      <c r="A159" s="7">
        <f>A158+1</f>
        <v/>
      </c>
      <c r="B159" s="443" t="n"/>
      <c r="C159" s="444" t="n"/>
      <c r="D159" s="26" t="n"/>
      <c r="E159" s="12" t="n"/>
      <c r="F159" s="12" t="n"/>
      <c r="G159" s="30" t="n"/>
      <c r="H159" s="9" t="n"/>
      <c r="I159" s="9" t="n"/>
      <c r="J159" s="11" t="n"/>
      <c r="K159" s="33" t="n"/>
      <c r="L159" s="9" t="n"/>
      <c r="M159" s="26" t="n"/>
      <c r="N159" s="35" t="n"/>
      <c r="O159" s="26" t="n"/>
    </row>
    <row r="160">
      <c r="A160" s="7">
        <f>A159+1</f>
        <v/>
      </c>
      <c r="B160" s="443" t="n"/>
      <c r="C160" s="444" t="n"/>
      <c r="D160" s="26" t="n"/>
      <c r="E160" s="12" t="n"/>
      <c r="F160" s="12" t="n"/>
      <c r="G160" s="30" t="n"/>
      <c r="H160" s="9" t="n"/>
      <c r="I160" s="9" t="n"/>
      <c r="J160" s="11" t="n"/>
      <c r="K160" s="33" t="n"/>
      <c r="L160" s="9" t="n"/>
      <c r="M160" s="26" t="n"/>
      <c r="N160" s="35" t="n"/>
      <c r="O160" s="26" t="n"/>
    </row>
    <row r="161">
      <c r="A161" s="7">
        <f>A160+1</f>
        <v/>
      </c>
      <c r="B161" s="443" t="n"/>
      <c r="C161" s="444" t="n"/>
      <c r="D161" s="26" t="n"/>
      <c r="E161" s="12" t="n"/>
      <c r="F161" s="12" t="n"/>
      <c r="G161" s="30" t="n"/>
      <c r="H161" s="9" t="n"/>
      <c r="I161" s="9" t="n"/>
      <c r="J161" s="11" t="n"/>
      <c r="K161" s="33" t="n"/>
      <c r="L161" s="9" t="n"/>
      <c r="M161" s="26" t="n"/>
      <c r="N161" s="35" t="n"/>
      <c r="O161" s="26" t="n"/>
    </row>
    <row r="162">
      <c r="A162" s="7">
        <f>A161+1</f>
        <v/>
      </c>
      <c r="B162" s="443" t="n"/>
      <c r="C162" s="444" t="n"/>
      <c r="D162" s="26" t="n"/>
      <c r="E162" s="12" t="n"/>
      <c r="F162" s="12" t="n"/>
      <c r="G162" s="30" t="n"/>
      <c r="H162" s="9" t="n"/>
      <c r="I162" s="9" t="n"/>
      <c r="J162" s="11" t="n"/>
      <c r="K162" s="33" t="n"/>
      <c r="L162" s="9" t="n"/>
      <c r="M162" s="26" t="n"/>
      <c r="N162" s="35" t="n"/>
      <c r="O162" s="26" t="n"/>
    </row>
    <row r="163">
      <c r="A163" s="7">
        <f>A162+1</f>
        <v/>
      </c>
      <c r="B163" s="443" t="n"/>
      <c r="C163" s="444" t="n"/>
      <c r="D163" s="26" t="n"/>
      <c r="E163" s="12" t="n"/>
      <c r="F163" s="12" t="n"/>
      <c r="G163" s="30" t="n"/>
      <c r="H163" s="9" t="n"/>
      <c r="I163" s="9" t="n"/>
      <c r="J163" s="11" t="n"/>
      <c r="K163" s="33" t="n"/>
      <c r="L163" s="9" t="n"/>
      <c r="M163" s="26" t="n"/>
      <c r="N163" s="35" t="n"/>
      <c r="O163" s="26" t="n"/>
    </row>
    <row r="164">
      <c r="A164" s="7">
        <f>A163+1</f>
        <v/>
      </c>
      <c r="B164" s="443" t="n"/>
      <c r="C164" s="444" t="n"/>
      <c r="D164" s="26" t="n"/>
      <c r="E164" s="12" t="n"/>
      <c r="F164" s="12" t="n"/>
      <c r="G164" s="30" t="n"/>
      <c r="H164" s="9" t="n"/>
      <c r="I164" s="9" t="n"/>
      <c r="J164" s="11" t="n"/>
      <c r="K164" s="33" t="n"/>
      <c r="L164" s="9" t="n"/>
      <c r="M164" s="26" t="n"/>
      <c r="N164" s="35" t="n"/>
      <c r="O164" s="26" t="n"/>
    </row>
    <row r="165">
      <c r="A165" s="7">
        <f>A164+1</f>
        <v/>
      </c>
      <c r="B165" s="443" t="n"/>
      <c r="C165" s="444" t="n"/>
      <c r="D165" s="26" t="n"/>
      <c r="E165" s="12" t="n"/>
      <c r="F165" s="12" t="n"/>
      <c r="G165" s="30" t="n"/>
      <c r="H165" s="9" t="n"/>
      <c r="I165" s="9" t="n"/>
      <c r="J165" s="11" t="n"/>
      <c r="K165" s="33" t="n"/>
      <c r="L165" s="9" t="n"/>
      <c r="M165" s="26" t="n"/>
      <c r="N165" s="35" t="n"/>
      <c r="O165" s="26" t="n"/>
    </row>
    <row r="166">
      <c r="A166" s="7">
        <f>A165+1</f>
        <v/>
      </c>
      <c r="B166" s="443" t="n"/>
      <c r="C166" s="444" t="n"/>
      <c r="D166" s="26" t="n"/>
      <c r="E166" s="12" t="n"/>
      <c r="F166" s="12" t="n"/>
      <c r="G166" s="30" t="n"/>
      <c r="H166" s="9" t="n"/>
      <c r="I166" s="9" t="n"/>
      <c r="J166" s="11" t="n"/>
      <c r="K166" s="33" t="n"/>
      <c r="L166" s="9" t="n"/>
      <c r="M166" s="26" t="n"/>
      <c r="N166" s="35" t="n"/>
      <c r="O166" s="26" t="n"/>
    </row>
    <row r="167">
      <c r="A167" s="7">
        <f>A166+1</f>
        <v/>
      </c>
      <c r="B167" s="443" t="n"/>
      <c r="C167" s="444" t="n"/>
      <c r="D167" s="26" t="n"/>
      <c r="E167" s="12" t="n"/>
      <c r="F167" s="12" t="n"/>
      <c r="G167" s="30" t="n"/>
      <c r="H167" s="9" t="n"/>
      <c r="I167" s="9" t="n"/>
      <c r="J167" s="11" t="n"/>
      <c r="K167" s="33" t="n"/>
      <c r="L167" s="9" t="n"/>
      <c r="M167" s="26" t="n"/>
      <c r="N167" s="35" t="n"/>
      <c r="O167" s="26" t="n"/>
    </row>
    <row r="168">
      <c r="A168" s="7">
        <f>A167+1</f>
        <v/>
      </c>
      <c r="B168" s="443" t="n"/>
      <c r="C168" s="444" t="n"/>
      <c r="D168" s="26" t="n"/>
      <c r="E168" s="12" t="n"/>
      <c r="F168" s="12" t="n"/>
      <c r="G168" s="30" t="n"/>
      <c r="H168" s="9" t="n"/>
      <c r="I168" s="9" t="n"/>
      <c r="J168" s="11" t="n"/>
      <c r="K168" s="33" t="n"/>
      <c r="L168" s="9" t="n"/>
      <c r="M168" s="26" t="n"/>
      <c r="N168" s="35" t="n"/>
      <c r="O168" s="26" t="n"/>
    </row>
    <row r="169">
      <c r="A169" s="7">
        <f>A168+1</f>
        <v/>
      </c>
      <c r="B169" s="443" t="n"/>
      <c r="C169" s="444" t="n"/>
      <c r="D169" s="26" t="n"/>
      <c r="E169" s="12" t="n"/>
      <c r="F169" s="12" t="n"/>
      <c r="G169" s="30" t="n"/>
      <c r="H169" s="9" t="n"/>
      <c r="I169" s="9" t="n"/>
      <c r="J169" s="11" t="n"/>
      <c r="K169" s="33" t="n"/>
      <c r="L169" s="9" t="n"/>
      <c r="M169" s="26" t="n"/>
      <c r="N169" s="35" t="n"/>
      <c r="O169" s="26" t="n"/>
    </row>
    <row r="170">
      <c r="A170" s="7">
        <f>A169+1</f>
        <v/>
      </c>
      <c r="B170" s="443" t="n"/>
      <c r="C170" s="444" t="n"/>
      <c r="D170" s="26" t="n"/>
      <c r="E170" s="12" t="n"/>
      <c r="F170" s="12" t="n"/>
      <c r="G170" s="30" t="n"/>
      <c r="H170" s="9" t="n"/>
      <c r="I170" s="9" t="n"/>
      <c r="J170" s="11" t="n"/>
      <c r="K170" s="33" t="n"/>
      <c r="L170" s="9" t="n"/>
      <c r="M170" s="26" t="n"/>
      <c r="N170" s="35" t="n"/>
      <c r="O170" s="26" t="n"/>
    </row>
    <row r="171">
      <c r="A171" s="7">
        <f>A170+1</f>
        <v/>
      </c>
      <c r="B171" s="443" t="n"/>
      <c r="C171" s="444" t="n"/>
      <c r="D171" s="26" t="n"/>
      <c r="E171" s="12" t="n"/>
      <c r="F171" s="12" t="n"/>
      <c r="G171" s="30" t="n"/>
      <c r="H171" s="9" t="n"/>
      <c r="I171" s="9" t="n"/>
      <c r="J171" s="11" t="n"/>
      <c r="K171" s="33" t="n"/>
      <c r="L171" s="9" t="n"/>
      <c r="M171" s="26" t="n"/>
      <c r="N171" s="35" t="n"/>
      <c r="O171" s="26" t="n"/>
    </row>
    <row r="172">
      <c r="A172" s="7">
        <f>A171+1</f>
        <v/>
      </c>
      <c r="B172" s="443" t="n"/>
      <c r="C172" s="444" t="n"/>
      <c r="D172" s="26" t="n"/>
      <c r="E172" s="12" t="n"/>
      <c r="F172" s="12" t="n"/>
      <c r="G172" s="30" t="n"/>
      <c r="H172" s="9" t="n"/>
      <c r="I172" s="9" t="n"/>
      <c r="J172" s="11" t="n"/>
      <c r="K172" s="33" t="n"/>
      <c r="L172" s="9" t="n"/>
      <c r="M172" s="26" t="n"/>
      <c r="N172" s="35" t="n"/>
      <c r="O172" s="26" t="n"/>
    </row>
    <row r="173">
      <c r="A173" s="7">
        <f>A172+1</f>
        <v/>
      </c>
      <c r="B173" s="443" t="n"/>
      <c r="C173" s="444" t="n"/>
      <c r="D173" s="26" t="n"/>
      <c r="E173" s="12" t="n"/>
      <c r="F173" s="12" t="n"/>
      <c r="G173" s="30" t="n"/>
      <c r="H173" s="9" t="n"/>
      <c r="I173" s="9" t="n"/>
      <c r="J173" s="11" t="n"/>
      <c r="K173" s="33" t="n"/>
      <c r="L173" s="9" t="n"/>
      <c r="M173" s="26" t="n"/>
      <c r="N173" s="35" t="n"/>
      <c r="O173" s="26" t="n"/>
    </row>
    <row r="174">
      <c r="A174" s="7">
        <f>A173+1</f>
        <v/>
      </c>
      <c r="B174" s="443" t="n"/>
      <c r="C174" s="444" t="n"/>
      <c r="D174" s="26" t="n"/>
      <c r="E174" s="12" t="n"/>
      <c r="F174" s="12" t="n"/>
      <c r="G174" s="30" t="n"/>
      <c r="H174" s="9" t="n"/>
      <c r="I174" s="9" t="n"/>
      <c r="J174" s="11" t="n"/>
      <c r="K174" s="33" t="n"/>
      <c r="L174" s="9" t="n"/>
      <c r="M174" s="26" t="n"/>
      <c r="N174" s="35" t="n"/>
      <c r="O174" s="26" t="n"/>
    </row>
    <row r="175">
      <c r="A175" s="7">
        <f>A174+1</f>
        <v/>
      </c>
      <c r="B175" s="443" t="n"/>
      <c r="C175" s="444" t="n"/>
      <c r="D175" s="26" t="n"/>
      <c r="E175" s="12" t="n"/>
      <c r="F175" s="12" t="n"/>
      <c r="G175" s="30" t="n"/>
      <c r="H175" s="9" t="n"/>
      <c r="I175" s="9" t="n"/>
      <c r="J175" s="11" t="n"/>
      <c r="K175" s="33" t="n"/>
      <c r="L175" s="9" t="n"/>
      <c r="M175" s="26" t="n"/>
      <c r="N175" s="35" t="n"/>
      <c r="O175" s="26" t="n"/>
    </row>
    <row r="176">
      <c r="A176" s="7">
        <f>A175+1</f>
        <v/>
      </c>
      <c r="B176" s="443" t="n"/>
      <c r="C176" s="444" t="n"/>
      <c r="D176" s="26" t="n"/>
      <c r="E176" s="12" t="n"/>
      <c r="F176" s="12" t="n"/>
      <c r="G176" s="30" t="n"/>
      <c r="H176" s="9" t="n"/>
      <c r="I176" s="9" t="n"/>
      <c r="J176" s="11" t="n"/>
      <c r="K176" s="33" t="n"/>
      <c r="L176" s="9" t="n"/>
      <c r="M176" s="26" t="n"/>
      <c r="N176" s="35" t="n"/>
      <c r="O176" s="26" t="n"/>
    </row>
    <row r="177">
      <c r="A177" s="7">
        <f>A176+1</f>
        <v/>
      </c>
      <c r="B177" s="443" t="n"/>
      <c r="C177" s="444" t="n"/>
      <c r="D177" s="26" t="n"/>
      <c r="E177" s="12" t="n"/>
      <c r="F177" s="12" t="n"/>
      <c r="G177" s="30" t="n"/>
      <c r="H177" s="9" t="n"/>
      <c r="I177" s="9" t="n"/>
      <c r="J177" s="11" t="n"/>
      <c r="K177" s="33" t="n"/>
      <c r="L177" s="9" t="n"/>
      <c r="M177" s="26" t="n"/>
      <c r="N177" s="35" t="n"/>
      <c r="O177" s="26" t="n"/>
    </row>
    <row r="178">
      <c r="A178" s="7">
        <f>A177+1</f>
        <v/>
      </c>
      <c r="B178" s="443" t="n"/>
      <c r="C178" s="444" t="n"/>
      <c r="D178" s="26" t="n"/>
      <c r="E178" s="12" t="n"/>
      <c r="F178" s="12" t="n"/>
      <c r="G178" s="30" t="n"/>
      <c r="H178" s="9" t="n"/>
      <c r="I178" s="9" t="n"/>
      <c r="J178" s="11" t="n"/>
      <c r="K178" s="33" t="n"/>
      <c r="L178" s="9" t="n"/>
      <c r="M178" s="26" t="n"/>
      <c r="N178" s="35" t="n"/>
      <c r="O178" s="26" t="n"/>
    </row>
    <row r="179">
      <c r="A179" s="7">
        <f>A178+1</f>
        <v/>
      </c>
      <c r="B179" s="443" t="n"/>
      <c r="C179" s="444" t="n"/>
      <c r="D179" s="26" t="n"/>
      <c r="E179" s="12" t="n"/>
      <c r="F179" s="12" t="n"/>
      <c r="G179" s="30" t="n"/>
      <c r="H179" s="9" t="n"/>
      <c r="I179" s="9" t="n"/>
      <c r="J179" s="11" t="n"/>
      <c r="K179" s="33" t="n"/>
      <c r="L179" s="9" t="n"/>
      <c r="M179" s="26" t="n"/>
      <c r="N179" s="35" t="n"/>
      <c r="O179" s="26" t="n"/>
    </row>
    <row r="180">
      <c r="A180" s="7">
        <f>A179+1</f>
        <v/>
      </c>
      <c r="B180" s="443" t="n"/>
      <c r="C180" s="444" t="n"/>
      <c r="D180" s="26" t="n"/>
      <c r="E180" s="12" t="n"/>
      <c r="F180" s="12" t="n"/>
      <c r="G180" s="30" t="n"/>
      <c r="H180" s="9" t="n"/>
      <c r="I180" s="9" t="n"/>
      <c r="J180" s="11" t="n"/>
      <c r="K180" s="33" t="n"/>
      <c r="L180" s="9" t="n"/>
      <c r="M180" s="26" t="n"/>
      <c r="N180" s="35" t="n"/>
      <c r="O180" s="26" t="n"/>
    </row>
    <row r="181">
      <c r="A181" s="7">
        <f>A180+1</f>
        <v/>
      </c>
      <c r="B181" s="443" t="n"/>
      <c r="C181" s="444" t="n"/>
      <c r="D181" s="26" t="n"/>
      <c r="E181" s="12" t="n"/>
      <c r="F181" s="12" t="n"/>
      <c r="G181" s="30" t="n"/>
      <c r="H181" s="9" t="n"/>
      <c r="I181" s="9" t="n"/>
      <c r="J181" s="11" t="n"/>
      <c r="K181" s="33" t="n"/>
      <c r="L181" s="9" t="n"/>
      <c r="M181" s="26" t="n"/>
      <c r="N181" s="35" t="n"/>
      <c r="O181" s="26" t="n"/>
    </row>
    <row r="189" ht="18.75" customHeight="1" s="79">
      <c r="C189" s="258" t="inlineStr">
        <is>
          <t>Mengetahui :</t>
        </is>
      </c>
      <c r="L189" s="258" t="inlineStr">
        <is>
          <t>Banjarmasin,     Desember 2025</t>
        </is>
      </c>
    </row>
    <row r="190">
      <c r="C190" s="5" t="inlineStr">
        <is>
          <t>Kepala Bakesbangpol Kota Banjarmasin,</t>
        </is>
      </c>
      <c r="L190" s="5" t="inlineStr">
        <is>
          <t>Pengurus Barang,</t>
        </is>
      </c>
    </row>
    <row r="191">
      <c r="C191" s="5" t="n"/>
      <c r="L191" s="5" t="n"/>
    </row>
    <row r="192">
      <c r="C192" s="5" t="n"/>
      <c r="L192" s="5" t="n"/>
    </row>
    <row r="193">
      <c r="C193" s="5" t="n"/>
      <c r="L193" s="5" t="n"/>
    </row>
    <row r="194">
      <c r="C194" s="6" t="inlineStr">
        <is>
          <t>Dr. H. LUKMAN FADLUN, SH, MH</t>
        </is>
      </c>
      <c r="L194" s="6" t="inlineStr">
        <is>
          <t>TRISNAWATI M ULYO HAPSARI, SE</t>
        </is>
      </c>
    </row>
    <row r="195">
      <c r="C195" s="5" t="inlineStr">
        <is>
          <t>Pembina Utama Muda</t>
        </is>
      </c>
      <c r="L195" s="23" t="inlineStr">
        <is>
          <t>NIP. 19721124 200604 2 005</t>
        </is>
      </c>
    </row>
    <row r="196">
      <c r="C196" s="23" t="n"/>
      <c r="L196" s="23" t="n"/>
    </row>
    <row r="197">
      <c r="C197" s="23" t="n"/>
    </row>
    <row r="198">
      <c r="K198" s="24" t="n"/>
    </row>
    <row r="199">
      <c r="B199" s="21" t="n"/>
      <c r="K199" s="25" t="n"/>
    </row>
    <row r="200">
      <c r="B200" s="22" t="n"/>
    </row>
    <row r="201">
      <c r="B201" s="22" t="n"/>
    </row>
  </sheetData>
  <mergeCells count="104">
    <mergeCell ref="B91:C91"/>
    <mergeCell ref="B141:C141"/>
    <mergeCell ref="B22:C22"/>
    <mergeCell ref="B31:C31"/>
    <mergeCell ref="E10:E11"/>
    <mergeCell ref="B12:C12"/>
    <mergeCell ref="B77:C77"/>
    <mergeCell ref="F9:F11"/>
    <mergeCell ref="B21:C21"/>
    <mergeCell ref="B86:C86"/>
    <mergeCell ref="L9:N9"/>
    <mergeCell ref="B14:C14"/>
    <mergeCell ref="B13:C13"/>
    <mergeCell ref="B38:C38"/>
    <mergeCell ref="B78:C78"/>
    <mergeCell ref="B127:C127"/>
    <mergeCell ref="B40:C40"/>
    <mergeCell ref="B49:C49"/>
    <mergeCell ref="B55:C55"/>
    <mergeCell ref="B24:C24"/>
    <mergeCell ref="D10:D11"/>
    <mergeCell ref="B33:C33"/>
    <mergeCell ref="B51:C51"/>
    <mergeCell ref="B32:C32"/>
    <mergeCell ref="B26:C26"/>
    <mergeCell ref="B41:C41"/>
    <mergeCell ref="B35:C35"/>
    <mergeCell ref="B129:C129"/>
    <mergeCell ref="B16:C16"/>
    <mergeCell ref="B138:C138"/>
    <mergeCell ref="B25:C25"/>
    <mergeCell ref="B131:C131"/>
    <mergeCell ref="B18:C18"/>
    <mergeCell ref="B27:C27"/>
    <mergeCell ref="B140:C140"/>
    <mergeCell ref="B130:C130"/>
    <mergeCell ref="B132:C132"/>
    <mergeCell ref="B53:C53"/>
    <mergeCell ref="B29:C29"/>
    <mergeCell ref="B37:C37"/>
    <mergeCell ref="B84:C84"/>
    <mergeCell ref="A10:A11"/>
    <mergeCell ref="O10:O11"/>
    <mergeCell ref="B15:C15"/>
    <mergeCell ref="B142:C142"/>
    <mergeCell ref="B80:C80"/>
    <mergeCell ref="B89:C89"/>
    <mergeCell ref="B79:C79"/>
    <mergeCell ref="B144:C144"/>
    <mergeCell ref="B54:C54"/>
    <mergeCell ref="B125:C125"/>
    <mergeCell ref="B134:C134"/>
    <mergeCell ref="B81:C81"/>
    <mergeCell ref="B121:C121"/>
    <mergeCell ref="B10:C11"/>
    <mergeCell ref="B122:C122"/>
    <mergeCell ref="B56:C56"/>
    <mergeCell ref="B43:C43"/>
    <mergeCell ref="B52:C52"/>
    <mergeCell ref="G9:G11"/>
    <mergeCell ref="B120:C120"/>
    <mergeCell ref="B42:C42"/>
    <mergeCell ref="B17:C17"/>
    <mergeCell ref="B57:C57"/>
    <mergeCell ref="B88:C88"/>
    <mergeCell ref="A3:B3"/>
    <mergeCell ref="B82:C82"/>
    <mergeCell ref="B44:C44"/>
    <mergeCell ref="B19:C19"/>
    <mergeCell ref="B34:C34"/>
    <mergeCell ref="B146:C146"/>
    <mergeCell ref="A5:B5"/>
    <mergeCell ref="B28:C28"/>
    <mergeCell ref="B9:C9"/>
    <mergeCell ref="B83:C83"/>
    <mergeCell ref="B143:C143"/>
    <mergeCell ref="A4:B4"/>
    <mergeCell ref="B30:C30"/>
    <mergeCell ref="B124:C124"/>
    <mergeCell ref="B20:C20"/>
    <mergeCell ref="B76:C76"/>
    <mergeCell ref="B133:C133"/>
    <mergeCell ref="B45:C45"/>
    <mergeCell ref="B85:C85"/>
    <mergeCell ref="B126:C126"/>
    <mergeCell ref="B75:C75"/>
    <mergeCell ref="B135:C135"/>
    <mergeCell ref="B47:C47"/>
    <mergeCell ref="B150:C150"/>
    <mergeCell ref="B46:C46"/>
    <mergeCell ref="A6:B6"/>
    <mergeCell ref="B39:C39"/>
    <mergeCell ref="B48:C48"/>
    <mergeCell ref="B136:C136"/>
    <mergeCell ref="B23:C23"/>
    <mergeCell ref="B145:C145"/>
    <mergeCell ref="B87:C87"/>
    <mergeCell ref="B128:C128"/>
    <mergeCell ref="B137:C137"/>
    <mergeCell ref="B74:C74"/>
    <mergeCell ref="B139:C139"/>
    <mergeCell ref="B123:C123"/>
    <mergeCell ref="B36:C36"/>
    <mergeCell ref="B50:C50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P35"/>
  <sheetViews>
    <sheetView view="pageBreakPreview" zoomScale="70" zoomScaleNormal="55" zoomScaleSheetLayoutView="70" workbookViewId="0">
      <selection activeCell="J18" sqref="J18"/>
    </sheetView>
  </sheetViews>
  <sheetFormatPr baseColWidth="8" defaultRowHeight="15.75"/>
  <cols>
    <col width="6.375" customWidth="1" style="79" min="1" max="1"/>
    <col width="6.5" customWidth="1" style="79" min="2" max="2"/>
    <col width="8.875" customWidth="1" style="79" min="3" max="3"/>
    <col width="22.125" customWidth="1" style="79" min="4" max="4"/>
    <col width="12.875" customWidth="1" style="79" min="5" max="5"/>
    <col width="11.25" customWidth="1" style="79" min="6" max="6"/>
    <col width="11.5" customWidth="1" style="79" min="7" max="7"/>
    <col width="14.625" customWidth="1" style="79" min="8" max="8"/>
    <col width="17.625" customWidth="1" style="79" min="9" max="9"/>
    <col width="19" customWidth="1" style="79" min="10" max="10"/>
    <col width="12.125" customWidth="1" style="79" min="11" max="11"/>
    <col width="15.125" customWidth="1" style="79" min="12" max="12"/>
    <col width="7.125" customWidth="1" style="79" min="13" max="13"/>
    <col width="13.875" customWidth="1" style="79" min="14" max="14"/>
    <col width="13.625" customWidth="1" style="79" min="15" max="15"/>
    <col width="12.875" customWidth="1" style="79" min="16" max="16"/>
    <col width="7" customWidth="1" style="79" min="259" max="259"/>
    <col width="17.75" customWidth="1" style="79" min="260" max="260"/>
    <col width="10.875" customWidth="1" style="79" min="261" max="261"/>
    <col width="11.25" customWidth="1" style="79" min="262" max="262"/>
    <col width="11.5" customWidth="1" style="79" min="263" max="263"/>
    <col width="11.625" customWidth="1" style="79" min="264" max="264"/>
    <col width="15.5" customWidth="1" style="79" min="265" max="265"/>
    <col width="18.75" customWidth="1" style="79" min="266" max="266"/>
    <col width="15.375" customWidth="1" style="79" min="267" max="267"/>
    <col width="15.125" customWidth="1" style="79" min="268" max="268"/>
    <col width="11" customWidth="1" style="79" min="270" max="270"/>
    <col width="10.625" customWidth="1" style="79" min="271" max="271"/>
    <col width="9.625" customWidth="1" style="79" min="272" max="272"/>
    <col width="7" customWidth="1" style="79" min="515" max="515"/>
    <col width="17.75" customWidth="1" style="79" min="516" max="516"/>
    <col width="10.875" customWidth="1" style="79" min="517" max="517"/>
    <col width="11.25" customWidth="1" style="79" min="518" max="518"/>
    <col width="11.5" customWidth="1" style="79" min="519" max="519"/>
    <col width="11.625" customWidth="1" style="79" min="520" max="520"/>
    <col width="15.5" customWidth="1" style="79" min="521" max="521"/>
    <col width="18.75" customWidth="1" style="79" min="522" max="522"/>
    <col width="15.375" customWidth="1" style="79" min="523" max="523"/>
    <col width="15.125" customWidth="1" style="79" min="524" max="524"/>
    <col width="11" customWidth="1" style="79" min="526" max="526"/>
    <col width="10.625" customWidth="1" style="79" min="527" max="527"/>
    <col width="9.625" customWidth="1" style="79" min="528" max="528"/>
    <col width="7" customWidth="1" style="79" min="771" max="771"/>
    <col width="17.75" customWidth="1" style="79" min="772" max="772"/>
    <col width="10.875" customWidth="1" style="79" min="773" max="773"/>
    <col width="11.25" customWidth="1" style="79" min="774" max="774"/>
    <col width="11.5" customWidth="1" style="79" min="775" max="775"/>
    <col width="11.625" customWidth="1" style="79" min="776" max="776"/>
    <col width="15.5" customWidth="1" style="79" min="777" max="777"/>
    <col width="18.75" customWidth="1" style="79" min="778" max="778"/>
    <col width="15.375" customWidth="1" style="79" min="779" max="779"/>
    <col width="15.125" customWidth="1" style="79" min="780" max="780"/>
    <col width="11" customWidth="1" style="79" min="782" max="782"/>
    <col width="10.625" customWidth="1" style="79" min="783" max="783"/>
    <col width="9.625" customWidth="1" style="79" min="784" max="784"/>
    <col width="7" customWidth="1" style="79" min="1027" max="1027"/>
    <col width="17.75" customWidth="1" style="79" min="1028" max="1028"/>
    <col width="10.875" customWidth="1" style="79" min="1029" max="1029"/>
    <col width="11.25" customWidth="1" style="79" min="1030" max="1030"/>
    <col width="11.5" customWidth="1" style="79" min="1031" max="1031"/>
    <col width="11.625" customWidth="1" style="79" min="1032" max="1032"/>
    <col width="15.5" customWidth="1" style="79" min="1033" max="1033"/>
    <col width="18.75" customWidth="1" style="79" min="1034" max="1034"/>
    <col width="15.375" customWidth="1" style="79" min="1035" max="1035"/>
    <col width="15.125" customWidth="1" style="79" min="1036" max="1036"/>
    <col width="11" customWidth="1" style="79" min="1038" max="1038"/>
    <col width="10.625" customWidth="1" style="79" min="1039" max="1039"/>
    <col width="9.625" customWidth="1" style="79" min="1040" max="1040"/>
    <col width="7" customWidth="1" style="79" min="1283" max="1283"/>
    <col width="17.75" customWidth="1" style="79" min="1284" max="1284"/>
    <col width="10.875" customWidth="1" style="79" min="1285" max="1285"/>
    <col width="11.25" customWidth="1" style="79" min="1286" max="1286"/>
    <col width="11.5" customWidth="1" style="79" min="1287" max="1287"/>
    <col width="11.625" customWidth="1" style="79" min="1288" max="1288"/>
    <col width="15.5" customWidth="1" style="79" min="1289" max="1289"/>
    <col width="18.75" customWidth="1" style="79" min="1290" max="1290"/>
    <col width="15.375" customWidth="1" style="79" min="1291" max="1291"/>
    <col width="15.125" customWidth="1" style="79" min="1292" max="1292"/>
    <col width="11" customWidth="1" style="79" min="1294" max="1294"/>
    <col width="10.625" customWidth="1" style="79" min="1295" max="1295"/>
    <col width="9.625" customWidth="1" style="79" min="1296" max="1296"/>
    <col width="7" customWidth="1" style="79" min="1539" max="1539"/>
    <col width="17.75" customWidth="1" style="79" min="1540" max="1540"/>
    <col width="10.875" customWidth="1" style="79" min="1541" max="1541"/>
    <col width="11.25" customWidth="1" style="79" min="1542" max="1542"/>
    <col width="11.5" customWidth="1" style="79" min="1543" max="1543"/>
    <col width="11.625" customWidth="1" style="79" min="1544" max="1544"/>
    <col width="15.5" customWidth="1" style="79" min="1545" max="1545"/>
    <col width="18.75" customWidth="1" style="79" min="1546" max="1546"/>
    <col width="15.375" customWidth="1" style="79" min="1547" max="1547"/>
    <col width="15.125" customWidth="1" style="79" min="1548" max="1548"/>
    <col width="11" customWidth="1" style="79" min="1550" max="1550"/>
    <col width="10.625" customWidth="1" style="79" min="1551" max="1551"/>
    <col width="9.625" customWidth="1" style="79" min="1552" max="1552"/>
    <col width="7" customWidth="1" style="79" min="1795" max="1795"/>
    <col width="17.75" customWidth="1" style="79" min="1796" max="1796"/>
    <col width="10.875" customWidth="1" style="79" min="1797" max="1797"/>
    <col width="11.25" customWidth="1" style="79" min="1798" max="1798"/>
    <col width="11.5" customWidth="1" style="79" min="1799" max="1799"/>
    <col width="11.625" customWidth="1" style="79" min="1800" max="1800"/>
    <col width="15.5" customWidth="1" style="79" min="1801" max="1801"/>
    <col width="18.75" customWidth="1" style="79" min="1802" max="1802"/>
    <col width="15.375" customWidth="1" style="79" min="1803" max="1803"/>
    <col width="15.125" customWidth="1" style="79" min="1804" max="1804"/>
    <col width="11" customWidth="1" style="79" min="1806" max="1806"/>
    <col width="10.625" customWidth="1" style="79" min="1807" max="1807"/>
    <col width="9.625" customWidth="1" style="79" min="1808" max="1808"/>
    <col width="7" customWidth="1" style="79" min="2051" max="2051"/>
    <col width="17.75" customWidth="1" style="79" min="2052" max="2052"/>
    <col width="10.875" customWidth="1" style="79" min="2053" max="2053"/>
    <col width="11.25" customWidth="1" style="79" min="2054" max="2054"/>
    <col width="11.5" customWidth="1" style="79" min="2055" max="2055"/>
    <col width="11.625" customWidth="1" style="79" min="2056" max="2056"/>
    <col width="15.5" customWidth="1" style="79" min="2057" max="2057"/>
    <col width="18.75" customWidth="1" style="79" min="2058" max="2058"/>
    <col width="15.375" customWidth="1" style="79" min="2059" max="2059"/>
    <col width="15.125" customWidth="1" style="79" min="2060" max="2060"/>
    <col width="11" customWidth="1" style="79" min="2062" max="2062"/>
    <col width="10.625" customWidth="1" style="79" min="2063" max="2063"/>
    <col width="9.625" customWidth="1" style="79" min="2064" max="2064"/>
    <col width="7" customWidth="1" style="79" min="2307" max="2307"/>
    <col width="17.75" customWidth="1" style="79" min="2308" max="2308"/>
    <col width="10.875" customWidth="1" style="79" min="2309" max="2309"/>
    <col width="11.25" customWidth="1" style="79" min="2310" max="2310"/>
    <col width="11.5" customWidth="1" style="79" min="2311" max="2311"/>
    <col width="11.625" customWidth="1" style="79" min="2312" max="2312"/>
    <col width="15.5" customWidth="1" style="79" min="2313" max="2313"/>
    <col width="18.75" customWidth="1" style="79" min="2314" max="2314"/>
    <col width="15.375" customWidth="1" style="79" min="2315" max="2315"/>
    <col width="15.125" customWidth="1" style="79" min="2316" max="2316"/>
    <col width="11" customWidth="1" style="79" min="2318" max="2318"/>
    <col width="10.625" customWidth="1" style="79" min="2319" max="2319"/>
    <col width="9.625" customWidth="1" style="79" min="2320" max="2320"/>
    <col width="7" customWidth="1" style="79" min="2563" max="2563"/>
    <col width="17.75" customWidth="1" style="79" min="2564" max="2564"/>
    <col width="10.875" customWidth="1" style="79" min="2565" max="2565"/>
    <col width="11.25" customWidth="1" style="79" min="2566" max="2566"/>
    <col width="11.5" customWidth="1" style="79" min="2567" max="2567"/>
    <col width="11.625" customWidth="1" style="79" min="2568" max="2568"/>
    <col width="15.5" customWidth="1" style="79" min="2569" max="2569"/>
    <col width="18.75" customWidth="1" style="79" min="2570" max="2570"/>
    <col width="15.375" customWidth="1" style="79" min="2571" max="2571"/>
    <col width="15.125" customWidth="1" style="79" min="2572" max="2572"/>
    <col width="11" customWidth="1" style="79" min="2574" max="2574"/>
    <col width="10.625" customWidth="1" style="79" min="2575" max="2575"/>
    <col width="9.625" customWidth="1" style="79" min="2576" max="2576"/>
    <col width="7" customWidth="1" style="79" min="2819" max="2819"/>
    <col width="17.75" customWidth="1" style="79" min="2820" max="2820"/>
    <col width="10.875" customWidth="1" style="79" min="2821" max="2821"/>
    <col width="11.25" customWidth="1" style="79" min="2822" max="2822"/>
    <col width="11.5" customWidth="1" style="79" min="2823" max="2823"/>
    <col width="11.625" customWidth="1" style="79" min="2824" max="2824"/>
    <col width="15.5" customWidth="1" style="79" min="2825" max="2825"/>
    <col width="18.75" customWidth="1" style="79" min="2826" max="2826"/>
    <col width="15.375" customWidth="1" style="79" min="2827" max="2827"/>
    <col width="15.125" customWidth="1" style="79" min="2828" max="2828"/>
    <col width="11" customWidth="1" style="79" min="2830" max="2830"/>
    <col width="10.625" customWidth="1" style="79" min="2831" max="2831"/>
    <col width="9.625" customWidth="1" style="79" min="2832" max="2832"/>
    <col width="7" customWidth="1" style="79" min="3075" max="3075"/>
    <col width="17.75" customWidth="1" style="79" min="3076" max="3076"/>
    <col width="10.875" customWidth="1" style="79" min="3077" max="3077"/>
    <col width="11.25" customWidth="1" style="79" min="3078" max="3078"/>
    <col width="11.5" customWidth="1" style="79" min="3079" max="3079"/>
    <col width="11.625" customWidth="1" style="79" min="3080" max="3080"/>
    <col width="15.5" customWidth="1" style="79" min="3081" max="3081"/>
    <col width="18.75" customWidth="1" style="79" min="3082" max="3082"/>
    <col width="15.375" customWidth="1" style="79" min="3083" max="3083"/>
    <col width="15.125" customWidth="1" style="79" min="3084" max="3084"/>
    <col width="11" customWidth="1" style="79" min="3086" max="3086"/>
    <col width="10.625" customWidth="1" style="79" min="3087" max="3087"/>
    <col width="9.625" customWidth="1" style="79" min="3088" max="3088"/>
    <col width="7" customWidth="1" style="79" min="3331" max="3331"/>
    <col width="17.75" customWidth="1" style="79" min="3332" max="3332"/>
    <col width="10.875" customWidth="1" style="79" min="3333" max="3333"/>
    <col width="11.25" customWidth="1" style="79" min="3334" max="3334"/>
    <col width="11.5" customWidth="1" style="79" min="3335" max="3335"/>
    <col width="11.625" customWidth="1" style="79" min="3336" max="3336"/>
    <col width="15.5" customWidth="1" style="79" min="3337" max="3337"/>
    <col width="18.75" customWidth="1" style="79" min="3338" max="3338"/>
    <col width="15.375" customWidth="1" style="79" min="3339" max="3339"/>
    <col width="15.125" customWidth="1" style="79" min="3340" max="3340"/>
    <col width="11" customWidth="1" style="79" min="3342" max="3342"/>
    <col width="10.625" customWidth="1" style="79" min="3343" max="3343"/>
    <col width="9.625" customWidth="1" style="79" min="3344" max="3344"/>
    <col width="7" customWidth="1" style="79" min="3587" max="3587"/>
    <col width="17.75" customWidth="1" style="79" min="3588" max="3588"/>
    <col width="10.875" customWidth="1" style="79" min="3589" max="3589"/>
    <col width="11.25" customWidth="1" style="79" min="3590" max="3590"/>
    <col width="11.5" customWidth="1" style="79" min="3591" max="3591"/>
    <col width="11.625" customWidth="1" style="79" min="3592" max="3592"/>
    <col width="15.5" customWidth="1" style="79" min="3593" max="3593"/>
    <col width="18.75" customWidth="1" style="79" min="3594" max="3594"/>
    <col width="15.375" customWidth="1" style="79" min="3595" max="3595"/>
    <col width="15.125" customWidth="1" style="79" min="3596" max="3596"/>
    <col width="11" customWidth="1" style="79" min="3598" max="3598"/>
    <col width="10.625" customWidth="1" style="79" min="3599" max="3599"/>
    <col width="9.625" customWidth="1" style="79" min="3600" max="3600"/>
    <col width="7" customWidth="1" style="79" min="3843" max="3843"/>
    <col width="17.75" customWidth="1" style="79" min="3844" max="3844"/>
    <col width="10.875" customWidth="1" style="79" min="3845" max="3845"/>
    <col width="11.25" customWidth="1" style="79" min="3846" max="3846"/>
    <col width="11.5" customWidth="1" style="79" min="3847" max="3847"/>
    <col width="11.625" customWidth="1" style="79" min="3848" max="3848"/>
    <col width="15.5" customWidth="1" style="79" min="3849" max="3849"/>
    <col width="18.75" customWidth="1" style="79" min="3850" max="3850"/>
    <col width="15.375" customWidth="1" style="79" min="3851" max="3851"/>
    <col width="15.125" customWidth="1" style="79" min="3852" max="3852"/>
    <col width="11" customWidth="1" style="79" min="3854" max="3854"/>
    <col width="10.625" customWidth="1" style="79" min="3855" max="3855"/>
    <col width="9.625" customWidth="1" style="79" min="3856" max="3856"/>
    <col width="7" customWidth="1" style="79" min="4099" max="4099"/>
    <col width="17.75" customWidth="1" style="79" min="4100" max="4100"/>
    <col width="10.875" customWidth="1" style="79" min="4101" max="4101"/>
    <col width="11.25" customWidth="1" style="79" min="4102" max="4102"/>
    <col width="11.5" customWidth="1" style="79" min="4103" max="4103"/>
    <col width="11.625" customWidth="1" style="79" min="4104" max="4104"/>
    <col width="15.5" customWidth="1" style="79" min="4105" max="4105"/>
    <col width="18.75" customWidth="1" style="79" min="4106" max="4106"/>
    <col width="15.375" customWidth="1" style="79" min="4107" max="4107"/>
    <col width="15.125" customWidth="1" style="79" min="4108" max="4108"/>
    <col width="11" customWidth="1" style="79" min="4110" max="4110"/>
    <col width="10.625" customWidth="1" style="79" min="4111" max="4111"/>
    <col width="9.625" customWidth="1" style="79" min="4112" max="4112"/>
    <col width="7" customWidth="1" style="79" min="4355" max="4355"/>
    <col width="17.75" customWidth="1" style="79" min="4356" max="4356"/>
    <col width="10.875" customWidth="1" style="79" min="4357" max="4357"/>
    <col width="11.25" customWidth="1" style="79" min="4358" max="4358"/>
    <col width="11.5" customWidth="1" style="79" min="4359" max="4359"/>
    <col width="11.625" customWidth="1" style="79" min="4360" max="4360"/>
    <col width="15.5" customWidth="1" style="79" min="4361" max="4361"/>
    <col width="18.75" customWidth="1" style="79" min="4362" max="4362"/>
    <col width="15.375" customWidth="1" style="79" min="4363" max="4363"/>
    <col width="15.125" customWidth="1" style="79" min="4364" max="4364"/>
    <col width="11" customWidth="1" style="79" min="4366" max="4366"/>
    <col width="10.625" customWidth="1" style="79" min="4367" max="4367"/>
    <col width="9.625" customWidth="1" style="79" min="4368" max="4368"/>
    <col width="7" customWidth="1" style="79" min="4611" max="4611"/>
    <col width="17.75" customWidth="1" style="79" min="4612" max="4612"/>
    <col width="10.875" customWidth="1" style="79" min="4613" max="4613"/>
    <col width="11.25" customWidth="1" style="79" min="4614" max="4614"/>
    <col width="11.5" customWidth="1" style="79" min="4615" max="4615"/>
    <col width="11.625" customWidth="1" style="79" min="4616" max="4616"/>
    <col width="15.5" customWidth="1" style="79" min="4617" max="4617"/>
    <col width="18.75" customWidth="1" style="79" min="4618" max="4618"/>
    <col width="15.375" customWidth="1" style="79" min="4619" max="4619"/>
    <col width="15.125" customWidth="1" style="79" min="4620" max="4620"/>
    <col width="11" customWidth="1" style="79" min="4622" max="4622"/>
    <col width="10.625" customWidth="1" style="79" min="4623" max="4623"/>
    <col width="9.625" customWidth="1" style="79" min="4624" max="4624"/>
    <col width="7" customWidth="1" style="79" min="4867" max="4867"/>
    <col width="17.75" customWidth="1" style="79" min="4868" max="4868"/>
    <col width="10.875" customWidth="1" style="79" min="4869" max="4869"/>
    <col width="11.25" customWidth="1" style="79" min="4870" max="4870"/>
    <col width="11.5" customWidth="1" style="79" min="4871" max="4871"/>
    <col width="11.625" customWidth="1" style="79" min="4872" max="4872"/>
    <col width="15.5" customWidth="1" style="79" min="4873" max="4873"/>
    <col width="18.75" customWidth="1" style="79" min="4874" max="4874"/>
    <col width="15.375" customWidth="1" style="79" min="4875" max="4875"/>
    <col width="15.125" customWidth="1" style="79" min="4876" max="4876"/>
    <col width="11" customWidth="1" style="79" min="4878" max="4878"/>
    <col width="10.625" customWidth="1" style="79" min="4879" max="4879"/>
    <col width="9.625" customWidth="1" style="79" min="4880" max="4880"/>
    <col width="7" customWidth="1" style="79" min="5123" max="5123"/>
    <col width="17.75" customWidth="1" style="79" min="5124" max="5124"/>
    <col width="10.875" customWidth="1" style="79" min="5125" max="5125"/>
    <col width="11.25" customWidth="1" style="79" min="5126" max="5126"/>
    <col width="11.5" customWidth="1" style="79" min="5127" max="5127"/>
    <col width="11.625" customWidth="1" style="79" min="5128" max="5128"/>
    <col width="15.5" customWidth="1" style="79" min="5129" max="5129"/>
    <col width="18.75" customWidth="1" style="79" min="5130" max="5130"/>
    <col width="15.375" customWidth="1" style="79" min="5131" max="5131"/>
    <col width="15.125" customWidth="1" style="79" min="5132" max="5132"/>
    <col width="11" customWidth="1" style="79" min="5134" max="5134"/>
    <col width="10.625" customWidth="1" style="79" min="5135" max="5135"/>
    <col width="9.625" customWidth="1" style="79" min="5136" max="5136"/>
    <col width="7" customWidth="1" style="79" min="5379" max="5379"/>
    <col width="17.75" customWidth="1" style="79" min="5380" max="5380"/>
    <col width="10.875" customWidth="1" style="79" min="5381" max="5381"/>
    <col width="11.25" customWidth="1" style="79" min="5382" max="5382"/>
    <col width="11.5" customWidth="1" style="79" min="5383" max="5383"/>
    <col width="11.625" customWidth="1" style="79" min="5384" max="5384"/>
    <col width="15.5" customWidth="1" style="79" min="5385" max="5385"/>
    <col width="18.75" customWidth="1" style="79" min="5386" max="5386"/>
    <col width="15.375" customWidth="1" style="79" min="5387" max="5387"/>
    <col width="15.125" customWidth="1" style="79" min="5388" max="5388"/>
    <col width="11" customWidth="1" style="79" min="5390" max="5390"/>
    <col width="10.625" customWidth="1" style="79" min="5391" max="5391"/>
    <col width="9.625" customWidth="1" style="79" min="5392" max="5392"/>
    <col width="7" customWidth="1" style="79" min="5635" max="5635"/>
    <col width="17.75" customWidth="1" style="79" min="5636" max="5636"/>
    <col width="10.875" customWidth="1" style="79" min="5637" max="5637"/>
    <col width="11.25" customWidth="1" style="79" min="5638" max="5638"/>
    <col width="11.5" customWidth="1" style="79" min="5639" max="5639"/>
    <col width="11.625" customWidth="1" style="79" min="5640" max="5640"/>
    <col width="15.5" customWidth="1" style="79" min="5641" max="5641"/>
    <col width="18.75" customWidth="1" style="79" min="5642" max="5642"/>
    <col width="15.375" customWidth="1" style="79" min="5643" max="5643"/>
    <col width="15.125" customWidth="1" style="79" min="5644" max="5644"/>
    <col width="11" customWidth="1" style="79" min="5646" max="5646"/>
    <col width="10.625" customWidth="1" style="79" min="5647" max="5647"/>
    <col width="9.625" customWidth="1" style="79" min="5648" max="5648"/>
    <col width="7" customWidth="1" style="79" min="5891" max="5891"/>
    <col width="17.75" customWidth="1" style="79" min="5892" max="5892"/>
    <col width="10.875" customWidth="1" style="79" min="5893" max="5893"/>
    <col width="11.25" customWidth="1" style="79" min="5894" max="5894"/>
    <col width="11.5" customWidth="1" style="79" min="5895" max="5895"/>
    <col width="11.625" customWidth="1" style="79" min="5896" max="5896"/>
    <col width="15.5" customWidth="1" style="79" min="5897" max="5897"/>
    <col width="18.75" customWidth="1" style="79" min="5898" max="5898"/>
    <col width="15.375" customWidth="1" style="79" min="5899" max="5899"/>
    <col width="15.125" customWidth="1" style="79" min="5900" max="5900"/>
    <col width="11" customWidth="1" style="79" min="5902" max="5902"/>
    <col width="10.625" customWidth="1" style="79" min="5903" max="5903"/>
    <col width="9.625" customWidth="1" style="79" min="5904" max="5904"/>
    <col width="7" customWidth="1" style="79" min="6147" max="6147"/>
    <col width="17.75" customWidth="1" style="79" min="6148" max="6148"/>
    <col width="10.875" customWidth="1" style="79" min="6149" max="6149"/>
    <col width="11.25" customWidth="1" style="79" min="6150" max="6150"/>
    <col width="11.5" customWidth="1" style="79" min="6151" max="6151"/>
    <col width="11.625" customWidth="1" style="79" min="6152" max="6152"/>
    <col width="15.5" customWidth="1" style="79" min="6153" max="6153"/>
    <col width="18.75" customWidth="1" style="79" min="6154" max="6154"/>
    <col width="15.375" customWidth="1" style="79" min="6155" max="6155"/>
    <col width="15.125" customWidth="1" style="79" min="6156" max="6156"/>
    <col width="11" customWidth="1" style="79" min="6158" max="6158"/>
    <col width="10.625" customWidth="1" style="79" min="6159" max="6159"/>
    <col width="9.625" customWidth="1" style="79" min="6160" max="6160"/>
    <col width="7" customWidth="1" style="79" min="6403" max="6403"/>
    <col width="17.75" customWidth="1" style="79" min="6404" max="6404"/>
    <col width="10.875" customWidth="1" style="79" min="6405" max="6405"/>
    <col width="11.25" customWidth="1" style="79" min="6406" max="6406"/>
    <col width="11.5" customWidth="1" style="79" min="6407" max="6407"/>
    <col width="11.625" customWidth="1" style="79" min="6408" max="6408"/>
    <col width="15.5" customWidth="1" style="79" min="6409" max="6409"/>
    <col width="18.75" customWidth="1" style="79" min="6410" max="6410"/>
    <col width="15.375" customWidth="1" style="79" min="6411" max="6411"/>
    <col width="15.125" customWidth="1" style="79" min="6412" max="6412"/>
    <col width="11" customWidth="1" style="79" min="6414" max="6414"/>
    <col width="10.625" customWidth="1" style="79" min="6415" max="6415"/>
    <col width="9.625" customWidth="1" style="79" min="6416" max="6416"/>
    <col width="7" customWidth="1" style="79" min="6659" max="6659"/>
    <col width="17.75" customWidth="1" style="79" min="6660" max="6660"/>
    <col width="10.875" customWidth="1" style="79" min="6661" max="6661"/>
    <col width="11.25" customWidth="1" style="79" min="6662" max="6662"/>
    <col width="11.5" customWidth="1" style="79" min="6663" max="6663"/>
    <col width="11.625" customWidth="1" style="79" min="6664" max="6664"/>
    <col width="15.5" customWidth="1" style="79" min="6665" max="6665"/>
    <col width="18.75" customWidth="1" style="79" min="6666" max="6666"/>
    <col width="15.375" customWidth="1" style="79" min="6667" max="6667"/>
    <col width="15.125" customWidth="1" style="79" min="6668" max="6668"/>
    <col width="11" customWidth="1" style="79" min="6670" max="6670"/>
    <col width="10.625" customWidth="1" style="79" min="6671" max="6671"/>
    <col width="9.625" customWidth="1" style="79" min="6672" max="6672"/>
    <col width="7" customWidth="1" style="79" min="6915" max="6915"/>
    <col width="17.75" customWidth="1" style="79" min="6916" max="6916"/>
    <col width="10.875" customWidth="1" style="79" min="6917" max="6917"/>
    <col width="11.25" customWidth="1" style="79" min="6918" max="6918"/>
    <col width="11.5" customWidth="1" style="79" min="6919" max="6919"/>
    <col width="11.625" customWidth="1" style="79" min="6920" max="6920"/>
    <col width="15.5" customWidth="1" style="79" min="6921" max="6921"/>
    <col width="18.75" customWidth="1" style="79" min="6922" max="6922"/>
    <col width="15.375" customWidth="1" style="79" min="6923" max="6923"/>
    <col width="15.125" customWidth="1" style="79" min="6924" max="6924"/>
    <col width="11" customWidth="1" style="79" min="6926" max="6926"/>
    <col width="10.625" customWidth="1" style="79" min="6927" max="6927"/>
    <col width="9.625" customWidth="1" style="79" min="6928" max="6928"/>
    <col width="7" customWidth="1" style="79" min="7171" max="7171"/>
    <col width="17.75" customWidth="1" style="79" min="7172" max="7172"/>
    <col width="10.875" customWidth="1" style="79" min="7173" max="7173"/>
    <col width="11.25" customWidth="1" style="79" min="7174" max="7174"/>
    <col width="11.5" customWidth="1" style="79" min="7175" max="7175"/>
    <col width="11.625" customWidth="1" style="79" min="7176" max="7176"/>
    <col width="15.5" customWidth="1" style="79" min="7177" max="7177"/>
    <col width="18.75" customWidth="1" style="79" min="7178" max="7178"/>
    <col width="15.375" customWidth="1" style="79" min="7179" max="7179"/>
    <col width="15.125" customWidth="1" style="79" min="7180" max="7180"/>
    <col width="11" customWidth="1" style="79" min="7182" max="7182"/>
    <col width="10.625" customWidth="1" style="79" min="7183" max="7183"/>
    <col width="9.625" customWidth="1" style="79" min="7184" max="7184"/>
    <col width="7" customWidth="1" style="79" min="7427" max="7427"/>
    <col width="17.75" customWidth="1" style="79" min="7428" max="7428"/>
    <col width="10.875" customWidth="1" style="79" min="7429" max="7429"/>
    <col width="11.25" customWidth="1" style="79" min="7430" max="7430"/>
    <col width="11.5" customWidth="1" style="79" min="7431" max="7431"/>
    <col width="11.625" customWidth="1" style="79" min="7432" max="7432"/>
    <col width="15.5" customWidth="1" style="79" min="7433" max="7433"/>
    <col width="18.75" customWidth="1" style="79" min="7434" max="7434"/>
    <col width="15.375" customWidth="1" style="79" min="7435" max="7435"/>
    <col width="15.125" customWidth="1" style="79" min="7436" max="7436"/>
    <col width="11" customWidth="1" style="79" min="7438" max="7438"/>
    <col width="10.625" customWidth="1" style="79" min="7439" max="7439"/>
    <col width="9.625" customWidth="1" style="79" min="7440" max="7440"/>
    <col width="7" customWidth="1" style="79" min="7683" max="7683"/>
    <col width="17.75" customWidth="1" style="79" min="7684" max="7684"/>
    <col width="10.875" customWidth="1" style="79" min="7685" max="7685"/>
    <col width="11.25" customWidth="1" style="79" min="7686" max="7686"/>
    <col width="11.5" customWidth="1" style="79" min="7687" max="7687"/>
    <col width="11.625" customWidth="1" style="79" min="7688" max="7688"/>
    <col width="15.5" customWidth="1" style="79" min="7689" max="7689"/>
    <col width="18.75" customWidth="1" style="79" min="7690" max="7690"/>
    <col width="15.375" customWidth="1" style="79" min="7691" max="7691"/>
    <col width="15.125" customWidth="1" style="79" min="7692" max="7692"/>
    <col width="11" customWidth="1" style="79" min="7694" max="7694"/>
    <col width="10.625" customWidth="1" style="79" min="7695" max="7695"/>
    <col width="9.625" customWidth="1" style="79" min="7696" max="7696"/>
    <col width="7" customWidth="1" style="79" min="7939" max="7939"/>
    <col width="17.75" customWidth="1" style="79" min="7940" max="7940"/>
    <col width="10.875" customWidth="1" style="79" min="7941" max="7941"/>
    <col width="11.25" customWidth="1" style="79" min="7942" max="7942"/>
    <col width="11.5" customWidth="1" style="79" min="7943" max="7943"/>
    <col width="11.625" customWidth="1" style="79" min="7944" max="7944"/>
    <col width="15.5" customWidth="1" style="79" min="7945" max="7945"/>
    <col width="18.75" customWidth="1" style="79" min="7946" max="7946"/>
    <col width="15.375" customWidth="1" style="79" min="7947" max="7947"/>
    <col width="15.125" customWidth="1" style="79" min="7948" max="7948"/>
    <col width="11" customWidth="1" style="79" min="7950" max="7950"/>
    <col width="10.625" customWidth="1" style="79" min="7951" max="7951"/>
    <col width="9.625" customWidth="1" style="79" min="7952" max="7952"/>
    <col width="7" customWidth="1" style="79" min="8195" max="8195"/>
    <col width="17.75" customWidth="1" style="79" min="8196" max="8196"/>
    <col width="10.875" customWidth="1" style="79" min="8197" max="8197"/>
    <col width="11.25" customWidth="1" style="79" min="8198" max="8198"/>
    <col width="11.5" customWidth="1" style="79" min="8199" max="8199"/>
    <col width="11.625" customWidth="1" style="79" min="8200" max="8200"/>
    <col width="15.5" customWidth="1" style="79" min="8201" max="8201"/>
    <col width="18.75" customWidth="1" style="79" min="8202" max="8202"/>
    <col width="15.375" customWidth="1" style="79" min="8203" max="8203"/>
    <col width="15.125" customWidth="1" style="79" min="8204" max="8204"/>
    <col width="11" customWidth="1" style="79" min="8206" max="8206"/>
    <col width="10.625" customWidth="1" style="79" min="8207" max="8207"/>
    <col width="9.625" customWidth="1" style="79" min="8208" max="8208"/>
    <col width="7" customWidth="1" style="79" min="8451" max="8451"/>
    <col width="17.75" customWidth="1" style="79" min="8452" max="8452"/>
    <col width="10.875" customWidth="1" style="79" min="8453" max="8453"/>
    <col width="11.25" customWidth="1" style="79" min="8454" max="8454"/>
    <col width="11.5" customWidth="1" style="79" min="8455" max="8455"/>
    <col width="11.625" customWidth="1" style="79" min="8456" max="8456"/>
    <col width="15.5" customWidth="1" style="79" min="8457" max="8457"/>
    <col width="18.75" customWidth="1" style="79" min="8458" max="8458"/>
    <col width="15.375" customWidth="1" style="79" min="8459" max="8459"/>
    <col width="15.125" customWidth="1" style="79" min="8460" max="8460"/>
    <col width="11" customWidth="1" style="79" min="8462" max="8462"/>
    <col width="10.625" customWidth="1" style="79" min="8463" max="8463"/>
    <col width="9.625" customWidth="1" style="79" min="8464" max="8464"/>
    <col width="7" customWidth="1" style="79" min="8707" max="8707"/>
    <col width="17.75" customWidth="1" style="79" min="8708" max="8708"/>
    <col width="10.875" customWidth="1" style="79" min="8709" max="8709"/>
    <col width="11.25" customWidth="1" style="79" min="8710" max="8710"/>
    <col width="11.5" customWidth="1" style="79" min="8711" max="8711"/>
    <col width="11.625" customWidth="1" style="79" min="8712" max="8712"/>
    <col width="15.5" customWidth="1" style="79" min="8713" max="8713"/>
    <col width="18.75" customWidth="1" style="79" min="8714" max="8714"/>
    <col width="15.375" customWidth="1" style="79" min="8715" max="8715"/>
    <col width="15.125" customWidth="1" style="79" min="8716" max="8716"/>
    <col width="11" customWidth="1" style="79" min="8718" max="8718"/>
    <col width="10.625" customWidth="1" style="79" min="8719" max="8719"/>
    <col width="9.625" customWidth="1" style="79" min="8720" max="8720"/>
    <col width="7" customWidth="1" style="79" min="8963" max="8963"/>
    <col width="17.75" customWidth="1" style="79" min="8964" max="8964"/>
    <col width="10.875" customWidth="1" style="79" min="8965" max="8965"/>
    <col width="11.25" customWidth="1" style="79" min="8966" max="8966"/>
    <col width="11.5" customWidth="1" style="79" min="8967" max="8967"/>
    <col width="11.625" customWidth="1" style="79" min="8968" max="8968"/>
    <col width="15.5" customWidth="1" style="79" min="8969" max="8969"/>
    <col width="18.75" customWidth="1" style="79" min="8970" max="8970"/>
    <col width="15.375" customWidth="1" style="79" min="8971" max="8971"/>
    <col width="15.125" customWidth="1" style="79" min="8972" max="8972"/>
    <col width="11" customWidth="1" style="79" min="8974" max="8974"/>
    <col width="10.625" customWidth="1" style="79" min="8975" max="8975"/>
    <col width="9.625" customWidth="1" style="79" min="8976" max="8976"/>
    <col width="7" customWidth="1" style="79" min="9219" max="9219"/>
    <col width="17.75" customWidth="1" style="79" min="9220" max="9220"/>
    <col width="10.875" customWidth="1" style="79" min="9221" max="9221"/>
    <col width="11.25" customWidth="1" style="79" min="9222" max="9222"/>
    <col width="11.5" customWidth="1" style="79" min="9223" max="9223"/>
    <col width="11.625" customWidth="1" style="79" min="9224" max="9224"/>
    <col width="15.5" customWidth="1" style="79" min="9225" max="9225"/>
    <col width="18.75" customWidth="1" style="79" min="9226" max="9226"/>
    <col width="15.375" customWidth="1" style="79" min="9227" max="9227"/>
    <col width="15.125" customWidth="1" style="79" min="9228" max="9228"/>
    <col width="11" customWidth="1" style="79" min="9230" max="9230"/>
    <col width="10.625" customWidth="1" style="79" min="9231" max="9231"/>
    <col width="9.625" customWidth="1" style="79" min="9232" max="9232"/>
    <col width="7" customWidth="1" style="79" min="9475" max="9475"/>
    <col width="17.75" customWidth="1" style="79" min="9476" max="9476"/>
    <col width="10.875" customWidth="1" style="79" min="9477" max="9477"/>
    <col width="11.25" customWidth="1" style="79" min="9478" max="9478"/>
    <col width="11.5" customWidth="1" style="79" min="9479" max="9479"/>
    <col width="11.625" customWidth="1" style="79" min="9480" max="9480"/>
    <col width="15.5" customWidth="1" style="79" min="9481" max="9481"/>
    <col width="18.75" customWidth="1" style="79" min="9482" max="9482"/>
    <col width="15.375" customWidth="1" style="79" min="9483" max="9483"/>
    <col width="15.125" customWidth="1" style="79" min="9484" max="9484"/>
    <col width="11" customWidth="1" style="79" min="9486" max="9486"/>
    <col width="10.625" customWidth="1" style="79" min="9487" max="9487"/>
    <col width="9.625" customWidth="1" style="79" min="9488" max="9488"/>
    <col width="7" customWidth="1" style="79" min="9731" max="9731"/>
    <col width="17.75" customWidth="1" style="79" min="9732" max="9732"/>
    <col width="10.875" customWidth="1" style="79" min="9733" max="9733"/>
    <col width="11.25" customWidth="1" style="79" min="9734" max="9734"/>
    <col width="11.5" customWidth="1" style="79" min="9735" max="9735"/>
    <col width="11.625" customWidth="1" style="79" min="9736" max="9736"/>
    <col width="15.5" customWidth="1" style="79" min="9737" max="9737"/>
    <col width="18.75" customWidth="1" style="79" min="9738" max="9738"/>
    <col width="15.375" customWidth="1" style="79" min="9739" max="9739"/>
    <col width="15.125" customWidth="1" style="79" min="9740" max="9740"/>
    <col width="11" customWidth="1" style="79" min="9742" max="9742"/>
    <col width="10.625" customWidth="1" style="79" min="9743" max="9743"/>
    <col width="9.625" customWidth="1" style="79" min="9744" max="9744"/>
    <col width="7" customWidth="1" style="79" min="9987" max="9987"/>
    <col width="17.75" customWidth="1" style="79" min="9988" max="9988"/>
    <col width="10.875" customWidth="1" style="79" min="9989" max="9989"/>
    <col width="11.25" customWidth="1" style="79" min="9990" max="9990"/>
    <col width="11.5" customWidth="1" style="79" min="9991" max="9991"/>
    <col width="11.625" customWidth="1" style="79" min="9992" max="9992"/>
    <col width="15.5" customWidth="1" style="79" min="9993" max="9993"/>
    <col width="18.75" customWidth="1" style="79" min="9994" max="9994"/>
    <col width="15.375" customWidth="1" style="79" min="9995" max="9995"/>
    <col width="15.125" customWidth="1" style="79" min="9996" max="9996"/>
    <col width="11" customWidth="1" style="79" min="9998" max="9998"/>
    <col width="10.625" customWidth="1" style="79" min="9999" max="9999"/>
    <col width="9.625" customWidth="1" style="79" min="10000" max="10000"/>
    <col width="7" customWidth="1" style="79" min="10243" max="10243"/>
    <col width="17.75" customWidth="1" style="79" min="10244" max="10244"/>
    <col width="10.875" customWidth="1" style="79" min="10245" max="10245"/>
    <col width="11.25" customWidth="1" style="79" min="10246" max="10246"/>
    <col width="11.5" customWidth="1" style="79" min="10247" max="10247"/>
    <col width="11.625" customWidth="1" style="79" min="10248" max="10248"/>
    <col width="15.5" customWidth="1" style="79" min="10249" max="10249"/>
    <col width="18.75" customWidth="1" style="79" min="10250" max="10250"/>
    <col width="15.375" customWidth="1" style="79" min="10251" max="10251"/>
    <col width="15.125" customWidth="1" style="79" min="10252" max="10252"/>
    <col width="11" customWidth="1" style="79" min="10254" max="10254"/>
    <col width="10.625" customWidth="1" style="79" min="10255" max="10255"/>
    <col width="9.625" customWidth="1" style="79" min="10256" max="10256"/>
    <col width="7" customWidth="1" style="79" min="10499" max="10499"/>
    <col width="17.75" customWidth="1" style="79" min="10500" max="10500"/>
    <col width="10.875" customWidth="1" style="79" min="10501" max="10501"/>
    <col width="11.25" customWidth="1" style="79" min="10502" max="10502"/>
    <col width="11.5" customWidth="1" style="79" min="10503" max="10503"/>
    <col width="11.625" customWidth="1" style="79" min="10504" max="10504"/>
    <col width="15.5" customWidth="1" style="79" min="10505" max="10505"/>
    <col width="18.75" customWidth="1" style="79" min="10506" max="10506"/>
    <col width="15.375" customWidth="1" style="79" min="10507" max="10507"/>
    <col width="15.125" customWidth="1" style="79" min="10508" max="10508"/>
    <col width="11" customWidth="1" style="79" min="10510" max="10510"/>
    <col width="10.625" customWidth="1" style="79" min="10511" max="10511"/>
    <col width="9.625" customWidth="1" style="79" min="10512" max="10512"/>
    <col width="7" customWidth="1" style="79" min="10755" max="10755"/>
    <col width="17.75" customWidth="1" style="79" min="10756" max="10756"/>
    <col width="10.875" customWidth="1" style="79" min="10757" max="10757"/>
    <col width="11.25" customWidth="1" style="79" min="10758" max="10758"/>
    <col width="11.5" customWidth="1" style="79" min="10759" max="10759"/>
    <col width="11.625" customWidth="1" style="79" min="10760" max="10760"/>
    <col width="15.5" customWidth="1" style="79" min="10761" max="10761"/>
    <col width="18.75" customWidth="1" style="79" min="10762" max="10762"/>
    <col width="15.375" customWidth="1" style="79" min="10763" max="10763"/>
    <col width="15.125" customWidth="1" style="79" min="10764" max="10764"/>
    <col width="11" customWidth="1" style="79" min="10766" max="10766"/>
    <col width="10.625" customWidth="1" style="79" min="10767" max="10767"/>
    <col width="9.625" customWidth="1" style="79" min="10768" max="10768"/>
    <col width="7" customWidth="1" style="79" min="11011" max="11011"/>
    <col width="17.75" customWidth="1" style="79" min="11012" max="11012"/>
    <col width="10.875" customWidth="1" style="79" min="11013" max="11013"/>
    <col width="11.25" customWidth="1" style="79" min="11014" max="11014"/>
    <col width="11.5" customWidth="1" style="79" min="11015" max="11015"/>
    <col width="11.625" customWidth="1" style="79" min="11016" max="11016"/>
    <col width="15.5" customWidth="1" style="79" min="11017" max="11017"/>
    <col width="18.75" customWidth="1" style="79" min="11018" max="11018"/>
    <col width="15.375" customWidth="1" style="79" min="11019" max="11019"/>
    <col width="15.125" customWidth="1" style="79" min="11020" max="11020"/>
    <col width="11" customWidth="1" style="79" min="11022" max="11022"/>
    <col width="10.625" customWidth="1" style="79" min="11023" max="11023"/>
    <col width="9.625" customWidth="1" style="79" min="11024" max="11024"/>
    <col width="7" customWidth="1" style="79" min="11267" max="11267"/>
    <col width="17.75" customWidth="1" style="79" min="11268" max="11268"/>
    <col width="10.875" customWidth="1" style="79" min="11269" max="11269"/>
    <col width="11.25" customWidth="1" style="79" min="11270" max="11270"/>
    <col width="11.5" customWidth="1" style="79" min="11271" max="11271"/>
    <col width="11.625" customWidth="1" style="79" min="11272" max="11272"/>
    <col width="15.5" customWidth="1" style="79" min="11273" max="11273"/>
    <col width="18.75" customWidth="1" style="79" min="11274" max="11274"/>
    <col width="15.375" customWidth="1" style="79" min="11275" max="11275"/>
    <col width="15.125" customWidth="1" style="79" min="11276" max="11276"/>
    <col width="11" customWidth="1" style="79" min="11278" max="11278"/>
    <col width="10.625" customWidth="1" style="79" min="11279" max="11279"/>
    <col width="9.625" customWidth="1" style="79" min="11280" max="11280"/>
    <col width="7" customWidth="1" style="79" min="11523" max="11523"/>
    <col width="17.75" customWidth="1" style="79" min="11524" max="11524"/>
    <col width="10.875" customWidth="1" style="79" min="11525" max="11525"/>
    <col width="11.25" customWidth="1" style="79" min="11526" max="11526"/>
    <col width="11.5" customWidth="1" style="79" min="11527" max="11527"/>
    <col width="11.625" customWidth="1" style="79" min="11528" max="11528"/>
    <col width="15.5" customWidth="1" style="79" min="11529" max="11529"/>
    <col width="18.75" customWidth="1" style="79" min="11530" max="11530"/>
    <col width="15.375" customWidth="1" style="79" min="11531" max="11531"/>
    <col width="15.125" customWidth="1" style="79" min="11532" max="11532"/>
    <col width="11" customWidth="1" style="79" min="11534" max="11534"/>
    <col width="10.625" customWidth="1" style="79" min="11535" max="11535"/>
    <col width="9.625" customWidth="1" style="79" min="11536" max="11536"/>
    <col width="7" customWidth="1" style="79" min="11779" max="11779"/>
    <col width="17.75" customWidth="1" style="79" min="11780" max="11780"/>
    <col width="10.875" customWidth="1" style="79" min="11781" max="11781"/>
    <col width="11.25" customWidth="1" style="79" min="11782" max="11782"/>
    <col width="11.5" customWidth="1" style="79" min="11783" max="11783"/>
    <col width="11.625" customWidth="1" style="79" min="11784" max="11784"/>
    <col width="15.5" customWidth="1" style="79" min="11785" max="11785"/>
    <col width="18.75" customWidth="1" style="79" min="11786" max="11786"/>
    <col width="15.375" customWidth="1" style="79" min="11787" max="11787"/>
    <col width="15.125" customWidth="1" style="79" min="11788" max="11788"/>
    <col width="11" customWidth="1" style="79" min="11790" max="11790"/>
    <col width="10.625" customWidth="1" style="79" min="11791" max="11791"/>
    <col width="9.625" customWidth="1" style="79" min="11792" max="11792"/>
    <col width="7" customWidth="1" style="79" min="12035" max="12035"/>
    <col width="17.75" customWidth="1" style="79" min="12036" max="12036"/>
    <col width="10.875" customWidth="1" style="79" min="12037" max="12037"/>
    <col width="11.25" customWidth="1" style="79" min="12038" max="12038"/>
    <col width="11.5" customWidth="1" style="79" min="12039" max="12039"/>
    <col width="11.625" customWidth="1" style="79" min="12040" max="12040"/>
    <col width="15.5" customWidth="1" style="79" min="12041" max="12041"/>
    <col width="18.75" customWidth="1" style="79" min="12042" max="12042"/>
    <col width="15.375" customWidth="1" style="79" min="12043" max="12043"/>
    <col width="15.125" customWidth="1" style="79" min="12044" max="12044"/>
    <col width="11" customWidth="1" style="79" min="12046" max="12046"/>
    <col width="10.625" customWidth="1" style="79" min="12047" max="12047"/>
    <col width="9.625" customWidth="1" style="79" min="12048" max="12048"/>
    <col width="7" customWidth="1" style="79" min="12291" max="12291"/>
    <col width="17.75" customWidth="1" style="79" min="12292" max="12292"/>
    <col width="10.875" customWidth="1" style="79" min="12293" max="12293"/>
    <col width="11.25" customWidth="1" style="79" min="12294" max="12294"/>
    <col width="11.5" customWidth="1" style="79" min="12295" max="12295"/>
    <col width="11.625" customWidth="1" style="79" min="12296" max="12296"/>
    <col width="15.5" customWidth="1" style="79" min="12297" max="12297"/>
    <col width="18.75" customWidth="1" style="79" min="12298" max="12298"/>
    <col width="15.375" customWidth="1" style="79" min="12299" max="12299"/>
    <col width="15.125" customWidth="1" style="79" min="12300" max="12300"/>
    <col width="11" customWidth="1" style="79" min="12302" max="12302"/>
    <col width="10.625" customWidth="1" style="79" min="12303" max="12303"/>
    <col width="9.625" customWidth="1" style="79" min="12304" max="12304"/>
    <col width="7" customWidth="1" style="79" min="12547" max="12547"/>
    <col width="17.75" customWidth="1" style="79" min="12548" max="12548"/>
    <col width="10.875" customWidth="1" style="79" min="12549" max="12549"/>
    <col width="11.25" customWidth="1" style="79" min="12550" max="12550"/>
    <col width="11.5" customWidth="1" style="79" min="12551" max="12551"/>
    <col width="11.625" customWidth="1" style="79" min="12552" max="12552"/>
    <col width="15.5" customWidth="1" style="79" min="12553" max="12553"/>
    <col width="18.75" customWidth="1" style="79" min="12554" max="12554"/>
    <col width="15.375" customWidth="1" style="79" min="12555" max="12555"/>
    <col width="15.125" customWidth="1" style="79" min="12556" max="12556"/>
    <col width="11" customWidth="1" style="79" min="12558" max="12558"/>
    <col width="10.625" customWidth="1" style="79" min="12559" max="12559"/>
    <col width="9.625" customWidth="1" style="79" min="12560" max="12560"/>
    <col width="7" customWidth="1" style="79" min="12803" max="12803"/>
    <col width="17.75" customWidth="1" style="79" min="12804" max="12804"/>
    <col width="10.875" customWidth="1" style="79" min="12805" max="12805"/>
    <col width="11.25" customWidth="1" style="79" min="12806" max="12806"/>
    <col width="11.5" customWidth="1" style="79" min="12807" max="12807"/>
    <col width="11.625" customWidth="1" style="79" min="12808" max="12808"/>
    <col width="15.5" customWidth="1" style="79" min="12809" max="12809"/>
    <col width="18.75" customWidth="1" style="79" min="12810" max="12810"/>
    <col width="15.375" customWidth="1" style="79" min="12811" max="12811"/>
    <col width="15.125" customWidth="1" style="79" min="12812" max="12812"/>
    <col width="11" customWidth="1" style="79" min="12814" max="12814"/>
    <col width="10.625" customWidth="1" style="79" min="12815" max="12815"/>
    <col width="9.625" customWidth="1" style="79" min="12816" max="12816"/>
    <col width="7" customWidth="1" style="79" min="13059" max="13059"/>
    <col width="17.75" customWidth="1" style="79" min="13060" max="13060"/>
    <col width="10.875" customWidth="1" style="79" min="13061" max="13061"/>
    <col width="11.25" customWidth="1" style="79" min="13062" max="13062"/>
    <col width="11.5" customWidth="1" style="79" min="13063" max="13063"/>
    <col width="11.625" customWidth="1" style="79" min="13064" max="13064"/>
    <col width="15.5" customWidth="1" style="79" min="13065" max="13065"/>
    <col width="18.75" customWidth="1" style="79" min="13066" max="13066"/>
    <col width="15.375" customWidth="1" style="79" min="13067" max="13067"/>
    <col width="15.125" customWidth="1" style="79" min="13068" max="13068"/>
    <col width="11" customWidth="1" style="79" min="13070" max="13070"/>
    <col width="10.625" customWidth="1" style="79" min="13071" max="13071"/>
    <col width="9.625" customWidth="1" style="79" min="13072" max="13072"/>
    <col width="7" customWidth="1" style="79" min="13315" max="13315"/>
    <col width="17.75" customWidth="1" style="79" min="13316" max="13316"/>
    <col width="10.875" customWidth="1" style="79" min="13317" max="13317"/>
    <col width="11.25" customWidth="1" style="79" min="13318" max="13318"/>
    <col width="11.5" customWidth="1" style="79" min="13319" max="13319"/>
    <col width="11.625" customWidth="1" style="79" min="13320" max="13320"/>
    <col width="15.5" customWidth="1" style="79" min="13321" max="13321"/>
    <col width="18.75" customWidth="1" style="79" min="13322" max="13322"/>
    <col width="15.375" customWidth="1" style="79" min="13323" max="13323"/>
    <col width="15.125" customWidth="1" style="79" min="13324" max="13324"/>
    <col width="11" customWidth="1" style="79" min="13326" max="13326"/>
    <col width="10.625" customWidth="1" style="79" min="13327" max="13327"/>
    <col width="9.625" customWidth="1" style="79" min="13328" max="13328"/>
    <col width="7" customWidth="1" style="79" min="13571" max="13571"/>
    <col width="17.75" customWidth="1" style="79" min="13572" max="13572"/>
    <col width="10.875" customWidth="1" style="79" min="13573" max="13573"/>
    <col width="11.25" customWidth="1" style="79" min="13574" max="13574"/>
    <col width="11.5" customWidth="1" style="79" min="13575" max="13575"/>
    <col width="11.625" customWidth="1" style="79" min="13576" max="13576"/>
    <col width="15.5" customWidth="1" style="79" min="13577" max="13577"/>
    <col width="18.75" customWidth="1" style="79" min="13578" max="13578"/>
    <col width="15.375" customWidth="1" style="79" min="13579" max="13579"/>
    <col width="15.125" customWidth="1" style="79" min="13580" max="13580"/>
    <col width="11" customWidth="1" style="79" min="13582" max="13582"/>
    <col width="10.625" customWidth="1" style="79" min="13583" max="13583"/>
    <col width="9.625" customWidth="1" style="79" min="13584" max="13584"/>
    <col width="7" customWidth="1" style="79" min="13827" max="13827"/>
    <col width="17.75" customWidth="1" style="79" min="13828" max="13828"/>
    <col width="10.875" customWidth="1" style="79" min="13829" max="13829"/>
    <col width="11.25" customWidth="1" style="79" min="13830" max="13830"/>
    <col width="11.5" customWidth="1" style="79" min="13831" max="13831"/>
    <col width="11.625" customWidth="1" style="79" min="13832" max="13832"/>
    <col width="15.5" customWidth="1" style="79" min="13833" max="13833"/>
    <col width="18.75" customWidth="1" style="79" min="13834" max="13834"/>
    <col width="15.375" customWidth="1" style="79" min="13835" max="13835"/>
    <col width="15.125" customWidth="1" style="79" min="13836" max="13836"/>
    <col width="11" customWidth="1" style="79" min="13838" max="13838"/>
    <col width="10.625" customWidth="1" style="79" min="13839" max="13839"/>
    <col width="9.625" customWidth="1" style="79" min="13840" max="13840"/>
    <col width="7" customWidth="1" style="79" min="14083" max="14083"/>
    <col width="17.75" customWidth="1" style="79" min="14084" max="14084"/>
    <col width="10.875" customWidth="1" style="79" min="14085" max="14085"/>
    <col width="11.25" customWidth="1" style="79" min="14086" max="14086"/>
    <col width="11.5" customWidth="1" style="79" min="14087" max="14087"/>
    <col width="11.625" customWidth="1" style="79" min="14088" max="14088"/>
    <col width="15.5" customWidth="1" style="79" min="14089" max="14089"/>
    <col width="18.75" customWidth="1" style="79" min="14090" max="14090"/>
    <col width="15.375" customWidth="1" style="79" min="14091" max="14091"/>
    <col width="15.125" customWidth="1" style="79" min="14092" max="14092"/>
    <col width="11" customWidth="1" style="79" min="14094" max="14094"/>
    <col width="10.625" customWidth="1" style="79" min="14095" max="14095"/>
    <col width="9.625" customWidth="1" style="79" min="14096" max="14096"/>
    <col width="7" customWidth="1" style="79" min="14339" max="14339"/>
    <col width="17.75" customWidth="1" style="79" min="14340" max="14340"/>
    <col width="10.875" customWidth="1" style="79" min="14341" max="14341"/>
    <col width="11.25" customWidth="1" style="79" min="14342" max="14342"/>
    <col width="11.5" customWidth="1" style="79" min="14343" max="14343"/>
    <col width="11.625" customWidth="1" style="79" min="14344" max="14344"/>
    <col width="15.5" customWidth="1" style="79" min="14345" max="14345"/>
    <col width="18.75" customWidth="1" style="79" min="14346" max="14346"/>
    <col width="15.375" customWidth="1" style="79" min="14347" max="14347"/>
    <col width="15.125" customWidth="1" style="79" min="14348" max="14348"/>
    <col width="11" customWidth="1" style="79" min="14350" max="14350"/>
    <col width="10.625" customWidth="1" style="79" min="14351" max="14351"/>
    <col width="9.625" customWidth="1" style="79" min="14352" max="14352"/>
    <col width="7" customWidth="1" style="79" min="14595" max="14595"/>
    <col width="17.75" customWidth="1" style="79" min="14596" max="14596"/>
    <col width="10.875" customWidth="1" style="79" min="14597" max="14597"/>
    <col width="11.25" customWidth="1" style="79" min="14598" max="14598"/>
    <col width="11.5" customWidth="1" style="79" min="14599" max="14599"/>
    <col width="11.625" customWidth="1" style="79" min="14600" max="14600"/>
    <col width="15.5" customWidth="1" style="79" min="14601" max="14601"/>
    <col width="18.75" customWidth="1" style="79" min="14602" max="14602"/>
    <col width="15.375" customWidth="1" style="79" min="14603" max="14603"/>
    <col width="15.125" customWidth="1" style="79" min="14604" max="14604"/>
    <col width="11" customWidth="1" style="79" min="14606" max="14606"/>
    <col width="10.625" customWidth="1" style="79" min="14607" max="14607"/>
    <col width="9.625" customWidth="1" style="79" min="14608" max="14608"/>
    <col width="7" customWidth="1" style="79" min="14851" max="14851"/>
    <col width="17.75" customWidth="1" style="79" min="14852" max="14852"/>
    <col width="10.875" customWidth="1" style="79" min="14853" max="14853"/>
    <col width="11.25" customWidth="1" style="79" min="14854" max="14854"/>
    <col width="11.5" customWidth="1" style="79" min="14855" max="14855"/>
    <col width="11.625" customWidth="1" style="79" min="14856" max="14856"/>
    <col width="15.5" customWidth="1" style="79" min="14857" max="14857"/>
    <col width="18.75" customWidth="1" style="79" min="14858" max="14858"/>
    <col width="15.375" customWidth="1" style="79" min="14859" max="14859"/>
    <col width="15.125" customWidth="1" style="79" min="14860" max="14860"/>
    <col width="11" customWidth="1" style="79" min="14862" max="14862"/>
    <col width="10.625" customWidth="1" style="79" min="14863" max="14863"/>
    <col width="9.625" customWidth="1" style="79" min="14864" max="14864"/>
    <col width="7" customWidth="1" style="79" min="15107" max="15107"/>
    <col width="17.75" customWidth="1" style="79" min="15108" max="15108"/>
    <col width="10.875" customWidth="1" style="79" min="15109" max="15109"/>
    <col width="11.25" customWidth="1" style="79" min="15110" max="15110"/>
    <col width="11.5" customWidth="1" style="79" min="15111" max="15111"/>
    <col width="11.625" customWidth="1" style="79" min="15112" max="15112"/>
    <col width="15.5" customWidth="1" style="79" min="15113" max="15113"/>
    <col width="18.75" customWidth="1" style="79" min="15114" max="15114"/>
    <col width="15.375" customWidth="1" style="79" min="15115" max="15115"/>
    <col width="15.125" customWidth="1" style="79" min="15116" max="15116"/>
    <col width="11" customWidth="1" style="79" min="15118" max="15118"/>
    <col width="10.625" customWidth="1" style="79" min="15119" max="15119"/>
    <col width="9.625" customWidth="1" style="79" min="15120" max="15120"/>
    <col width="7" customWidth="1" style="79" min="15363" max="15363"/>
    <col width="17.75" customWidth="1" style="79" min="15364" max="15364"/>
    <col width="10.875" customWidth="1" style="79" min="15365" max="15365"/>
    <col width="11.25" customWidth="1" style="79" min="15366" max="15366"/>
    <col width="11.5" customWidth="1" style="79" min="15367" max="15367"/>
    <col width="11.625" customWidth="1" style="79" min="15368" max="15368"/>
    <col width="15.5" customWidth="1" style="79" min="15369" max="15369"/>
    <col width="18.75" customWidth="1" style="79" min="15370" max="15370"/>
    <col width="15.375" customWidth="1" style="79" min="15371" max="15371"/>
    <col width="15.125" customWidth="1" style="79" min="15372" max="15372"/>
    <col width="11" customWidth="1" style="79" min="15374" max="15374"/>
    <col width="10.625" customWidth="1" style="79" min="15375" max="15375"/>
    <col width="9.625" customWidth="1" style="79" min="15376" max="15376"/>
    <col width="7" customWidth="1" style="79" min="15619" max="15619"/>
    <col width="17.75" customWidth="1" style="79" min="15620" max="15620"/>
    <col width="10.875" customWidth="1" style="79" min="15621" max="15621"/>
    <col width="11.25" customWidth="1" style="79" min="15622" max="15622"/>
    <col width="11.5" customWidth="1" style="79" min="15623" max="15623"/>
    <col width="11.625" customWidth="1" style="79" min="15624" max="15624"/>
    <col width="15.5" customWidth="1" style="79" min="15625" max="15625"/>
    <col width="18.75" customWidth="1" style="79" min="15626" max="15626"/>
    <col width="15.375" customWidth="1" style="79" min="15627" max="15627"/>
    <col width="15.125" customWidth="1" style="79" min="15628" max="15628"/>
    <col width="11" customWidth="1" style="79" min="15630" max="15630"/>
    <col width="10.625" customWidth="1" style="79" min="15631" max="15631"/>
    <col width="9.625" customWidth="1" style="79" min="15632" max="15632"/>
    <col width="7" customWidth="1" style="79" min="15875" max="15875"/>
    <col width="17.75" customWidth="1" style="79" min="15876" max="15876"/>
    <col width="10.875" customWidth="1" style="79" min="15877" max="15877"/>
    <col width="11.25" customWidth="1" style="79" min="15878" max="15878"/>
    <col width="11.5" customWidth="1" style="79" min="15879" max="15879"/>
    <col width="11.625" customWidth="1" style="79" min="15880" max="15880"/>
    <col width="15.5" customWidth="1" style="79" min="15881" max="15881"/>
    <col width="18.75" customWidth="1" style="79" min="15882" max="15882"/>
    <col width="15.375" customWidth="1" style="79" min="15883" max="15883"/>
    <col width="15.125" customWidth="1" style="79" min="15884" max="15884"/>
    <col width="11" customWidth="1" style="79" min="15886" max="15886"/>
    <col width="10.625" customWidth="1" style="79" min="15887" max="15887"/>
    <col width="9.625" customWidth="1" style="79" min="15888" max="15888"/>
    <col width="7" customWidth="1" style="79" min="16131" max="16131"/>
    <col width="17.75" customWidth="1" style="79" min="16132" max="16132"/>
    <col width="10.875" customWidth="1" style="79" min="16133" max="16133"/>
    <col width="11.25" customWidth="1" style="79" min="16134" max="16134"/>
    <col width="11.5" customWidth="1" style="79" min="16135" max="16135"/>
    <col width="11.625" customWidth="1" style="79" min="16136" max="16136"/>
    <col width="15.5" customWidth="1" style="79" min="16137" max="16137"/>
    <col width="18.75" customWidth="1" style="79" min="16138" max="16138"/>
    <col width="15.375" customWidth="1" style="79" min="16139" max="16139"/>
    <col width="15.125" customWidth="1" style="79" min="16140" max="16140"/>
    <col width="11" customWidth="1" style="79" min="16142" max="16142"/>
    <col width="10.625" customWidth="1" style="79" min="16143" max="16143"/>
    <col width="9.625" customWidth="1" style="79" min="16144" max="16144"/>
  </cols>
  <sheetData>
    <row r="1" ht="18.75" customHeight="1" s="79">
      <c r="B1" s="239" t="n"/>
      <c r="C1" s="239" t="n"/>
      <c r="D1" s="239" t="n"/>
      <c r="E1" s="239" t="n"/>
      <c r="F1" s="239" t="n"/>
      <c r="G1" s="239" t="n"/>
      <c r="H1" s="1" t="inlineStr">
        <is>
          <t>KARTU INVENTARIS RUANGAN</t>
        </is>
      </c>
      <c r="I1" s="239" t="n"/>
      <c r="J1" s="239" t="n"/>
      <c r="K1" s="239" t="n"/>
      <c r="L1" s="239" t="n"/>
      <c r="M1" s="239" t="n"/>
      <c r="N1" s="239" t="n"/>
      <c r="O1" s="239" t="inlineStr">
        <is>
          <t>MODEL INV. 6</t>
        </is>
      </c>
      <c r="P1" s="239" t="n"/>
    </row>
    <row r="2" ht="18.75" customHeight="1" s="79">
      <c r="B2" s="475" t="inlineStr">
        <is>
          <t>Kab/Kota</t>
        </is>
      </c>
      <c r="D2" s="1" t="inlineStr">
        <is>
          <t>Kota Banjarmasin</t>
        </is>
      </c>
      <c r="E2" s="239" t="n"/>
      <c r="F2" s="239" t="n"/>
      <c r="G2" s="239" t="n"/>
      <c r="H2" s="1" t="n"/>
      <c r="I2" s="239" t="n"/>
      <c r="J2" s="239" t="n"/>
      <c r="K2" s="239" t="n"/>
      <c r="L2" s="239" t="n"/>
      <c r="M2" s="239" t="n"/>
      <c r="N2" s="239" t="n"/>
      <c r="O2" s="239" t="n"/>
      <c r="P2" s="239" t="n"/>
    </row>
    <row r="3" ht="18.75" customHeight="1" s="79">
      <c r="B3" s="475" t="inlineStr">
        <is>
          <t>Propinsi</t>
        </is>
      </c>
      <c r="D3" s="1" t="inlineStr">
        <is>
          <t>Kalimantan Selatan</t>
        </is>
      </c>
      <c r="E3" s="239" t="n"/>
      <c r="F3" s="239" t="n"/>
      <c r="G3" s="239" t="n"/>
      <c r="H3" s="1" t="n"/>
      <c r="I3" s="239" t="n"/>
      <c r="J3" s="239" t="n"/>
      <c r="K3" s="239" t="n"/>
      <c r="L3" s="239" t="n"/>
      <c r="M3" s="239" t="n"/>
      <c r="N3" s="239" t="n"/>
      <c r="O3" s="239" t="n"/>
      <c r="P3" s="239" t="n"/>
    </row>
    <row r="4" ht="18.75" customHeight="1" s="79">
      <c r="B4" s="475" t="inlineStr">
        <is>
          <t>Satuan Kerja</t>
        </is>
      </c>
      <c r="D4" s="1" t="inlineStr">
        <is>
          <t>Badan Kesatuan Bangsa dan Politik Kota Banjarmasin</t>
        </is>
      </c>
      <c r="E4" s="239" t="n"/>
      <c r="F4" s="239" t="n"/>
      <c r="G4" s="239" t="n"/>
      <c r="H4" s="1" t="n"/>
      <c r="I4" s="239" t="n"/>
      <c r="J4" s="239" t="n"/>
      <c r="K4" s="239" t="n"/>
      <c r="L4" s="239" t="n"/>
      <c r="M4" s="239" t="n"/>
      <c r="N4" s="239" t="n"/>
      <c r="O4" s="239" t="n"/>
      <c r="P4" s="239" t="n"/>
    </row>
    <row r="5" ht="18.75" customHeight="1" s="79">
      <c r="B5" s="475" t="inlineStr">
        <is>
          <t>Ruangan</t>
        </is>
      </c>
      <c r="D5" s="1" t="inlineStr">
        <is>
          <t>Kepala Badan</t>
        </is>
      </c>
      <c r="E5" s="239" t="n"/>
      <c r="F5" s="239" t="n"/>
      <c r="G5" s="239" t="n"/>
      <c r="H5" s="1" t="n"/>
      <c r="I5" s="239" t="n"/>
      <c r="J5" s="239" t="n"/>
      <c r="K5" s="239" t="n"/>
      <c r="L5" s="239" t="n"/>
      <c r="M5" s="239" t="n"/>
      <c r="N5" s="239" t="n"/>
      <c r="O5" s="239" t="n"/>
      <c r="P5" s="239" t="n"/>
    </row>
    <row r="6" ht="18.75" customHeight="1" s="79">
      <c r="B6" s="1" t="n"/>
      <c r="C6" s="1" t="n"/>
      <c r="D6" s="1" t="n"/>
      <c r="E6" s="239" t="n"/>
      <c r="F6" s="239" t="n"/>
      <c r="G6" s="239" t="n"/>
      <c r="N6" s="239" t="n"/>
      <c r="O6" s="239" t="n"/>
      <c r="P6" s="239" t="n"/>
    </row>
    <row r="7" ht="18.75" customHeight="1" s="79">
      <c r="B7" s="1" t="inlineStr">
        <is>
          <t xml:space="preserve">NO.KODE LOKASI : </t>
        </is>
      </c>
      <c r="C7" s="1" t="n"/>
      <c r="D7" s="1" t="n"/>
      <c r="E7" s="239" t="n"/>
      <c r="F7" s="239" t="n"/>
      <c r="G7" s="239" t="n"/>
      <c r="H7" s="239" t="n"/>
      <c r="I7" s="239" t="n"/>
      <c r="J7" s="239" t="n"/>
      <c r="K7" s="239" t="n"/>
      <c r="L7" s="239" t="n"/>
      <c r="M7" s="239" t="n"/>
      <c r="N7" s="239" t="n"/>
      <c r="O7" s="239" t="n"/>
      <c r="P7" s="239" t="n"/>
    </row>
    <row r="8" ht="24.75" customHeight="1" s="79">
      <c r="B8" s="476" t="inlineStr">
        <is>
          <t>No.</t>
        </is>
      </c>
      <c r="C8" s="476" t="inlineStr">
        <is>
          <t>Nama Barang</t>
        </is>
      </c>
      <c r="D8" s="589" t="n"/>
      <c r="E8" s="476" t="inlineStr">
        <is>
          <t>Merk/</t>
        </is>
      </c>
      <c r="F8" s="476" t="inlineStr">
        <is>
          <t>No. Seri</t>
        </is>
      </c>
      <c r="G8" s="601" t="inlineStr">
        <is>
          <t>Ukuran</t>
        </is>
      </c>
      <c r="H8" s="601" t="inlineStr">
        <is>
          <t>Bahan</t>
        </is>
      </c>
      <c r="I8" s="476" t="inlineStr">
        <is>
          <t xml:space="preserve">Tahun </t>
        </is>
      </c>
      <c r="J8" s="476" t="n"/>
      <c r="K8" s="476" t="inlineStr">
        <is>
          <t xml:space="preserve">Jumlah </t>
        </is>
      </c>
      <c r="L8" s="476" t="inlineStr">
        <is>
          <t xml:space="preserve">Harga </t>
        </is>
      </c>
      <c r="M8" s="470" t="inlineStr">
        <is>
          <t xml:space="preserve">Keadaan Barang </t>
        </is>
      </c>
      <c r="N8" s="591" t="n"/>
      <c r="O8" s="592" t="n"/>
      <c r="P8" s="476" t="inlineStr">
        <is>
          <t>Keterangan</t>
        </is>
      </c>
    </row>
    <row r="9" ht="18.75" customHeight="1" s="79">
      <c r="B9" s="469" t="inlineStr">
        <is>
          <t>Urut</t>
        </is>
      </c>
      <c r="C9" s="469" t="inlineStr">
        <is>
          <t>Jenis Barang</t>
        </is>
      </c>
      <c r="D9" s="593" t="n"/>
      <c r="E9" s="469" t="inlineStr">
        <is>
          <t>Model</t>
        </is>
      </c>
      <c r="F9" s="469" t="inlineStr">
        <is>
          <t>Pabrik</t>
        </is>
      </c>
      <c r="G9" s="594" t="n"/>
      <c r="H9" s="594" t="n"/>
      <c r="I9" s="241" t="inlineStr">
        <is>
          <t>Pembuatan</t>
        </is>
      </c>
      <c r="J9" s="241" t="inlineStr">
        <is>
          <t xml:space="preserve">No/. Kode Barang </t>
        </is>
      </c>
      <c r="K9" s="241" t="inlineStr">
        <is>
          <t>Barang</t>
        </is>
      </c>
      <c r="L9" s="241" t="inlineStr">
        <is>
          <t>Beli/</t>
        </is>
      </c>
      <c r="M9" s="241" t="inlineStr">
        <is>
          <t>Baik</t>
        </is>
      </c>
      <c r="N9" s="241" t="inlineStr">
        <is>
          <t>Kurang Baik</t>
        </is>
      </c>
      <c r="O9" s="241" t="inlineStr">
        <is>
          <t>Rusak Berat</t>
        </is>
      </c>
      <c r="P9" s="464" t="inlineStr">
        <is>
          <t>Mutasi dll</t>
        </is>
      </c>
    </row>
    <row r="10" ht="18.75" customHeight="1" s="79">
      <c r="B10" s="595" t="n"/>
      <c r="C10" s="596" t="n"/>
      <c r="D10" s="597" t="n"/>
      <c r="E10" s="595" t="n"/>
      <c r="F10" s="595" t="n"/>
      <c r="G10" s="595" t="n"/>
      <c r="H10" s="595" t="n"/>
      <c r="I10" s="242" t="inlineStr">
        <is>
          <t>Atau Pembelian</t>
        </is>
      </c>
      <c r="J10" s="242" t="n"/>
      <c r="K10" s="242" t="inlineStr">
        <is>
          <t>Register x)</t>
        </is>
      </c>
      <c r="L10" s="242" t="inlineStr">
        <is>
          <t>Perolehan</t>
        </is>
      </c>
      <c r="M10" s="242" t="inlineStr">
        <is>
          <t>(B)</t>
        </is>
      </c>
      <c r="N10" s="242" t="inlineStr">
        <is>
          <t>(KB)</t>
        </is>
      </c>
      <c r="O10" s="242" t="inlineStr">
        <is>
          <t>(RB)</t>
        </is>
      </c>
      <c r="P10" s="595" t="n"/>
    </row>
    <row r="11" ht="18.75" customHeight="1" s="79">
      <c r="A11" s="602" t="n"/>
      <c r="B11" s="603" t="n">
        <v>1</v>
      </c>
      <c r="C11" s="603" t="n">
        <v>2</v>
      </c>
      <c r="D11" s="592" t="n"/>
      <c r="E11" s="604" t="n">
        <v>3</v>
      </c>
      <c r="F11" s="604" t="n">
        <v>4</v>
      </c>
      <c r="G11" s="605" t="n">
        <v>5</v>
      </c>
      <c r="H11" s="605" t="n">
        <v>6</v>
      </c>
      <c r="I11" s="606" t="n">
        <v>7</v>
      </c>
      <c r="J11" s="606" t="n">
        <v>8</v>
      </c>
      <c r="K11" s="606" t="n">
        <v>9</v>
      </c>
      <c r="L11" s="606" t="n">
        <v>10</v>
      </c>
      <c r="M11" s="606" t="n">
        <v>11</v>
      </c>
      <c r="N11" s="606" t="n">
        <v>12</v>
      </c>
      <c r="O11" s="606" t="n">
        <v>13</v>
      </c>
      <c r="P11" s="604" t="inlineStr">
        <is>
          <t>14 [Perlu Verifikasi: Tidak ada di BMD 2026]</t>
        </is>
      </c>
    </row>
    <row r="12" ht="54" customHeight="1" s="79">
      <c r="B12" s="243" t="n">
        <v>1</v>
      </c>
      <c r="C12" s="607" t="inlineStr">
        <is>
          <t>Papan Tulis</t>
        </is>
      </c>
      <c r="D12" s="592" t="n"/>
      <c r="E12" s="246" t="inlineStr">
        <is>
          <t>Merk: Papan Data Stuktur Tipe: 48647</t>
        </is>
      </c>
      <c r="F12" s="247" t="n"/>
      <c r="G12" s="247" t="n"/>
      <c r="H12" s="248" t="inlineStr">
        <is>
          <t>Papan</t>
        </is>
      </c>
      <c r="I12" s="249" t="n">
        <v>2010</v>
      </c>
      <c r="J12" s="249" t="inlineStr">
        <is>
          <t>02.06.01.05.008</t>
        </is>
      </c>
      <c r="K12" s="250" t="inlineStr">
        <is>
          <t>0001</t>
        </is>
      </c>
      <c r="L12" s="251" t="n">
        <v>1350000</v>
      </c>
      <c r="M12" s="249" t="inlineStr">
        <is>
          <t>Baik</t>
        </is>
      </c>
      <c r="N12" s="249" t="n"/>
      <c r="O12" s="247" t="n"/>
      <c r="P12" s="247" t="n"/>
    </row>
    <row r="13" ht="37.5" customHeight="1" s="79">
      <c r="B13" s="252">
        <f>B12+1</f>
        <v/>
      </c>
      <c r="C13" s="608" t="inlineStr">
        <is>
          <t>Kursi Putar</t>
        </is>
      </c>
      <c r="D13" s="592" t="n"/>
      <c r="E13" s="253" t="inlineStr">
        <is>
          <t>Merk: Indachi Tipe: 48665</t>
        </is>
      </c>
      <c r="F13" s="254" t="n"/>
      <c r="G13" s="254" t="n"/>
      <c r="H13" s="252" t="inlineStr">
        <is>
          <t>Besi Plastik</t>
        </is>
      </c>
      <c r="I13" s="252" t="n">
        <v>2014</v>
      </c>
      <c r="J13" s="252" t="inlineStr">
        <is>
          <t>02.06.02.01.030</t>
        </is>
      </c>
      <c r="K13" s="255" t="inlineStr">
        <is>
          <t>0031</t>
        </is>
      </c>
      <c r="L13" s="256" t="n">
        <v>794180</v>
      </c>
      <c r="M13" s="252" t="inlineStr">
        <is>
          <t>Baik</t>
        </is>
      </c>
      <c r="N13" s="254" t="n"/>
      <c r="O13" s="254" t="n"/>
      <c r="P13" s="254" t="n"/>
    </row>
    <row r="14" ht="37.5" customHeight="1" s="79">
      <c r="B14" s="252">
        <f>B13+1</f>
        <v/>
      </c>
      <c r="C14" s="608" t="inlineStr">
        <is>
          <t>Kursi Putar</t>
        </is>
      </c>
      <c r="D14" s="592" t="n"/>
      <c r="E14" s="253" t="inlineStr">
        <is>
          <t>Merk: Indachi Tipe: 48666</t>
        </is>
      </c>
      <c r="F14" s="254" t="n"/>
      <c r="G14" s="254" t="n"/>
      <c r="H14" s="252" t="inlineStr">
        <is>
          <t>Besi Plastik</t>
        </is>
      </c>
      <c r="I14" s="252" t="n">
        <v>2014</v>
      </c>
      <c r="J14" s="252" t="inlineStr">
        <is>
          <t>02.06.02.01.030</t>
        </is>
      </c>
      <c r="K14" s="255" t="inlineStr">
        <is>
          <t>0038</t>
        </is>
      </c>
      <c r="L14" s="256" t="n">
        <v>794180</v>
      </c>
      <c r="M14" s="252" t="inlineStr">
        <is>
          <t>Baik</t>
        </is>
      </c>
      <c r="N14" s="254" t="n"/>
      <c r="O14" s="254" t="n"/>
      <c r="P14" s="254" t="n"/>
    </row>
    <row r="15" ht="37.5" customHeight="1" s="79">
      <c r="B15" s="252">
        <f>B14+1</f>
        <v/>
      </c>
      <c r="C15" s="608" t="inlineStr">
        <is>
          <t>Sofa</t>
        </is>
      </c>
      <c r="D15" s="592" t="n"/>
      <c r="E15" s="253" t="inlineStr">
        <is>
          <t>Merk: LEXUS Tipe: 48786</t>
        </is>
      </c>
      <c r="F15" s="253" t="n"/>
      <c r="G15" s="254" t="n"/>
      <c r="H15" s="252" t="n"/>
      <c r="I15" s="252" t="n">
        <v>2020</v>
      </c>
      <c r="J15" s="252" t="inlineStr">
        <is>
          <t>02.06.02.01.049</t>
        </is>
      </c>
      <c r="K15" s="255" t="inlineStr">
        <is>
          <t>0002</t>
        </is>
      </c>
      <c r="L15" s="256" t="n">
        <v>12524430</v>
      </c>
      <c r="M15" s="252" t="inlineStr">
        <is>
          <t>Baik</t>
        </is>
      </c>
      <c r="N15" s="254" t="n"/>
      <c r="O15" s="254" t="n"/>
      <c r="P15" s="254" t="n"/>
    </row>
    <row r="16" ht="54" customHeight="1" s="79">
      <c r="B16" s="252">
        <f>B15+1</f>
        <v/>
      </c>
      <c r="C16" s="608" t="inlineStr">
        <is>
          <t>Lemari Es</t>
        </is>
      </c>
      <c r="D16" s="592" t="n"/>
      <c r="E16" s="253" t="inlineStr">
        <is>
          <t>Merk: Kulkas SHARP Tipe: 48682</t>
        </is>
      </c>
      <c r="F16" s="254" t="n"/>
      <c r="G16" s="254" t="n"/>
      <c r="H16" s="252" t="inlineStr">
        <is>
          <t>Besi</t>
        </is>
      </c>
      <c r="I16" s="252" t="n">
        <v>2012</v>
      </c>
      <c r="J16" s="252" t="inlineStr">
        <is>
          <t>02.06.02.04.001</t>
        </is>
      </c>
      <c r="K16" s="255" t="inlineStr">
        <is>
          <t>0001</t>
        </is>
      </c>
      <c r="L16" s="256" t="n">
        <v>1975000</v>
      </c>
      <c r="M16" s="252" t="inlineStr">
        <is>
          <t>Baik</t>
        </is>
      </c>
      <c r="N16" s="254" t="n"/>
      <c r="O16" s="254" t="n"/>
      <c r="P16" s="254" t="n"/>
    </row>
    <row r="17" ht="36" customHeight="1" s="79">
      <c r="A17" s="602" t="n"/>
      <c r="B17" s="609">
        <f>B16+1</f>
        <v/>
      </c>
      <c r="C17" s="610" t="inlineStr">
        <is>
          <t>AC Unit</t>
        </is>
      </c>
      <c r="D17" s="592" t="n"/>
      <c r="E17" s="611" t="inlineStr">
        <is>
          <t>Daikin/   FTV25BXV</t>
        </is>
      </c>
      <c r="F17" s="612" t="n"/>
      <c r="G17" s="612" t="n"/>
      <c r="H17" s="609" t="inlineStr">
        <is>
          <t>1 PK</t>
        </is>
      </c>
      <c r="I17" s="609" t="n">
        <v>2019</v>
      </c>
      <c r="J17" s="609" t="inlineStr">
        <is>
          <t>02.06.02.04.003</t>
        </is>
      </c>
      <c r="K17" s="613" t="inlineStr">
        <is>
          <t>0014</t>
        </is>
      </c>
      <c r="L17" s="614" t="n">
        <v>5033356</v>
      </c>
      <c r="M17" s="609" t="inlineStr">
        <is>
          <t>Baik</t>
        </is>
      </c>
      <c r="N17" s="612" t="n"/>
      <c r="O17" s="612" t="n"/>
      <c r="P17" s="612" t="inlineStr">
        <is>
          <t>[Perlu Verifikasi: Tidak ada di BMD 2026]</t>
        </is>
      </c>
    </row>
    <row r="18" ht="36" customHeight="1" s="79">
      <c r="B18" s="252">
        <f>B17+1</f>
        <v/>
      </c>
      <c r="C18" s="608" t="inlineStr">
        <is>
          <t>Televisi</t>
        </is>
      </c>
      <c r="D18" s="592" t="n"/>
      <c r="E18" s="253" t="inlineStr">
        <is>
          <t>Merk: THOSIBA Tipe: 48686</t>
        </is>
      </c>
      <c r="F18" s="254" t="n"/>
      <c r="G18" s="254" t="n"/>
      <c r="H18" s="252" t="inlineStr">
        <is>
          <t>Besi Plastik</t>
        </is>
      </c>
      <c r="I18" s="252" t="n">
        <v>2014</v>
      </c>
      <c r="J18" s="252" t="inlineStr">
        <is>
          <t>02.06.02.06.003</t>
        </is>
      </c>
      <c r="K18" s="255" t="inlineStr">
        <is>
          <t>0005</t>
        </is>
      </c>
      <c r="L18" s="256" t="n">
        <v>10223684</v>
      </c>
      <c r="M18" s="252" t="inlineStr">
        <is>
          <t>Baik</t>
        </is>
      </c>
      <c r="N18" s="254" t="n"/>
      <c r="O18" s="254" t="n"/>
      <c r="P18" s="254" t="n"/>
    </row>
    <row r="19" ht="37.5" customHeight="1" s="79">
      <c r="B19" s="252">
        <f>B18+1</f>
        <v/>
      </c>
      <c r="C19" s="608" t="inlineStr">
        <is>
          <t>Televisi</t>
        </is>
      </c>
      <c r="D19" s="592" t="n"/>
      <c r="E19" s="253" t="inlineStr">
        <is>
          <t>Merk: Samsung Tipe: 48791</t>
        </is>
      </c>
      <c r="F19" s="254" t="n"/>
      <c r="G19" s="254" t="n"/>
      <c r="H19" s="252" t="n"/>
      <c r="I19" s="252" t="n">
        <v>2020</v>
      </c>
      <c r="J19" s="252" t="inlineStr">
        <is>
          <t>02.06.02.06.003</t>
        </is>
      </c>
      <c r="K19" s="255" t="inlineStr">
        <is>
          <t>0006</t>
        </is>
      </c>
      <c r="L19" s="256">
        <f>16532240/3</f>
        <v/>
      </c>
      <c r="M19" s="252" t="inlineStr">
        <is>
          <t>Baik</t>
        </is>
      </c>
      <c r="N19" s="254" t="n"/>
      <c r="O19" s="254" t="n"/>
      <c r="P19" s="253" t="n"/>
    </row>
    <row r="20" ht="72" customHeight="1" s="79">
      <c r="B20" s="252">
        <f>B19+1</f>
        <v/>
      </c>
      <c r="C20" s="608" t="inlineStr">
        <is>
          <t>Camera Video</t>
        </is>
      </c>
      <c r="D20" s="592" t="n"/>
      <c r="E20" s="253" t="inlineStr">
        <is>
          <t>Merk: CCTV Tipe: 48775</t>
        </is>
      </c>
      <c r="F20" s="254" t="n"/>
      <c r="G20" s="254" t="n"/>
      <c r="H20" s="252" t="inlineStr">
        <is>
          <t>Besi Plastik</t>
        </is>
      </c>
      <c r="I20" s="252" t="n">
        <v>2019</v>
      </c>
      <c r="J20" s="252" t="inlineStr">
        <is>
          <t>02.06.02.06.021</t>
        </is>
      </c>
      <c r="K20" s="255" t="inlineStr">
        <is>
          <t>0002</t>
        </is>
      </c>
      <c r="L20" s="256" t="n">
        <v>4620620</v>
      </c>
      <c r="M20" s="252" t="inlineStr">
        <is>
          <t>Baik</t>
        </is>
      </c>
      <c r="N20" s="254" t="n"/>
      <c r="O20" s="254" t="n"/>
      <c r="P20" s="254" t="n"/>
    </row>
    <row r="21" ht="36" customHeight="1" s="79">
      <c r="B21" s="252">
        <f>B20+1</f>
        <v/>
      </c>
      <c r="C21" s="608" t="inlineStr">
        <is>
          <t>Meja Kerja Pejabat Eselon II</t>
        </is>
      </c>
      <c r="D21" s="592" t="n"/>
      <c r="E21" s="253" t="inlineStr">
        <is>
          <t>Merk: Zetta MT 301 Tipe: 48719</t>
        </is>
      </c>
      <c r="F21" s="254" t="n"/>
      <c r="G21" s="254" t="n"/>
      <c r="H21" s="252" t="inlineStr">
        <is>
          <t>Kayu Partikel</t>
        </is>
      </c>
      <c r="I21" s="252" t="n">
        <v>2016</v>
      </c>
      <c r="J21" s="252" t="inlineStr">
        <is>
          <t>02.06.04.01.004</t>
        </is>
      </c>
      <c r="K21" s="255" t="inlineStr">
        <is>
          <t>0002</t>
        </is>
      </c>
      <c r="L21" s="256" t="n">
        <v>2333333</v>
      </c>
      <c r="M21" s="252" t="inlineStr">
        <is>
          <t>Baik</t>
        </is>
      </c>
      <c r="N21" s="254" t="n"/>
      <c r="O21" s="254" t="n"/>
      <c r="P21" s="253" t="n"/>
    </row>
    <row r="22" ht="15" customHeight="1" s="79">
      <c r="B22" s="257" t="n"/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</row>
    <row r="23" ht="15" customHeight="1" s="79">
      <c r="B23" s="257" t="n"/>
      <c r="C23" s="239" t="n"/>
      <c r="D23" s="239" t="n"/>
      <c r="E23" s="239" t="n"/>
      <c r="F23" s="239" t="n"/>
      <c r="G23" s="239" t="n"/>
      <c r="H23" s="239" t="n"/>
      <c r="I23" s="239" t="n"/>
      <c r="J23" s="239" t="n"/>
      <c r="K23" s="239" t="n"/>
      <c r="L23" s="239" t="n"/>
      <c r="M23" s="239" t="n"/>
      <c r="N23" s="239" t="n"/>
      <c r="O23" s="239" t="n"/>
      <c r="P23" s="239" t="n"/>
    </row>
    <row r="24" ht="18.75" customHeight="1" s="79">
      <c r="B24" s="239" t="n"/>
      <c r="C24" s="239" t="n"/>
      <c r="D24" s="258" t="inlineStr">
        <is>
          <t>Mengetahui :</t>
        </is>
      </c>
      <c r="E24" s="239" t="n"/>
      <c r="F24" s="239" t="n"/>
      <c r="G24" s="239" t="n"/>
      <c r="H24" s="239" t="n"/>
      <c r="I24" s="239" t="n"/>
      <c r="J24" s="239" t="n"/>
      <c r="K24" s="239" t="n"/>
      <c r="L24" s="239" t="n"/>
      <c r="M24" s="258" t="inlineStr">
        <is>
          <t>Banjarmasin,     Desember 2026</t>
        </is>
      </c>
      <c r="N24" s="239" t="n"/>
      <c r="O24" s="239" t="n"/>
      <c r="P24" s="239" t="n"/>
    </row>
    <row r="25" ht="18.75" customHeight="1" s="79">
      <c r="B25" s="239" t="n"/>
      <c r="C25" s="239" t="n"/>
      <c r="D25" s="5" t="inlineStr">
        <is>
          <t>Kepala Bakesbangpol Kota Banjarmasin,</t>
        </is>
      </c>
      <c r="E25" s="239" t="n"/>
      <c r="F25" s="239" t="n"/>
      <c r="G25" s="239" t="n"/>
      <c r="H25" s="239" t="n"/>
      <c r="I25" s="239" t="n"/>
      <c r="J25" s="239" t="n"/>
      <c r="K25" s="239" t="n"/>
      <c r="L25" s="239" t="n"/>
      <c r="M25" s="5" t="inlineStr">
        <is>
          <t>Pengurus Barang,</t>
        </is>
      </c>
      <c r="N25" s="239" t="n"/>
      <c r="O25" s="239" t="n"/>
      <c r="P25" s="239" t="n"/>
    </row>
    <row r="26" ht="18.75" customHeight="1" s="79">
      <c r="B26" s="239" t="n"/>
      <c r="C26" s="239" t="n"/>
      <c r="D26" s="5" t="n"/>
      <c r="E26" s="239" t="n"/>
      <c r="F26" s="239" t="n"/>
      <c r="G26" s="239" t="n"/>
      <c r="H26" s="239" t="n"/>
      <c r="I26" s="239" t="n"/>
      <c r="J26" s="239" t="n"/>
      <c r="K26" s="239" t="n"/>
      <c r="L26" s="239" t="n"/>
      <c r="M26" s="5" t="n"/>
      <c r="N26" s="239" t="n"/>
      <c r="O26" s="239" t="n"/>
      <c r="P26" s="239" t="n"/>
    </row>
    <row r="27" ht="18.75" customHeight="1" s="79">
      <c r="B27" s="239" t="n"/>
      <c r="C27" s="239" t="n"/>
      <c r="D27" s="5" t="n"/>
      <c r="E27" s="239" t="n"/>
      <c r="F27" s="239" t="n"/>
      <c r="G27" s="239" t="n"/>
      <c r="H27" s="239" t="n"/>
      <c r="I27" s="239" t="n"/>
      <c r="J27" s="239" t="n"/>
      <c r="K27" s="239" t="n"/>
      <c r="L27" s="239" t="n"/>
      <c r="M27" s="5" t="n"/>
      <c r="N27" s="239" t="n"/>
      <c r="O27" s="239" t="n"/>
      <c r="P27" s="239" t="n"/>
    </row>
    <row r="28" ht="18.75" customHeight="1" s="79">
      <c r="B28" s="239" t="n"/>
      <c r="C28" s="239" t="n"/>
      <c r="D28" s="5" t="n"/>
      <c r="E28" s="239" t="n"/>
      <c r="F28" s="239" t="n"/>
      <c r="G28" s="239" t="n"/>
      <c r="H28" s="239" t="n"/>
      <c r="I28" s="239" t="n"/>
      <c r="J28" s="239" t="n"/>
      <c r="K28" s="239" t="n"/>
      <c r="L28" s="239" t="n"/>
      <c r="M28" s="5" t="n"/>
      <c r="N28" s="239" t="n"/>
      <c r="O28" s="239" t="n"/>
      <c r="P28" s="239" t="n"/>
    </row>
    <row r="29" ht="18.75" customHeight="1" s="79">
      <c r="B29" s="239" t="n"/>
      <c r="C29" s="239" t="n"/>
      <c r="D29" s="6" t="inlineStr">
        <is>
          <t>Dr. H. LUKMAN FADLUN, SH, MH</t>
        </is>
      </c>
      <c r="E29" s="239" t="n"/>
      <c r="F29" s="239" t="n"/>
      <c r="G29" s="239" t="n"/>
      <c r="H29" s="239" t="n"/>
      <c r="I29" s="239" t="n"/>
      <c r="J29" s="239" t="n"/>
      <c r="K29" s="239" t="n"/>
      <c r="L29" s="239" t="n"/>
      <c r="M29" s="6" t="inlineStr">
        <is>
          <t>TRISNAWATI M ULYO HAPSARI, SE</t>
        </is>
      </c>
      <c r="N29" s="239" t="n"/>
      <c r="O29" s="239" t="n"/>
      <c r="P29" s="239" t="n"/>
    </row>
    <row r="30" ht="14.25" customHeight="1" s="79">
      <c r="B30" s="239" t="n"/>
      <c r="C30" s="239" t="n"/>
      <c r="D30" s="5" t="inlineStr">
        <is>
          <t>Pembina Utama Muda</t>
        </is>
      </c>
      <c r="E30" s="239" t="n"/>
      <c r="F30" s="239" t="n"/>
      <c r="G30" s="239" t="n"/>
      <c r="H30" s="239" t="n"/>
      <c r="I30" s="239" t="n"/>
      <c r="J30" s="239" t="n"/>
      <c r="K30" s="239" t="n"/>
      <c r="L30" s="239" t="n"/>
      <c r="M30" s="23" t="inlineStr">
        <is>
          <t>NIP. 19721124 200604 2 005</t>
        </is>
      </c>
      <c r="N30" s="239" t="n"/>
      <c r="O30" s="239" t="n"/>
      <c r="P30" s="239" t="n"/>
    </row>
    <row r="31" ht="18.75" customHeight="1" s="79">
      <c r="B31" s="239" t="n"/>
      <c r="C31" s="239" t="n"/>
      <c r="D31" s="23" t="inlineStr">
        <is>
          <t>NIP. 19691013 200003 1 004</t>
        </is>
      </c>
      <c r="E31" s="239" t="n"/>
      <c r="F31" s="239" t="n"/>
      <c r="G31" s="239" t="n"/>
      <c r="H31" s="239" t="n"/>
      <c r="I31" s="239" t="n"/>
      <c r="J31" s="239" t="n"/>
      <c r="K31" s="239" t="n"/>
      <c r="L31" s="239" t="n"/>
      <c r="M31" s="239" t="n"/>
      <c r="N31" s="239" t="n"/>
      <c r="O31" s="239" t="n"/>
      <c r="P31" s="239" t="n"/>
    </row>
    <row r="32">
      <c r="L32" s="24" t="n"/>
    </row>
    <row r="33">
      <c r="C33" s="21" t="n"/>
      <c r="L33" s="25" t="n"/>
    </row>
    <row r="34">
      <c r="C34" s="22" t="n"/>
    </row>
    <row r="35">
      <c r="C35" s="22" t="n"/>
    </row>
  </sheetData>
  <mergeCells count="24">
    <mergeCell ref="C15:D15"/>
    <mergeCell ref="B3:C3"/>
    <mergeCell ref="P9:P10"/>
    <mergeCell ref="C14:D14"/>
    <mergeCell ref="C20:D20"/>
    <mergeCell ref="B2:C2"/>
    <mergeCell ref="E9:E10"/>
    <mergeCell ref="C16:D16"/>
    <mergeCell ref="M8:O8"/>
    <mergeCell ref="G8:G10"/>
    <mergeCell ref="H8:H10"/>
    <mergeCell ref="C12:D12"/>
    <mergeCell ref="B9:B10"/>
    <mergeCell ref="C21:D21"/>
    <mergeCell ref="F9:F10"/>
    <mergeCell ref="C11:D11"/>
    <mergeCell ref="C17:D17"/>
    <mergeCell ref="C8:D8"/>
    <mergeCell ref="B5:C5"/>
    <mergeCell ref="C19:D19"/>
    <mergeCell ref="C13:D13"/>
    <mergeCell ref="C18:D18"/>
    <mergeCell ref="C9:D10"/>
    <mergeCell ref="B4:C4"/>
  </mergeCells>
  <printOptions horizontalCentered="1"/>
  <pageMargins left="0.118110236220472" right="0.354330708661417" top="0.196850393700787" bottom="0.15748031496063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view="pageBreakPreview" zoomScale="60" zoomScaleNormal="55" workbookViewId="0">
      <selection activeCell="L30" sqref="L30"/>
    </sheetView>
  </sheetViews>
  <sheetFormatPr baseColWidth="8" defaultRowHeight="15.75"/>
  <cols>
    <col width="5.625" customWidth="1" style="79" min="1" max="1"/>
    <col width="7.875" customWidth="1" style="79" min="2" max="2"/>
    <col width="21.875" customWidth="1" style="79" min="3" max="3"/>
    <col width="16.625" customWidth="1" style="79" min="4" max="4"/>
    <col width="9.25" customWidth="1" style="79" min="5" max="5"/>
    <col width="9.125" customWidth="1" style="79" min="6" max="6"/>
    <col width="14.75" customWidth="1" style="79" min="7" max="7"/>
    <col width="18.125" customWidth="1" style="79" min="8" max="8"/>
    <col width="20.375" customWidth="1" style="79" min="9" max="9"/>
    <col width="13" customWidth="1" style="79" min="10" max="10"/>
    <col width="18.125" customWidth="1" style="79" min="11" max="11"/>
    <col width="15.125" customWidth="1" style="79" min="13" max="13"/>
    <col width="14.375" customWidth="1" style="79" min="14" max="14"/>
    <col width="14.8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79" t="n"/>
      <c r="L1" s="279" t="n"/>
      <c r="M1" s="279" t="n"/>
      <c r="N1" s="279" t="inlineStr">
        <is>
          <t>MODEL INV. 6</t>
        </is>
      </c>
      <c r="O1" s="213" t="n"/>
    </row>
    <row r="2" ht="20.25" customHeight="1" s="79">
      <c r="A2" s="279" t="n"/>
      <c r="B2" s="279" t="n"/>
      <c r="C2" s="279" t="n"/>
      <c r="D2" s="279" t="n"/>
      <c r="E2" s="279" t="n"/>
      <c r="F2" s="279" t="n"/>
      <c r="G2" s="280" t="n"/>
      <c r="H2" s="279" t="n"/>
      <c r="I2" s="279" t="n"/>
      <c r="J2" s="279" t="n"/>
      <c r="K2" s="279" t="n"/>
      <c r="L2" s="279" t="n"/>
      <c r="M2" s="279" t="n"/>
      <c r="N2" s="279" t="n"/>
      <c r="O2" s="213" t="n"/>
    </row>
    <row r="3" ht="20.25" customHeight="1" s="79">
      <c r="A3" s="499" t="inlineStr">
        <is>
          <t>Kab/Kota</t>
        </is>
      </c>
      <c r="C3" s="280" t="inlineStr">
        <is>
          <t>Kota Banjarmasin</t>
        </is>
      </c>
      <c r="D3" s="280" t="n"/>
      <c r="E3" s="279" t="n"/>
      <c r="F3" s="279" t="n"/>
      <c r="G3" s="280" t="n"/>
      <c r="H3" s="279" t="n"/>
      <c r="I3" s="279" t="n"/>
      <c r="J3" s="279" t="n"/>
      <c r="K3" s="279" t="n"/>
      <c r="L3" s="279" t="n"/>
      <c r="M3" s="279" t="n"/>
      <c r="N3" s="279" t="n"/>
      <c r="O3" s="213" t="n"/>
    </row>
    <row r="4" ht="20.25" customHeight="1" s="79">
      <c r="A4" s="499" t="inlineStr">
        <is>
          <t>Propinsi</t>
        </is>
      </c>
      <c r="C4" s="280" t="inlineStr">
        <is>
          <t>Kalimantan Selatan</t>
        </is>
      </c>
      <c r="D4" s="280" t="n"/>
      <c r="E4" s="279" t="n"/>
      <c r="F4" s="279" t="n"/>
      <c r="G4" s="280" t="n"/>
      <c r="H4" s="279" t="n"/>
      <c r="I4" s="279" t="n"/>
      <c r="J4" s="279" t="n"/>
      <c r="K4" s="279" t="n"/>
      <c r="L4" s="279" t="n"/>
      <c r="M4" s="279" t="n"/>
      <c r="N4" s="279" t="n"/>
      <c r="O4" s="213" t="n"/>
    </row>
    <row r="5" ht="20.25" customHeight="1" s="79">
      <c r="A5" s="499" t="inlineStr">
        <is>
          <t>Satuan Kerja</t>
        </is>
      </c>
      <c r="C5" s="280" t="inlineStr">
        <is>
          <t>Badan Kesatuan Bangsa dan Politik Kota Banjarmasin</t>
        </is>
      </c>
      <c r="D5" s="280" t="n"/>
      <c r="E5" s="279" t="n"/>
      <c r="F5" s="279" t="n"/>
      <c r="G5" s="280" t="n"/>
      <c r="H5" s="279" t="n"/>
      <c r="I5" s="279" t="n"/>
      <c r="J5" s="279" t="n"/>
      <c r="K5" s="279" t="n"/>
      <c r="L5" s="279" t="n"/>
      <c r="M5" s="279" t="n"/>
      <c r="N5" s="279" t="n"/>
      <c r="O5" s="213" t="n"/>
    </row>
    <row r="6" ht="20.25" customHeight="1" s="79">
      <c r="A6" s="499" t="inlineStr">
        <is>
          <t>Ruangan</t>
        </is>
      </c>
      <c r="C6" s="280" t="inlineStr">
        <is>
          <t xml:space="preserve">Sekretaris </t>
        </is>
      </c>
      <c r="D6" s="280" t="n"/>
      <c r="E6" s="279" t="n"/>
      <c r="F6" s="279" t="n"/>
      <c r="G6" s="280" t="n"/>
      <c r="H6" s="279" t="n"/>
      <c r="I6" s="279" t="n"/>
      <c r="J6" s="279" t="n"/>
      <c r="K6" s="279" t="n"/>
      <c r="L6" s="279" t="n"/>
      <c r="M6" s="279" t="n"/>
      <c r="N6" s="279" t="n"/>
      <c r="O6" s="213" t="n"/>
    </row>
    <row r="7" ht="20.25" customHeight="1" s="79">
      <c r="A7" s="280" t="n"/>
      <c r="B7" s="280" t="n"/>
      <c r="C7" s="280" t="n"/>
      <c r="D7" s="280" t="n"/>
      <c r="E7" s="279" t="n"/>
      <c r="F7" s="279" t="n"/>
      <c r="G7" s="279" t="n"/>
      <c r="H7" s="279" t="n"/>
      <c r="I7" s="279" t="n"/>
      <c r="J7" s="279" t="n"/>
      <c r="K7" s="279" t="n"/>
      <c r="L7" s="279" t="n"/>
      <c r="M7" s="279" t="n"/>
      <c r="N7" s="279" t="n"/>
      <c r="O7" s="213" t="n"/>
    </row>
    <row r="8" ht="20.25" customHeight="1" s="79">
      <c r="A8" s="280" t="inlineStr">
        <is>
          <t xml:space="preserve">NO.KODE LOKASI : </t>
        </is>
      </c>
      <c r="B8" s="279" t="n"/>
      <c r="C8" s="279" t="n"/>
      <c r="D8" s="279" t="n"/>
      <c r="E8" s="279" t="n"/>
      <c r="F8" s="279" t="n"/>
      <c r="G8" s="279" t="n"/>
      <c r="H8" s="279" t="n"/>
      <c r="I8" s="279" t="n"/>
      <c r="J8" s="279" t="n"/>
      <c r="K8" s="279" t="n"/>
      <c r="L8" s="279" t="n"/>
      <c r="M8" s="279" t="n"/>
      <c r="N8" s="279" t="n"/>
      <c r="O8" s="213" t="n"/>
    </row>
    <row r="9" ht="15.95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5.95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No/.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5.95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18" customHeight="1" s="79">
      <c r="A13" s="398" t="n">
        <v>1</v>
      </c>
      <c r="B13" s="615" t="inlineStr">
        <is>
          <t>Kursi Lipat</t>
        </is>
      </c>
      <c r="C13" s="592" t="n"/>
      <c r="D13" s="401" t="inlineStr">
        <is>
          <t>MATRIX / -</t>
        </is>
      </c>
      <c r="E13" s="268" t="n"/>
      <c r="F13" s="268" t="n"/>
      <c r="G13" s="398" t="n"/>
      <c r="H13" s="398" t="n">
        <v>2018</v>
      </c>
      <c r="I13" s="398" t="inlineStr">
        <is>
          <t>02.06.02.01.034</t>
        </is>
      </c>
      <c r="J13" s="400" t="inlineStr">
        <is>
          <t>0007</t>
        </is>
      </c>
      <c r="K13" s="270" t="n">
        <v>333232</v>
      </c>
      <c r="L13" s="398" t="inlineStr">
        <is>
          <t>Baik</t>
        </is>
      </c>
      <c r="M13" s="268" t="n"/>
      <c r="N13" s="268" t="n"/>
      <c r="O13" s="268" t="n"/>
    </row>
    <row r="14" ht="18" customHeight="1" s="79">
      <c r="A14" s="398">
        <f>A13+1</f>
        <v/>
      </c>
      <c r="B14" s="615" t="inlineStr">
        <is>
          <t>Kursi Lipat</t>
        </is>
      </c>
      <c r="C14" s="592" t="n"/>
      <c r="D14" s="401" t="inlineStr">
        <is>
          <t>MATRIX / -</t>
        </is>
      </c>
      <c r="E14" s="268" t="n"/>
      <c r="F14" s="268" t="n"/>
      <c r="G14" s="398" t="n"/>
      <c r="H14" s="398" t="n">
        <v>2018</v>
      </c>
      <c r="I14" s="398" t="inlineStr">
        <is>
          <t>02.06.02.01.034</t>
        </is>
      </c>
      <c r="J14" s="400" t="inlineStr">
        <is>
          <t>0008</t>
        </is>
      </c>
      <c r="K14" s="270" t="n">
        <v>333232</v>
      </c>
      <c r="L14" s="398" t="inlineStr">
        <is>
          <t>Baik</t>
        </is>
      </c>
      <c r="M14" s="268" t="n"/>
      <c r="N14" s="268" t="n"/>
      <c r="O14" s="268" t="n"/>
    </row>
    <row r="15" ht="72" customHeight="1" s="79">
      <c r="A15" s="398">
        <f>A14+1</f>
        <v/>
      </c>
      <c r="B15" s="616" t="inlineStr">
        <is>
          <t>Sofa</t>
        </is>
      </c>
      <c r="C15" s="592" t="n"/>
      <c r="D15" s="271" t="inlineStr">
        <is>
          <t>3.2.1. In Frame IF 007Hitam/CT Royal 0198/Espresso 0197</t>
        </is>
      </c>
      <c r="E15" s="271" t="n"/>
      <c r="F15" s="272" t="n"/>
      <c r="G15" s="273" t="inlineStr">
        <is>
          <t>Kulit Hitam</t>
        </is>
      </c>
      <c r="H15" s="273" t="n">
        <v>2013</v>
      </c>
      <c r="I15" s="273" t="inlineStr">
        <is>
          <t>02.06.02.01.049</t>
        </is>
      </c>
      <c r="J15" s="274" t="inlineStr">
        <is>
          <t>0001</t>
        </is>
      </c>
      <c r="K15" s="275" t="n">
        <v>9384350.039999999</v>
      </c>
      <c r="L15" s="273" t="inlineStr">
        <is>
          <t>Baik</t>
        </is>
      </c>
      <c r="M15" s="276" t="n"/>
      <c r="N15" s="272" t="n"/>
      <c r="O15" s="272" t="n"/>
    </row>
    <row r="16" ht="36" customHeight="1" s="79">
      <c r="A16" s="398">
        <f>A15+1</f>
        <v/>
      </c>
      <c r="B16" s="616" t="inlineStr">
        <is>
          <t>AC Unit</t>
        </is>
      </c>
      <c r="C16" s="592" t="n"/>
      <c r="D16" s="271" t="inlineStr">
        <is>
          <t>Daikin/FTV25CXV</t>
        </is>
      </c>
      <c r="E16" s="272" t="n"/>
      <c r="F16" s="272" t="n"/>
      <c r="G16" s="273" t="n"/>
      <c r="H16" s="273" t="n">
        <v>2020</v>
      </c>
      <c r="I16" s="273" t="inlineStr">
        <is>
          <t>02.06.02.04.003</t>
        </is>
      </c>
      <c r="J16" s="274" t="inlineStr">
        <is>
          <t>0015</t>
        </is>
      </c>
      <c r="K16" s="275" t="n">
        <v>8165750</v>
      </c>
      <c r="L16" s="273" t="inlineStr">
        <is>
          <t>Baik</t>
        </is>
      </c>
      <c r="M16" s="272" t="n"/>
      <c r="N16" s="272" t="n"/>
      <c r="O16" s="272" t="n"/>
    </row>
    <row r="17" ht="36" customHeight="1" s="79">
      <c r="A17" s="398">
        <f>A16+1</f>
        <v/>
      </c>
      <c r="B17" s="615" t="inlineStr">
        <is>
          <t>Printer</t>
        </is>
      </c>
      <c r="C17" s="592" t="n"/>
      <c r="D17" s="401" t="inlineStr">
        <is>
          <t>Epson ECO Tank L3110N /-</t>
        </is>
      </c>
      <c r="E17" s="268" t="n"/>
      <c r="F17" s="268" t="n"/>
      <c r="G17" s="398" t="inlineStr">
        <is>
          <t>Campuran</t>
        </is>
      </c>
      <c r="H17" s="398" t="n">
        <v>2020</v>
      </c>
      <c r="I17" s="398" t="inlineStr">
        <is>
          <t>02.06.03.05.003</t>
        </is>
      </c>
      <c r="J17" s="400" t="inlineStr">
        <is>
          <t>0033</t>
        </is>
      </c>
      <c r="K17" s="270" t="n">
        <v>2783950</v>
      </c>
      <c r="L17" s="398" t="inlineStr">
        <is>
          <t>Baik</t>
        </is>
      </c>
      <c r="M17" s="268" t="n"/>
      <c r="N17" s="268" t="n"/>
      <c r="O17" s="268" t="n"/>
    </row>
    <row r="18" ht="36" customHeight="1" s="79">
      <c r="A18" s="398">
        <f>A17+1</f>
        <v/>
      </c>
      <c r="B18" s="616" t="inlineStr">
        <is>
          <t>Meja Kerja Pejabat Eselon II</t>
        </is>
      </c>
      <c r="C18" s="592" t="n"/>
      <c r="D18" s="271" t="inlineStr">
        <is>
          <t>Zetta MT 301 / Esselon II</t>
        </is>
      </c>
      <c r="E18" s="272" t="n"/>
      <c r="F18" s="272" t="n"/>
      <c r="G18" s="273" t="inlineStr">
        <is>
          <t>Kayu Partikel</t>
        </is>
      </c>
      <c r="H18" s="273" t="n">
        <v>2014</v>
      </c>
      <c r="I18" s="273" t="inlineStr">
        <is>
          <t>02.06.04.01.004</t>
        </is>
      </c>
      <c r="J18" s="274" t="inlineStr">
        <is>
          <t>0001</t>
        </is>
      </c>
      <c r="K18" s="275" t="n">
        <v>5780423</v>
      </c>
      <c r="L18" s="273" t="inlineStr">
        <is>
          <t>Baik</t>
        </is>
      </c>
      <c r="M18" s="272" t="n"/>
      <c r="N18" s="272" t="n"/>
      <c r="O18" s="271" t="n"/>
    </row>
    <row r="19" ht="36" customHeight="1" s="79">
      <c r="A19" s="398">
        <f>A18+1</f>
        <v/>
      </c>
      <c r="B19" s="616" t="inlineStr">
        <is>
          <t>Kursi Kerja Pejabat Eselon III</t>
        </is>
      </c>
      <c r="C19" s="592" t="n"/>
      <c r="D19" s="271" t="inlineStr">
        <is>
          <t>Tiger T904 Esselon III</t>
        </is>
      </c>
      <c r="E19" s="272" t="n"/>
      <c r="F19" s="272" t="n"/>
      <c r="G19" s="273" t="inlineStr">
        <is>
          <t>Besi Plastik</t>
        </is>
      </c>
      <c r="H19" s="273" t="n">
        <v>2011</v>
      </c>
      <c r="I19" s="273" t="inlineStr">
        <is>
          <t>02.06.04.03.005</t>
        </is>
      </c>
      <c r="J19" s="274" t="inlineStr">
        <is>
          <t>0006</t>
        </is>
      </c>
      <c r="K19" s="275" t="n">
        <v>1485000</v>
      </c>
      <c r="L19" s="273" t="inlineStr">
        <is>
          <t>Baik</t>
        </is>
      </c>
      <c r="M19" s="272" t="n"/>
      <c r="N19" s="272" t="n"/>
      <c r="O19" s="272" t="n"/>
    </row>
    <row r="20" ht="72" customHeight="1" s="79">
      <c r="A20" s="398">
        <f>A19+1</f>
        <v/>
      </c>
      <c r="B20" s="350" t="inlineStr">
        <is>
          <t>Lemari dan Arsip Pejabat Lain-lain</t>
        </is>
      </c>
      <c r="C20" s="592" t="n"/>
      <c r="D20" s="271" t="inlineStr">
        <is>
          <t xml:space="preserve">Informa MC Glass Door/Lemari Buku </t>
        </is>
      </c>
      <c r="E20" s="272" t="n"/>
      <c r="F20" s="272" t="n"/>
      <c r="G20" s="273" t="inlineStr">
        <is>
          <t>Kayu Partikel</t>
        </is>
      </c>
      <c r="H20" s="273" t="n">
        <v>2016</v>
      </c>
      <c r="I20" s="273" t="inlineStr">
        <is>
          <t>02.06.04.07.009</t>
        </is>
      </c>
      <c r="J20" s="274" t="inlineStr">
        <is>
          <t>0001</t>
        </is>
      </c>
      <c r="K20" s="275" t="n">
        <v>2739131</v>
      </c>
      <c r="L20" s="273" t="inlineStr">
        <is>
          <t>Baik</t>
        </is>
      </c>
      <c r="M20" s="272" t="n"/>
      <c r="N20" s="272" t="n"/>
      <c r="O20" s="271" t="n"/>
    </row>
    <row r="21" ht="18" customHeight="1" s="79">
      <c r="A21" s="214" t="n"/>
      <c r="B21" s="214" t="n"/>
      <c r="C21" s="214" t="n"/>
      <c r="D21" s="214" t="n"/>
      <c r="E21" s="214" t="n"/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</row>
    <row r="22" ht="53.25" customHeight="1" s="79">
      <c r="A22" s="214" t="n"/>
      <c r="B22" s="214" t="n"/>
      <c r="C22" s="214" t="n"/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</row>
    <row r="23" ht="18" customHeight="1" s="79">
      <c r="A23" s="214" t="n"/>
      <c r="B23" s="214" t="n"/>
      <c r="C23" s="522" t="inlineStr">
        <is>
          <t>Mengetahui :</t>
        </is>
      </c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522" t="inlineStr">
        <is>
          <t>Banjarmasin,      Desember 2025</t>
        </is>
      </c>
      <c r="M23" s="214" t="n"/>
      <c r="N23" s="214" t="n"/>
      <c r="O23" s="214" t="n"/>
    </row>
    <row r="24" ht="18" customHeight="1" s="79">
      <c r="A24" s="214" t="n"/>
      <c r="B24" s="214" t="n"/>
      <c r="C24" s="5" t="inlineStr">
        <is>
          <t>Kepala Bakesbangpol Kota Banjarmasin,</t>
        </is>
      </c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5" t="inlineStr">
        <is>
          <t>Pengurus Barang,</t>
        </is>
      </c>
      <c r="M24" s="214" t="n"/>
      <c r="N24" s="214" t="n"/>
      <c r="O24" s="214" t="n"/>
    </row>
    <row r="25" ht="18" customHeight="1" s="79">
      <c r="A25" s="214" t="n"/>
      <c r="B25" s="214" t="n"/>
      <c r="C25" s="5" t="n"/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5" t="n"/>
      <c r="M25" s="214" t="n"/>
      <c r="N25" s="214" t="n"/>
      <c r="O25" s="214" t="n"/>
    </row>
    <row r="26" ht="18" customHeight="1" s="79">
      <c r="A26" s="214" t="n"/>
      <c r="B26" s="214" t="n"/>
      <c r="C26" s="5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" t="n"/>
      <c r="M26" s="214" t="n"/>
      <c r="N26" s="214" t="n"/>
      <c r="O26" s="214" t="n"/>
    </row>
    <row r="27" ht="18" customHeight="1" s="79">
      <c r="A27" s="214" t="n"/>
      <c r="B27" s="214" t="n"/>
      <c r="C27" s="5" t="n"/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5" t="n"/>
      <c r="M27" s="214" t="n"/>
      <c r="N27" s="214" t="n"/>
      <c r="O27" s="214" t="n"/>
    </row>
    <row r="28" ht="18" customHeight="1" s="79">
      <c r="A28" s="214" t="n"/>
      <c r="B28" s="214" t="n"/>
      <c r="C28" s="6" t="inlineStr">
        <is>
          <t>Dr. H. LUKMAN FADLUN, SH, MH</t>
        </is>
      </c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6" t="inlineStr">
        <is>
          <t>TRISNAWATI M ULYO HAPSARI, SE</t>
        </is>
      </c>
      <c r="M28" s="214" t="n"/>
      <c r="N28" s="214" t="n"/>
      <c r="O28" s="214" t="n"/>
    </row>
    <row r="29" ht="24" customHeight="1" s="79">
      <c r="A29" s="214" t="n"/>
      <c r="B29" s="214" t="n"/>
      <c r="C29" s="5" t="inlineStr">
        <is>
          <t>Pembina Utama Muda</t>
        </is>
      </c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3">
        <f>'RUANG KABAN'!M30</f>
        <v/>
      </c>
      <c r="M29" s="214" t="n"/>
      <c r="N29" s="214" t="n"/>
      <c r="O29" s="214" t="n"/>
    </row>
    <row r="30" ht="18" customHeight="1" s="79">
      <c r="A30" s="214" t="n"/>
      <c r="B30" s="214" t="n"/>
      <c r="C30" s="23" t="inlineStr">
        <is>
          <t>NIP. 19691013 200003 1 004</t>
        </is>
      </c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</row>
    <row r="31">
      <c r="K31" s="24" t="n"/>
    </row>
    <row r="32">
      <c r="B32" s="21" t="n"/>
      <c r="K32" s="25" t="n"/>
    </row>
    <row r="33">
      <c r="B33" s="22" t="n"/>
    </row>
    <row r="34">
      <c r="B34" s="22" t="n"/>
    </row>
  </sheetData>
  <mergeCells count="22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"/>
  <sheetViews>
    <sheetView view="pageBreakPreview" topLeftCell="A3" zoomScale="90" zoomScaleNormal="55" zoomScaleSheetLayoutView="90" workbookViewId="0">
      <selection activeCell="Q29" sqref="Q29"/>
    </sheetView>
  </sheetViews>
  <sheetFormatPr baseColWidth="8" defaultRowHeight="15.75"/>
  <cols>
    <col width="5.75" customWidth="1" style="79" min="1" max="1"/>
    <col width="7" customWidth="1" style="79" min="2" max="2"/>
    <col width="23.625" customWidth="1" style="79" min="3" max="3"/>
    <col width="19.375" customWidth="1" style="79" min="4" max="4"/>
    <col width="10.125" customWidth="1" style="79" min="5" max="5"/>
    <col width="9.875" customWidth="1" style="79" min="6" max="6"/>
    <col width="11.625" customWidth="1" style="79" min="7" max="7"/>
    <col width="18.125" customWidth="1" style="79" min="8" max="8"/>
    <col width="20" customWidth="1" style="79" min="9" max="9"/>
    <col width="12.875" customWidth="1" style="79" min="10" max="10"/>
    <col width="17.25" customWidth="1" style="79" min="11" max="11"/>
    <col width="15.125" customWidth="1" style="79" min="13" max="13"/>
    <col width="14.25" customWidth="1" style="79" min="14" max="14"/>
    <col width="15.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79" t="n"/>
      <c r="L1" s="279" t="n"/>
      <c r="M1" s="279" t="n"/>
      <c r="N1" s="279" t="inlineStr">
        <is>
          <t>MODEL INV. 6</t>
        </is>
      </c>
      <c r="O1" s="279" t="n"/>
    </row>
    <row r="2" ht="20.25" customHeight="1" s="79">
      <c r="A2" s="279" t="n"/>
      <c r="B2" s="279" t="n"/>
      <c r="C2" s="279" t="n"/>
      <c r="D2" s="279" t="n"/>
      <c r="E2" s="279" t="n"/>
      <c r="F2" s="279" t="n"/>
      <c r="G2" s="280" t="n"/>
      <c r="H2" s="279" t="n"/>
      <c r="I2" s="279" t="n"/>
      <c r="J2" s="279" t="n"/>
      <c r="K2" s="279" t="n"/>
      <c r="L2" s="279" t="n"/>
      <c r="M2" s="279" t="n"/>
      <c r="N2" s="279" t="n"/>
      <c r="O2" s="279" t="n"/>
    </row>
    <row r="3" ht="20.25" customHeight="1" s="79">
      <c r="A3" s="499" t="inlineStr">
        <is>
          <t>Kab/Kota</t>
        </is>
      </c>
      <c r="C3" s="280" t="inlineStr">
        <is>
          <t>Kota Banjarmasin</t>
        </is>
      </c>
      <c r="D3" s="279" t="n"/>
      <c r="E3" s="279" t="n"/>
      <c r="F3" s="279" t="n"/>
      <c r="G3" s="280" t="n"/>
      <c r="H3" s="279" t="n"/>
      <c r="I3" s="279" t="n"/>
      <c r="J3" s="279" t="n"/>
      <c r="K3" s="279" t="n"/>
      <c r="L3" s="279" t="n"/>
      <c r="M3" s="279" t="n"/>
      <c r="N3" s="279" t="n"/>
      <c r="O3" s="279" t="n"/>
    </row>
    <row r="4" ht="20.25" customHeight="1" s="79">
      <c r="A4" s="499" t="inlineStr">
        <is>
          <t>Propinsi</t>
        </is>
      </c>
      <c r="C4" s="280" t="inlineStr">
        <is>
          <t>Kalimantan Selatan</t>
        </is>
      </c>
      <c r="D4" s="279" t="n"/>
      <c r="E4" s="279" t="n"/>
      <c r="F4" s="279" t="n"/>
      <c r="G4" s="280" t="n"/>
      <c r="H4" s="279" t="n"/>
      <c r="I4" s="279" t="n"/>
      <c r="J4" s="279" t="n"/>
      <c r="K4" s="279" t="n"/>
      <c r="L4" s="279" t="n"/>
      <c r="M4" s="279" t="n"/>
      <c r="N4" s="279" t="n"/>
      <c r="O4" s="279" t="n"/>
    </row>
    <row r="5" ht="20.25" customHeight="1" s="79">
      <c r="A5" s="499" t="inlineStr">
        <is>
          <t>Satuan Kerja</t>
        </is>
      </c>
      <c r="C5" s="280" t="inlineStr">
        <is>
          <t>Badan Kesatuan Bangsa dan Politik Kota Banjarmasin</t>
        </is>
      </c>
      <c r="D5" s="279" t="n"/>
      <c r="E5" s="279" t="n"/>
      <c r="F5" s="279" t="n"/>
      <c r="G5" s="280" t="n"/>
      <c r="H5" s="279" t="n"/>
      <c r="I5" s="279" t="n"/>
      <c r="J5" s="279" t="n"/>
      <c r="K5" s="279" t="n"/>
      <c r="L5" s="279" t="n"/>
      <c r="M5" s="279" t="n"/>
      <c r="N5" s="279" t="n"/>
      <c r="O5" s="279" t="n"/>
    </row>
    <row r="6" ht="20.25" customHeight="1" s="79">
      <c r="A6" s="499" t="inlineStr">
        <is>
          <t>Ruangan</t>
        </is>
      </c>
      <c r="C6" s="280" t="inlineStr">
        <is>
          <t>SEKRETARIAT</t>
        </is>
      </c>
      <c r="D6" s="279" t="n"/>
      <c r="E6" s="279" t="n"/>
      <c r="F6" s="279" t="n"/>
      <c r="G6" s="280" t="n"/>
      <c r="H6" s="279" t="n"/>
      <c r="I6" s="279" t="n"/>
      <c r="J6" s="279" t="n"/>
      <c r="K6" s="279" t="n"/>
      <c r="L6" s="279" t="n"/>
      <c r="M6" s="279" t="n"/>
      <c r="N6" s="279" t="n"/>
      <c r="O6" s="279" t="n"/>
    </row>
    <row r="7" ht="20.25" customHeight="1" s="79">
      <c r="A7" s="280" t="n"/>
      <c r="B7" s="280" t="n"/>
      <c r="C7" s="280" t="n"/>
      <c r="D7" s="279" t="n"/>
      <c r="E7" s="279" t="n"/>
      <c r="F7" s="279" t="n"/>
      <c r="G7" s="279" t="n"/>
      <c r="H7" s="279" t="n"/>
      <c r="I7" s="279" t="n"/>
      <c r="J7" s="279" t="n"/>
      <c r="K7" s="279" t="n"/>
      <c r="L7" s="279" t="n"/>
      <c r="M7" s="279" t="n"/>
      <c r="N7" s="279" t="n"/>
      <c r="O7" s="279" t="n"/>
    </row>
    <row r="8" ht="20.25" customHeight="1" s="79">
      <c r="A8" s="280" t="inlineStr">
        <is>
          <t xml:space="preserve">NO.KODE LOKASI : </t>
        </is>
      </c>
      <c r="B8" s="280" t="n"/>
      <c r="C8" s="280" t="n"/>
      <c r="D8" s="279" t="n"/>
      <c r="E8" s="279" t="n"/>
      <c r="F8" s="279" t="n"/>
      <c r="G8" s="279" t="n"/>
      <c r="H8" s="279" t="n"/>
      <c r="I8" s="279" t="n"/>
      <c r="J8" s="279" t="n"/>
      <c r="K8" s="279" t="n"/>
      <c r="L8" s="279" t="n"/>
      <c r="M8" s="279" t="n"/>
      <c r="N8" s="279" t="n"/>
      <c r="O8" s="279" t="n"/>
    </row>
    <row r="9" ht="15.95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5.95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5.95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18" customHeight="1" s="79">
      <c r="A13" s="398" t="n">
        <v>1</v>
      </c>
      <c r="B13" s="615" t="inlineStr">
        <is>
          <t>Lemari Besi</t>
        </is>
      </c>
      <c r="C13" s="592" t="n"/>
      <c r="D13" s="401" t="inlineStr">
        <is>
          <t>BROTHER / -</t>
        </is>
      </c>
      <c r="E13" s="268" t="n"/>
      <c r="F13" s="268" t="n"/>
      <c r="G13" s="398" t="inlineStr">
        <is>
          <t>Besi</t>
        </is>
      </c>
      <c r="H13" s="398" t="n">
        <v>2008</v>
      </c>
      <c r="I13" s="398" t="inlineStr">
        <is>
          <t>02.06.01.04.001</t>
        </is>
      </c>
      <c r="J13" s="400" t="inlineStr">
        <is>
          <t>0008</t>
        </is>
      </c>
      <c r="K13" s="434" t="n">
        <v>1730000</v>
      </c>
      <c r="L13" s="398" t="inlineStr">
        <is>
          <t>Baik</t>
        </is>
      </c>
      <c r="M13" s="268" t="n"/>
      <c r="N13" s="268" t="n"/>
      <c r="O13" s="268" t="n"/>
    </row>
    <row r="14" ht="36" customHeight="1" s="79">
      <c r="A14" s="398">
        <f>A13+1</f>
        <v/>
      </c>
      <c r="B14" s="615" t="inlineStr">
        <is>
          <t>Lemari Besi</t>
        </is>
      </c>
      <c r="C14" s="592" t="n"/>
      <c r="D14" s="401" t="inlineStr">
        <is>
          <t>LION / L 33 Swing Door</t>
        </is>
      </c>
      <c r="E14" s="268" t="n"/>
      <c r="F14" s="268" t="n"/>
      <c r="G14" s="398" t="inlineStr">
        <is>
          <t>Besi</t>
        </is>
      </c>
      <c r="H14" s="398" t="n">
        <v>2013</v>
      </c>
      <c r="I14" s="398" t="inlineStr">
        <is>
          <t>02.06.01.04.001</t>
        </is>
      </c>
      <c r="J14" s="400" t="inlineStr">
        <is>
          <t>0014</t>
        </is>
      </c>
      <c r="K14" s="434" t="n">
        <v>2820699</v>
      </c>
      <c r="L14" s="398" t="inlineStr">
        <is>
          <t>Baik</t>
        </is>
      </c>
      <c r="M14" s="268" t="n"/>
      <c r="N14" s="268" t="n"/>
      <c r="O14" s="268" t="n"/>
    </row>
    <row r="15" ht="18" customHeight="1" s="79">
      <c r="A15" s="398">
        <f>A14+1</f>
        <v/>
      </c>
      <c r="B15" s="615" t="inlineStr">
        <is>
          <t>Lemari Besi</t>
        </is>
      </c>
      <c r="C15" s="592" t="n"/>
      <c r="D15" s="401" t="inlineStr">
        <is>
          <t>Brother / B-203</t>
        </is>
      </c>
      <c r="E15" s="268" t="n"/>
      <c r="F15" s="268" t="n"/>
      <c r="G15" s="398" t="inlineStr">
        <is>
          <t>Besi</t>
        </is>
      </c>
      <c r="H15" s="398" t="n">
        <v>2014</v>
      </c>
      <c r="I15" s="398" t="inlineStr">
        <is>
          <t>02.06.01.04.001</t>
        </is>
      </c>
      <c r="J15" s="400" t="inlineStr">
        <is>
          <t>0016</t>
        </is>
      </c>
      <c r="K15" s="434" t="n">
        <v>3669674</v>
      </c>
      <c r="L15" s="398" t="inlineStr">
        <is>
          <t>Baik</t>
        </is>
      </c>
      <c r="M15" s="268" t="n"/>
      <c r="N15" s="268" t="n"/>
      <c r="O15" s="268" t="n"/>
    </row>
    <row r="16" ht="18" customHeight="1" s="79">
      <c r="A16" s="398">
        <f>A15+1</f>
        <v/>
      </c>
      <c r="B16" s="615" t="inlineStr">
        <is>
          <t>Filling Besi / Metal</t>
        </is>
      </c>
      <c r="C16" s="592" t="n"/>
      <c r="D16" s="401" t="inlineStr">
        <is>
          <t>BROTHER / -</t>
        </is>
      </c>
      <c r="E16" s="268" t="n"/>
      <c r="F16" s="268" t="n"/>
      <c r="G16" s="433" t="inlineStr">
        <is>
          <t>Besi</t>
        </is>
      </c>
      <c r="H16" s="398" t="n">
        <v>2006</v>
      </c>
      <c r="I16" s="398" t="inlineStr">
        <is>
          <t>02.06.01.04.004</t>
        </is>
      </c>
      <c r="J16" s="400" t="inlineStr">
        <is>
          <t>0002</t>
        </is>
      </c>
      <c r="K16" s="434" t="n">
        <v>1220000</v>
      </c>
      <c r="L16" s="398" t="inlineStr">
        <is>
          <t>Baik</t>
        </is>
      </c>
      <c r="M16" s="283" t="inlineStr">
        <is>
          <t>Di KIB Kurang Baik</t>
        </is>
      </c>
      <c r="N16" s="268" t="n"/>
      <c r="O16" s="268" t="n"/>
    </row>
    <row r="17" ht="18" customHeight="1" s="79">
      <c r="A17" s="398">
        <f>A16+1</f>
        <v/>
      </c>
      <c r="B17" s="615" t="inlineStr">
        <is>
          <t>Filling Besi / Metal</t>
        </is>
      </c>
      <c r="C17" s="592" t="n"/>
      <c r="D17" s="401" t="inlineStr">
        <is>
          <t>BROTHER / -</t>
        </is>
      </c>
      <c r="E17" s="268" t="n"/>
      <c r="F17" s="268" t="n"/>
      <c r="G17" s="433" t="inlineStr">
        <is>
          <t>Besi</t>
        </is>
      </c>
      <c r="H17" s="398" t="n">
        <v>2008</v>
      </c>
      <c r="I17" s="398" t="inlineStr">
        <is>
          <t>02.06.01.04.004</t>
        </is>
      </c>
      <c r="J17" s="400" t="inlineStr">
        <is>
          <t>0003</t>
        </is>
      </c>
      <c r="K17" s="434" t="n">
        <v>1220000</v>
      </c>
      <c r="L17" s="398" t="inlineStr">
        <is>
          <t>Baik</t>
        </is>
      </c>
      <c r="M17" s="268" t="n"/>
      <c r="N17" s="268" t="n"/>
      <c r="O17" s="268" t="n"/>
    </row>
    <row r="18" ht="18" customHeight="1" s="79">
      <c r="A18" s="398">
        <f>A17+1</f>
        <v/>
      </c>
      <c r="B18" s="615" t="inlineStr">
        <is>
          <t>Filling Besi / Metal</t>
        </is>
      </c>
      <c r="C18" s="592" t="n"/>
      <c r="D18" s="401" t="inlineStr">
        <is>
          <t>Secure Line / -</t>
        </is>
      </c>
      <c r="E18" s="268" t="n"/>
      <c r="F18" s="268" t="n"/>
      <c r="G18" s="433" t="inlineStr">
        <is>
          <t>Besi</t>
        </is>
      </c>
      <c r="H18" s="398" t="n">
        <v>2013</v>
      </c>
      <c r="I18" s="398" t="inlineStr">
        <is>
          <t>02.06.01.04.004</t>
        </is>
      </c>
      <c r="J18" s="400" t="inlineStr">
        <is>
          <t>0007</t>
        </is>
      </c>
      <c r="K18" s="434" t="n">
        <v>2880334</v>
      </c>
      <c r="L18" s="398" t="inlineStr">
        <is>
          <t>Baik</t>
        </is>
      </c>
      <c r="M18" s="268" t="n"/>
      <c r="N18" s="268" t="n"/>
      <c r="O18" s="268" t="n"/>
    </row>
    <row r="19" ht="36" customHeight="1" s="79">
      <c r="A19" s="398">
        <f>A18+1</f>
        <v/>
      </c>
      <c r="B19" s="615" t="inlineStr">
        <is>
          <t>Filling Besi / Metal</t>
        </is>
      </c>
      <c r="C19" s="592" t="n"/>
      <c r="D19" s="401" t="inlineStr">
        <is>
          <t>BROTHER / BS - 102</t>
        </is>
      </c>
      <c r="E19" s="268" t="n"/>
      <c r="F19" s="268" t="n"/>
      <c r="G19" s="433" t="inlineStr">
        <is>
          <t>Besi</t>
        </is>
      </c>
      <c r="H19" s="398" t="n">
        <v>2014</v>
      </c>
      <c r="I19" s="398" t="inlineStr">
        <is>
          <t>02.06.01.04.004</t>
        </is>
      </c>
      <c r="J19" s="400" t="inlineStr">
        <is>
          <t>0010</t>
        </is>
      </c>
      <c r="K19" s="434" t="n">
        <v>3292653</v>
      </c>
      <c r="L19" s="398" t="inlineStr">
        <is>
          <t>Baik</t>
        </is>
      </c>
      <c r="M19" s="268" t="n"/>
      <c r="N19" s="268" t="n"/>
      <c r="O19" s="268" t="n"/>
    </row>
    <row r="20" ht="36" customHeight="1" s="79">
      <c r="A20" s="398">
        <f>A19+1</f>
        <v/>
      </c>
      <c r="B20" s="615" t="inlineStr">
        <is>
          <t>Filling Besi / Metal</t>
        </is>
      </c>
      <c r="C20" s="592" t="n"/>
      <c r="D20" s="401" t="inlineStr">
        <is>
          <t>BROTHER / BS - 102</t>
        </is>
      </c>
      <c r="E20" s="268" t="n"/>
      <c r="F20" s="268" t="n"/>
      <c r="G20" s="433" t="inlineStr">
        <is>
          <t>Besi</t>
        </is>
      </c>
      <c r="H20" s="398" t="n">
        <v>2014</v>
      </c>
      <c r="I20" s="398" t="inlineStr">
        <is>
          <t>02.06.01.04.004</t>
        </is>
      </c>
      <c r="J20" s="400" t="inlineStr">
        <is>
          <t>0013</t>
        </is>
      </c>
      <c r="K20" s="434" t="n">
        <v>3292652</v>
      </c>
      <c r="L20" s="398" t="inlineStr">
        <is>
          <t>Baik</t>
        </is>
      </c>
      <c r="M20" s="268" t="n"/>
      <c r="N20" s="268" t="n"/>
      <c r="O20" s="268" t="n"/>
    </row>
    <row r="21" ht="36" customHeight="1" s="79">
      <c r="A21" s="398">
        <f>A20+1</f>
        <v/>
      </c>
      <c r="B21" s="615" t="inlineStr">
        <is>
          <t>Kursi Putar</t>
        </is>
      </c>
      <c r="C21" s="592" t="n"/>
      <c r="D21" s="401" t="inlineStr">
        <is>
          <t>USHUTO / Kursi Kerja 6033</t>
        </is>
      </c>
      <c r="E21" s="268" t="n"/>
      <c r="F21" s="268" t="n"/>
      <c r="G21" s="433" t="inlineStr">
        <is>
          <t>Besi Plastik</t>
        </is>
      </c>
      <c r="H21" s="398" t="n">
        <v>2013</v>
      </c>
      <c r="I21" s="398" t="inlineStr">
        <is>
          <t>02.06.02.01.030</t>
        </is>
      </c>
      <c r="J21" s="400" t="inlineStr">
        <is>
          <t>0025</t>
        </is>
      </c>
      <c r="K21" s="434" t="n">
        <v>486971.68</v>
      </c>
      <c r="L21" s="398" t="inlineStr">
        <is>
          <t>Baik</t>
        </is>
      </c>
      <c r="M21" s="268" t="n"/>
      <c r="N21" s="268" t="n"/>
      <c r="O21" s="401" t="n"/>
    </row>
    <row r="22" ht="36" customHeight="1" s="79">
      <c r="A22" s="398">
        <f>A21+1</f>
        <v/>
      </c>
      <c r="B22" s="615" t="inlineStr">
        <is>
          <t>Kursi Putar</t>
        </is>
      </c>
      <c r="C22" s="592" t="n"/>
      <c r="D22" s="401" t="inlineStr">
        <is>
          <t>USHUTO / Kursi Kerja 6033</t>
        </is>
      </c>
      <c r="E22" s="268" t="n"/>
      <c r="F22" s="268" t="n"/>
      <c r="G22" s="433" t="inlineStr">
        <is>
          <t>Besi Plastik</t>
        </is>
      </c>
      <c r="H22" s="398" t="n">
        <v>2013</v>
      </c>
      <c r="I22" s="398" t="inlineStr">
        <is>
          <t>02.06.02.01.030</t>
        </is>
      </c>
      <c r="J22" s="400" t="inlineStr">
        <is>
          <t>0027</t>
        </is>
      </c>
      <c r="K22" s="434" t="n">
        <v>486971.68</v>
      </c>
      <c r="L22" s="398" t="inlineStr">
        <is>
          <t>Baik</t>
        </is>
      </c>
      <c r="M22" s="268" t="n"/>
      <c r="N22" s="268" t="n"/>
      <c r="O22" s="401" t="n"/>
    </row>
    <row r="23" ht="36" customHeight="1" s="79">
      <c r="A23" s="398">
        <f>A22+1</f>
        <v/>
      </c>
      <c r="B23" s="615" t="inlineStr">
        <is>
          <t>Kursi Putar</t>
        </is>
      </c>
      <c r="C23" s="592" t="n"/>
      <c r="D23" s="401" t="inlineStr">
        <is>
          <t>Indachi / D 920</t>
        </is>
      </c>
      <c r="E23" s="268" t="n"/>
      <c r="F23" s="268" t="n"/>
      <c r="G23" s="433" t="inlineStr">
        <is>
          <t>Besi Plastik</t>
        </is>
      </c>
      <c r="H23" s="398" t="n">
        <v>2014</v>
      </c>
      <c r="I23" s="398" t="inlineStr">
        <is>
          <t>02.06.02.01.030</t>
        </is>
      </c>
      <c r="J23" s="400" t="inlineStr">
        <is>
          <t>0032</t>
        </is>
      </c>
      <c r="K23" s="434" t="n">
        <v>794180</v>
      </c>
      <c r="L23" s="398" t="inlineStr">
        <is>
          <t>Baik</t>
        </is>
      </c>
      <c r="M23" s="268" t="n"/>
      <c r="N23" s="268" t="n"/>
      <c r="O23" s="268" t="n"/>
    </row>
    <row r="24" ht="36" customHeight="1" s="79">
      <c r="A24" s="398">
        <f>A23+1</f>
        <v/>
      </c>
      <c r="B24" s="615" t="inlineStr">
        <is>
          <t>Kursi Putar</t>
        </is>
      </c>
      <c r="C24" s="592" t="n"/>
      <c r="D24" s="401" t="inlineStr">
        <is>
          <t>Indachi / D 920</t>
        </is>
      </c>
      <c r="E24" s="268" t="n"/>
      <c r="F24" s="268" t="n"/>
      <c r="G24" s="433" t="inlineStr">
        <is>
          <t>Besi Plastik</t>
        </is>
      </c>
      <c r="H24" s="398" t="n">
        <v>2014</v>
      </c>
      <c r="I24" s="398" t="inlineStr">
        <is>
          <t>02.06.02.01.030</t>
        </is>
      </c>
      <c r="J24" s="400" t="inlineStr">
        <is>
          <t>0033</t>
        </is>
      </c>
      <c r="K24" s="434" t="n">
        <v>794180</v>
      </c>
      <c r="L24" s="398" t="inlineStr">
        <is>
          <t>Baik</t>
        </is>
      </c>
      <c r="M24" s="268" t="n"/>
      <c r="N24" s="268" t="n"/>
      <c r="O24" s="268" t="n"/>
    </row>
    <row r="25" ht="36" customHeight="1" s="79">
      <c r="A25" s="398">
        <f>A24+1</f>
        <v/>
      </c>
      <c r="B25" s="615" t="inlineStr">
        <is>
          <t>Kursi Putar</t>
        </is>
      </c>
      <c r="C25" s="592" t="n"/>
      <c r="D25" s="401" t="inlineStr">
        <is>
          <t>Indachi / D 920</t>
        </is>
      </c>
      <c r="E25" s="268" t="n"/>
      <c r="F25" s="268" t="n"/>
      <c r="G25" s="433" t="inlineStr">
        <is>
          <t>Besi Plastik</t>
        </is>
      </c>
      <c r="H25" s="398" t="n">
        <v>2014</v>
      </c>
      <c r="I25" s="398" t="inlineStr">
        <is>
          <t>02.06.02.01.030</t>
        </is>
      </c>
      <c r="J25" s="400" t="inlineStr">
        <is>
          <t>0041</t>
        </is>
      </c>
      <c r="K25" s="434" t="n">
        <v>794180</v>
      </c>
      <c r="L25" s="398" t="inlineStr">
        <is>
          <t>Baik</t>
        </is>
      </c>
      <c r="M25" s="268" t="n"/>
      <c r="N25" s="268" t="n"/>
      <c r="O25" s="268" t="n"/>
    </row>
    <row r="26" ht="36" customHeight="1" s="79">
      <c r="A26" s="398">
        <f>A25+1</f>
        <v/>
      </c>
      <c r="B26" s="615" t="inlineStr">
        <is>
          <t>Kursi Rapat</t>
        </is>
      </c>
      <c r="C26" s="592" t="n"/>
      <c r="D26" s="401" t="inlineStr">
        <is>
          <t>Chitose / Warna Biru</t>
        </is>
      </c>
      <c r="E26" s="268" t="n"/>
      <c r="F26" s="268" t="n"/>
      <c r="G26" s="433" t="inlineStr">
        <is>
          <t>Besi</t>
        </is>
      </c>
      <c r="H26" s="398" t="n">
        <v>2009</v>
      </c>
      <c r="I26" s="398" t="inlineStr">
        <is>
          <t>02.06.02.01.027</t>
        </is>
      </c>
      <c r="J26" s="400" t="inlineStr">
        <is>
          <t>0002</t>
        </is>
      </c>
      <c r="K26" s="434" t="n">
        <v>350000</v>
      </c>
      <c r="L26" s="398" t="inlineStr">
        <is>
          <t>Baik</t>
        </is>
      </c>
      <c r="M26" s="268" t="n"/>
      <c r="N26" s="268" t="n"/>
      <c r="O26" s="268" t="n"/>
    </row>
    <row r="27" ht="36" customHeight="1" s="79">
      <c r="A27" s="398">
        <f>A26+1</f>
        <v/>
      </c>
      <c r="B27" s="615" t="inlineStr">
        <is>
          <t>Kursi Rapat</t>
        </is>
      </c>
      <c r="C27" s="592" t="n"/>
      <c r="D27" s="401" t="inlineStr">
        <is>
          <t>Chitose / Warna Biru</t>
        </is>
      </c>
      <c r="E27" s="268" t="n"/>
      <c r="F27" s="268" t="n"/>
      <c r="G27" s="433" t="inlineStr">
        <is>
          <t>Besi</t>
        </is>
      </c>
      <c r="H27" s="398" t="n">
        <v>2009</v>
      </c>
      <c r="I27" s="398" t="inlineStr">
        <is>
          <t>02.06.02.01.027</t>
        </is>
      </c>
      <c r="J27" s="400" t="inlineStr">
        <is>
          <t>0004</t>
        </is>
      </c>
      <c r="K27" s="434" t="n">
        <v>350000</v>
      </c>
      <c r="L27" s="398" t="inlineStr">
        <is>
          <t>Baik</t>
        </is>
      </c>
      <c r="M27" s="268" t="n"/>
      <c r="N27" s="268" t="n"/>
      <c r="O27" s="268" t="n"/>
    </row>
    <row r="28" ht="36" customHeight="1" s="79">
      <c r="A28" s="398">
        <f>A27+1</f>
        <v/>
      </c>
      <c r="B28" s="615" t="inlineStr">
        <is>
          <t>Kursi Rapat</t>
        </is>
      </c>
      <c r="C28" s="592" t="n"/>
      <c r="D28" s="401" t="inlineStr">
        <is>
          <t>Chitose / Warna Biru</t>
        </is>
      </c>
      <c r="E28" s="268" t="n"/>
      <c r="F28" s="268" t="n"/>
      <c r="G28" s="433" t="inlineStr">
        <is>
          <t>Besi</t>
        </is>
      </c>
      <c r="H28" s="398" t="n">
        <v>2009</v>
      </c>
      <c r="I28" s="398" t="inlineStr">
        <is>
          <t>02.06.02.01.027</t>
        </is>
      </c>
      <c r="J28" s="400" t="inlineStr">
        <is>
          <t>0005</t>
        </is>
      </c>
      <c r="K28" s="434" t="n">
        <v>350000</v>
      </c>
      <c r="L28" s="398" t="inlineStr">
        <is>
          <t>Baik</t>
        </is>
      </c>
      <c r="M28" s="268" t="n"/>
      <c r="N28" s="268" t="n"/>
      <c r="O28" s="401" t="n"/>
    </row>
    <row r="29" ht="72" customHeight="1" s="79">
      <c r="A29" s="398">
        <f>A28+1</f>
        <v/>
      </c>
      <c r="B29" s="615" t="inlineStr">
        <is>
          <t>PC Unit</t>
        </is>
      </c>
      <c r="C29" s="592" t="n"/>
      <c r="D29" s="401" t="inlineStr">
        <is>
          <t>Intel - Casing DE Case-LG Pentium ® G 2020 Asrock HG1-LG LED16</t>
        </is>
      </c>
      <c r="E29" s="268" t="n"/>
      <c r="F29" s="268" t="n"/>
      <c r="G29" s="433" t="inlineStr">
        <is>
          <t>Besi Plastik</t>
        </is>
      </c>
      <c r="H29" s="433" t="inlineStr">
        <is>
          <t>2013                       16 Inci</t>
        </is>
      </c>
      <c r="I29" s="398" t="inlineStr">
        <is>
          <t>02.06.03.02.001</t>
        </is>
      </c>
      <c r="J29" s="400" t="inlineStr">
        <is>
          <t>0017</t>
        </is>
      </c>
      <c r="K29" s="434" t="n">
        <v>3922641.51</v>
      </c>
      <c r="L29" s="398" t="inlineStr">
        <is>
          <t>Baik</t>
        </is>
      </c>
      <c r="M29" s="268" t="n"/>
      <c r="N29" s="268" t="n"/>
      <c r="O29" s="268" t="n"/>
    </row>
    <row r="30" ht="36" customHeight="1" s="79" thickBot="1">
      <c r="A30" s="293">
        <f>A29+1</f>
        <v/>
      </c>
      <c r="B30" s="617" t="inlineStr">
        <is>
          <t>PC Unit</t>
        </is>
      </c>
      <c r="C30" s="589" t="n"/>
      <c r="D30" s="294" t="inlineStr">
        <is>
          <t>Lenovo / C260</t>
        </is>
      </c>
      <c r="E30" s="295" t="n"/>
      <c r="F30" s="295" t="n"/>
      <c r="G30" s="296" t="inlineStr">
        <is>
          <t>Besi Plastik</t>
        </is>
      </c>
      <c r="H30" s="296" t="n">
        <v>2015</v>
      </c>
      <c r="I30" s="293" t="inlineStr">
        <is>
          <t>02.06.03.02.001</t>
        </is>
      </c>
      <c r="J30" s="297" t="inlineStr">
        <is>
          <t>0013</t>
        </is>
      </c>
      <c r="K30" s="298" t="n">
        <v>6026316</v>
      </c>
      <c r="L30" s="293" t="inlineStr">
        <is>
          <t>Baik</t>
        </is>
      </c>
      <c r="M30" s="295" t="n"/>
      <c r="N30" s="295" t="n"/>
      <c r="O30" s="295" t="n"/>
    </row>
    <row r="31" ht="18" customHeight="1" s="79">
      <c r="A31" s="301" t="n"/>
      <c r="B31" s="302" t="n"/>
      <c r="C31" s="302" t="n"/>
      <c r="D31" s="303" t="n"/>
      <c r="E31" s="304" t="n"/>
      <c r="F31" s="304" t="n"/>
      <c r="G31" s="305" t="n"/>
      <c r="H31" s="305" t="n"/>
      <c r="I31" s="301" t="n"/>
      <c r="J31" s="306" t="n"/>
      <c r="K31" s="307" t="n"/>
      <c r="L31" s="301" t="n"/>
      <c r="M31" s="304" t="n"/>
      <c r="N31" s="304" t="n"/>
      <c r="O31" s="304" t="n"/>
    </row>
    <row r="32" ht="18" customHeight="1" s="79">
      <c r="A32" s="284" t="n"/>
      <c r="B32" s="285" t="n"/>
      <c r="C32" s="285" t="n"/>
      <c r="D32" s="286" t="n"/>
      <c r="E32" s="287" t="n"/>
      <c r="F32" s="287" t="n"/>
      <c r="G32" s="288" t="n"/>
      <c r="H32" s="288" t="n"/>
      <c r="I32" s="284" t="n"/>
      <c r="J32" s="289" t="n"/>
      <c r="K32" s="290" t="n"/>
      <c r="L32" s="284" t="n"/>
      <c r="M32" s="287" t="n"/>
      <c r="N32" s="287" t="n"/>
      <c r="O32" s="287" t="n"/>
    </row>
    <row r="33" ht="18" customHeight="1" s="79">
      <c r="A33" s="284" t="n"/>
      <c r="B33" s="285" t="n"/>
      <c r="C33" s="285" t="n"/>
      <c r="D33" s="286" t="n"/>
      <c r="E33" s="287" t="n"/>
      <c r="F33" s="287" t="n"/>
      <c r="G33" s="288" t="n"/>
      <c r="H33" s="288" t="n"/>
      <c r="I33" s="284" t="n"/>
      <c r="J33" s="289" t="n"/>
      <c r="K33" s="290" t="n"/>
      <c r="L33" s="284" t="n"/>
      <c r="M33" s="287" t="n"/>
      <c r="N33" s="287" t="n"/>
      <c r="O33" s="287" t="n"/>
    </row>
    <row r="34" ht="18" customHeight="1" s="79">
      <c r="A34" s="284" t="n"/>
      <c r="B34" s="285" t="n"/>
      <c r="C34" s="285" t="n"/>
      <c r="D34" s="286" t="n"/>
      <c r="E34" s="287" t="n"/>
      <c r="F34" s="287" t="n"/>
      <c r="G34" s="288" t="n"/>
      <c r="H34" s="288" t="n"/>
      <c r="I34" s="284" t="n"/>
      <c r="J34" s="289" t="n"/>
      <c r="K34" s="290" t="n"/>
      <c r="L34" s="284" t="n"/>
      <c r="M34" s="287" t="n"/>
      <c r="N34" s="287" t="n"/>
      <c r="O34" s="287" t="n"/>
    </row>
    <row r="35" ht="18" customHeight="1" s="79">
      <c r="A35" s="284" t="n"/>
      <c r="B35" s="285" t="n"/>
      <c r="C35" s="285" t="n"/>
      <c r="D35" s="286" t="n"/>
      <c r="E35" s="287" t="n"/>
      <c r="F35" s="287" t="n"/>
      <c r="G35" s="288" t="n"/>
      <c r="H35" s="288" t="n"/>
      <c r="I35" s="284" t="n"/>
      <c r="J35" s="289" t="n"/>
      <c r="K35" s="290" t="n"/>
      <c r="L35" s="284" t="n"/>
      <c r="M35" s="287" t="n"/>
      <c r="N35" s="287" t="n"/>
      <c r="O35" s="287" t="n"/>
    </row>
    <row r="36" ht="18" customHeight="1" s="79">
      <c r="A36" s="284" t="n"/>
      <c r="B36" s="285" t="n"/>
      <c r="C36" s="285" t="n"/>
      <c r="D36" s="286" t="n"/>
      <c r="E36" s="287" t="n"/>
      <c r="F36" s="287" t="n"/>
      <c r="G36" s="288" t="n"/>
      <c r="H36" s="288" t="n"/>
      <c r="I36" s="284" t="n"/>
      <c r="J36" s="289" t="n"/>
      <c r="K36" s="290" t="n"/>
      <c r="L36" s="284" t="n"/>
      <c r="M36" s="287" t="n"/>
      <c r="N36" s="287" t="n"/>
      <c r="O36" s="287" t="n"/>
    </row>
    <row r="37" ht="18" customHeight="1" s="79" thickBot="1">
      <c r="A37" s="308" t="n"/>
      <c r="B37" s="309" t="n"/>
      <c r="C37" s="309" t="n"/>
      <c r="D37" s="310" t="n"/>
      <c r="E37" s="311" t="n"/>
      <c r="F37" s="311" t="n"/>
      <c r="G37" s="312" t="n"/>
      <c r="H37" s="312" t="n"/>
      <c r="I37" s="308" t="n"/>
      <c r="J37" s="313" t="n"/>
      <c r="K37" s="314" t="n"/>
      <c r="L37" s="308" t="n"/>
      <c r="M37" s="311" t="n"/>
      <c r="N37" s="311" t="n"/>
      <c r="O37" s="311" t="n"/>
    </row>
    <row r="38" ht="18" customHeight="1" s="79">
      <c r="A38" s="504" t="inlineStr">
        <is>
          <t>No.</t>
        </is>
      </c>
      <c r="B38" s="504" t="inlineStr">
        <is>
          <t>Nama Barang</t>
        </is>
      </c>
      <c r="C38" s="593" t="n"/>
      <c r="D38" s="504" t="inlineStr">
        <is>
          <t>Merk/</t>
        </is>
      </c>
      <c r="E38" s="504" t="inlineStr">
        <is>
          <t>No. Seri</t>
        </is>
      </c>
      <c r="F38" s="491" t="inlineStr">
        <is>
          <t>Ukuran</t>
        </is>
      </c>
      <c r="G38" s="491" t="inlineStr">
        <is>
          <t>Bahan</t>
        </is>
      </c>
      <c r="H38" s="504" t="inlineStr">
        <is>
          <t xml:space="preserve">Tahun </t>
        </is>
      </c>
      <c r="I38" s="504" t="n"/>
      <c r="J38" s="504" t="inlineStr">
        <is>
          <t xml:space="preserve">Jumlah </t>
        </is>
      </c>
      <c r="K38" s="504" t="inlineStr">
        <is>
          <t xml:space="preserve">Harga </t>
        </is>
      </c>
      <c r="L38" s="501" t="inlineStr">
        <is>
          <t xml:space="preserve">Keadaan Barang </t>
        </is>
      </c>
      <c r="M38" s="84" t="n"/>
      <c r="N38" s="597" t="n"/>
      <c r="O38" s="504" t="inlineStr">
        <is>
          <t>Keterangan</t>
        </is>
      </c>
    </row>
    <row r="39" ht="18" customHeight="1" s="79">
      <c r="A39" s="491" t="inlineStr">
        <is>
          <t>Urut</t>
        </is>
      </c>
      <c r="B39" s="491" t="inlineStr">
        <is>
          <t>Jenis Barang</t>
        </is>
      </c>
      <c r="C39" s="593" t="n"/>
      <c r="D39" s="491" t="inlineStr">
        <is>
          <t>Model</t>
        </is>
      </c>
      <c r="E39" s="491" t="inlineStr">
        <is>
          <t>Pabrik</t>
        </is>
      </c>
      <c r="F39" s="594" t="n"/>
      <c r="G39" s="594" t="n"/>
      <c r="H39" s="504" t="inlineStr">
        <is>
          <t>Pembuatan</t>
        </is>
      </c>
      <c r="I39" s="504" t="inlineStr">
        <is>
          <t xml:space="preserve">No. Kode Barang </t>
        </is>
      </c>
      <c r="J39" s="504" t="inlineStr">
        <is>
          <t>Barang</t>
        </is>
      </c>
      <c r="K39" s="504" t="inlineStr">
        <is>
          <t>Beli/</t>
        </is>
      </c>
      <c r="L39" s="504" t="inlineStr">
        <is>
          <t>Baik</t>
        </is>
      </c>
      <c r="M39" s="504" t="inlineStr">
        <is>
          <t>Kurang Baik</t>
        </is>
      </c>
      <c r="N39" s="504" t="inlineStr">
        <is>
          <t>Rusak Berat</t>
        </is>
      </c>
      <c r="O39" s="482" t="inlineStr">
        <is>
          <t>Mutasi dll</t>
        </is>
      </c>
    </row>
    <row r="40" ht="18" customHeight="1" s="79">
      <c r="A40" s="595" t="n"/>
      <c r="B40" s="596" t="n"/>
      <c r="C40" s="597" t="n"/>
      <c r="D40" s="595" t="n"/>
      <c r="E40" s="595" t="n"/>
      <c r="F40" s="595" t="n"/>
      <c r="G40" s="595" t="n"/>
      <c r="H40" s="501" t="inlineStr">
        <is>
          <t>Atau Pembelian</t>
        </is>
      </c>
      <c r="I40" s="501" t="n"/>
      <c r="J40" s="501" t="inlineStr">
        <is>
          <t>Register x)</t>
        </is>
      </c>
      <c r="K40" s="501" t="inlineStr">
        <is>
          <t>Perolehan</t>
        </is>
      </c>
      <c r="L40" s="501" t="inlineStr">
        <is>
          <t>(B)</t>
        </is>
      </c>
      <c r="M40" s="501" t="inlineStr">
        <is>
          <t>(KB)</t>
        </is>
      </c>
      <c r="N40" s="501" t="inlineStr">
        <is>
          <t>(RB)</t>
        </is>
      </c>
      <c r="O40" s="595" t="n"/>
    </row>
    <row r="41" ht="18" customHeight="1" s="79">
      <c r="A41" s="263" t="n">
        <v>1</v>
      </c>
      <c r="B41" s="263" t="n">
        <v>2</v>
      </c>
      <c r="C41" s="592" t="n"/>
      <c r="D41" s="481" t="n">
        <v>3</v>
      </c>
      <c r="E41" s="481" t="n">
        <v>4</v>
      </c>
      <c r="F41" s="490" t="n">
        <v>5</v>
      </c>
      <c r="G41" s="490" t="n">
        <v>6</v>
      </c>
      <c r="H41" s="504" t="n">
        <v>7</v>
      </c>
      <c r="I41" s="504" t="n">
        <v>8</v>
      </c>
      <c r="J41" s="504" t="n">
        <v>9</v>
      </c>
      <c r="K41" s="504" t="n">
        <v>10</v>
      </c>
      <c r="L41" s="504" t="n">
        <v>11</v>
      </c>
      <c r="M41" s="504" t="n">
        <v>12</v>
      </c>
      <c r="N41" s="504" t="n">
        <v>13</v>
      </c>
      <c r="O41" s="481" t="n">
        <v>14</v>
      </c>
    </row>
    <row r="42" ht="36" customHeight="1" s="79">
      <c r="A42" s="398">
        <f>A30+1</f>
        <v/>
      </c>
      <c r="B42" s="615" t="inlineStr">
        <is>
          <t>PC Unit</t>
        </is>
      </c>
      <c r="C42" s="592" t="n"/>
      <c r="D42" s="401" t="inlineStr">
        <is>
          <t>Lenovo / 330 -201 GM AIO</t>
        </is>
      </c>
      <c r="E42" s="268" t="n"/>
      <c r="F42" s="268" t="n"/>
      <c r="G42" s="433" t="inlineStr">
        <is>
          <t>Besi Plastik</t>
        </is>
      </c>
      <c r="H42" s="433" t="n">
        <v>2019</v>
      </c>
      <c r="I42" s="398" t="inlineStr">
        <is>
          <t>02.06.03.02.001</t>
        </is>
      </c>
      <c r="J42" s="400" t="inlineStr">
        <is>
          <t>0018</t>
        </is>
      </c>
      <c r="K42" s="434" t="n">
        <v>5327418</v>
      </c>
      <c r="L42" s="398" t="inlineStr">
        <is>
          <t>Baik</t>
        </is>
      </c>
      <c r="M42" s="268" t="n"/>
      <c r="N42" s="268" t="n"/>
      <c r="O42" s="268" t="inlineStr">
        <is>
          <t>Ibu TAty</t>
        </is>
      </c>
    </row>
    <row r="43" ht="36" customHeight="1" s="79">
      <c r="A43" s="398">
        <f>A42+1</f>
        <v/>
      </c>
      <c r="B43" s="615" t="inlineStr">
        <is>
          <t>PC Unit</t>
        </is>
      </c>
      <c r="C43" s="592" t="n"/>
      <c r="D43" s="401" t="inlineStr">
        <is>
          <t>Lenovo / 330 -201 GM AIO</t>
        </is>
      </c>
      <c r="E43" s="268" t="n"/>
      <c r="F43" s="268" t="n"/>
      <c r="G43" s="433" t="inlineStr">
        <is>
          <t>Besi Plastik</t>
        </is>
      </c>
      <c r="H43" s="433" t="n">
        <v>2019</v>
      </c>
      <c r="I43" s="398" t="inlineStr">
        <is>
          <t>02.06.03.02.001</t>
        </is>
      </c>
      <c r="J43" s="400" t="inlineStr">
        <is>
          <t>0019</t>
        </is>
      </c>
      <c r="K43" s="434" t="n">
        <v>5327418</v>
      </c>
      <c r="L43" s="398" t="inlineStr">
        <is>
          <t>Baik</t>
        </is>
      </c>
      <c r="M43" s="268" t="n"/>
      <c r="N43" s="268" t="n"/>
      <c r="O43" s="268" t="inlineStr">
        <is>
          <t>Indra H</t>
        </is>
      </c>
    </row>
    <row r="44" ht="36" customHeight="1" s="79">
      <c r="A44" s="398">
        <f>A43+1</f>
        <v/>
      </c>
      <c r="B44" s="615" t="inlineStr">
        <is>
          <t>PC Unit</t>
        </is>
      </c>
      <c r="C44" s="592" t="n"/>
      <c r="D44" s="401" t="inlineStr">
        <is>
          <t>Lenovo / 330 -201 GM AIO</t>
        </is>
      </c>
      <c r="E44" s="268" t="n"/>
      <c r="F44" s="268" t="n"/>
      <c r="G44" s="433" t="inlineStr">
        <is>
          <t>Besi Plastik</t>
        </is>
      </c>
      <c r="H44" s="433" t="n">
        <v>2019</v>
      </c>
      <c r="I44" s="398" t="inlineStr">
        <is>
          <t>02.06.03.02.001</t>
        </is>
      </c>
      <c r="J44" s="400" t="inlineStr">
        <is>
          <t>0020</t>
        </is>
      </c>
      <c r="K44" s="434" t="n">
        <v>5327418</v>
      </c>
      <c r="L44" s="398" t="inlineStr">
        <is>
          <t>Baik</t>
        </is>
      </c>
      <c r="M44" s="268" t="n"/>
      <c r="N44" s="268" t="n"/>
      <c r="O44" s="268" t="inlineStr">
        <is>
          <t>Rosy</t>
        </is>
      </c>
    </row>
    <row r="45" ht="18" customHeight="1" s="79">
      <c r="A45" s="398">
        <f>A44+1</f>
        <v/>
      </c>
      <c r="B45" s="615" t="inlineStr">
        <is>
          <t>PC Unit</t>
        </is>
      </c>
      <c r="C45" s="592" t="n"/>
      <c r="D45" s="401" t="inlineStr">
        <is>
          <t>LENOVO V130 / -</t>
        </is>
      </c>
      <c r="E45" s="268" t="n"/>
      <c r="F45" s="268" t="n"/>
      <c r="G45" s="268" t="inlineStr">
        <is>
          <t>Campuran</t>
        </is>
      </c>
      <c r="H45" s="433" t="n">
        <v>2020</v>
      </c>
      <c r="I45" s="398" t="inlineStr">
        <is>
          <t>02.06.03.02.001</t>
        </is>
      </c>
      <c r="J45" s="400" t="inlineStr">
        <is>
          <t>0021</t>
        </is>
      </c>
      <c r="K45" s="434" t="n">
        <v>5567960</v>
      </c>
      <c r="L45" s="398" t="inlineStr">
        <is>
          <t>Baik</t>
        </is>
      </c>
      <c r="M45" s="268" t="n"/>
      <c r="N45" s="268" t="n"/>
      <c r="O45" s="268" t="inlineStr">
        <is>
          <t>Indra A</t>
        </is>
      </c>
    </row>
    <row r="46" ht="36" customHeight="1" s="79">
      <c r="A46" s="398">
        <f>A45+1</f>
        <v/>
      </c>
      <c r="B46" s="268" t="inlineStr">
        <is>
          <t xml:space="preserve">Printer </t>
        </is>
      </c>
      <c r="C46" s="592" t="n"/>
      <c r="D46" s="401" t="inlineStr">
        <is>
          <t>EPSON / L 360</t>
        </is>
      </c>
      <c r="E46" s="268" t="n"/>
      <c r="F46" s="268" t="n"/>
      <c r="G46" s="433" t="inlineStr">
        <is>
          <t>Besi Plastik</t>
        </is>
      </c>
      <c r="H46" s="398" t="n">
        <v>2016</v>
      </c>
      <c r="I46" s="398" t="inlineStr">
        <is>
          <t>02.06.03.05.003</t>
        </is>
      </c>
      <c r="J46" s="400" t="inlineStr">
        <is>
          <t>0021</t>
        </is>
      </c>
      <c r="K46" s="291" t="n">
        <v>3142612</v>
      </c>
      <c r="L46" s="398" t="inlineStr">
        <is>
          <t>Baik</t>
        </is>
      </c>
      <c r="M46" s="268" t="n"/>
      <c r="N46" s="268" t="n"/>
      <c r="O46" s="268" t="inlineStr">
        <is>
          <t>Ibu Taty</t>
        </is>
      </c>
    </row>
    <row r="47" ht="36" customHeight="1" s="79">
      <c r="A47" s="398">
        <f>A46+1</f>
        <v/>
      </c>
      <c r="B47" s="615" t="inlineStr">
        <is>
          <t xml:space="preserve">Printer </t>
        </is>
      </c>
      <c r="C47" s="592" t="n"/>
      <c r="D47" s="401" t="inlineStr">
        <is>
          <t>EPSON / L 120</t>
        </is>
      </c>
      <c r="E47" s="268" t="n"/>
      <c r="F47" s="268" t="n"/>
      <c r="G47" s="433" t="inlineStr">
        <is>
          <t>Besi Plastik</t>
        </is>
      </c>
      <c r="H47" s="398" t="n">
        <v>2016</v>
      </c>
      <c r="I47" s="398" t="inlineStr">
        <is>
          <t>02.06.03.05.003</t>
        </is>
      </c>
      <c r="J47" s="400" t="inlineStr">
        <is>
          <t>0024</t>
        </is>
      </c>
      <c r="K47" s="434" t="n">
        <v>2000000</v>
      </c>
      <c r="L47" s="398" t="inlineStr">
        <is>
          <t>Baik</t>
        </is>
      </c>
      <c r="M47" s="268" t="n"/>
      <c r="N47" s="268" t="n"/>
      <c r="O47" s="268" t="inlineStr">
        <is>
          <t>Yanti</t>
        </is>
      </c>
    </row>
    <row r="48" ht="36" customHeight="1" s="79">
      <c r="A48" s="398">
        <f>A47+1</f>
        <v/>
      </c>
      <c r="B48" s="615" t="inlineStr">
        <is>
          <t xml:space="preserve">Printer </t>
        </is>
      </c>
      <c r="C48" s="592" t="n"/>
      <c r="D48" s="401" t="inlineStr">
        <is>
          <t>EPSON / L 120</t>
        </is>
      </c>
      <c r="E48" s="268" t="n"/>
      <c r="F48" s="268" t="n"/>
      <c r="G48" s="433" t="inlineStr">
        <is>
          <t>Besi Plastik</t>
        </is>
      </c>
      <c r="H48" s="398" t="n">
        <v>2016</v>
      </c>
      <c r="I48" s="398" t="inlineStr">
        <is>
          <t>02.06.03.05.003</t>
        </is>
      </c>
      <c r="J48" s="400" t="inlineStr">
        <is>
          <t>0025</t>
        </is>
      </c>
      <c r="K48" s="434" t="n">
        <v>2000000</v>
      </c>
      <c r="L48" s="398" t="inlineStr">
        <is>
          <t>Baik</t>
        </is>
      </c>
      <c r="M48" s="268" t="n"/>
      <c r="N48" s="268" t="n"/>
      <c r="O48" s="268" t="inlineStr">
        <is>
          <t>Roisy</t>
        </is>
      </c>
    </row>
    <row r="49" ht="18" customHeight="1" s="79">
      <c r="A49" s="398">
        <f>A48+1</f>
        <v/>
      </c>
      <c r="B49" s="615" t="inlineStr">
        <is>
          <t xml:space="preserve">Printer </t>
        </is>
      </c>
      <c r="C49" s="592" t="n"/>
      <c r="D49" s="401" t="inlineStr">
        <is>
          <t>EPSON / L 3110</t>
        </is>
      </c>
      <c r="E49" s="268" t="n"/>
      <c r="F49" s="268" t="n"/>
      <c r="G49" s="433" t="inlineStr">
        <is>
          <t>Besi</t>
        </is>
      </c>
      <c r="H49" s="398" t="n">
        <v>2019</v>
      </c>
      <c r="I49" s="398" t="inlineStr">
        <is>
          <t>02.06.03.05.003</t>
        </is>
      </c>
      <c r="J49" s="400" t="inlineStr">
        <is>
          <t>0030</t>
        </is>
      </c>
      <c r="K49" s="434" t="n">
        <v>2512933</v>
      </c>
      <c r="L49" s="398" t="inlineStr">
        <is>
          <t>Baik</t>
        </is>
      </c>
      <c r="M49" s="268" t="n"/>
      <c r="N49" s="268" t="n"/>
      <c r="O49" s="268" t="inlineStr">
        <is>
          <t>Indra A</t>
        </is>
      </c>
    </row>
    <row r="50" ht="90" customHeight="1" s="79">
      <c r="A50" s="398">
        <f>A49+1</f>
        <v/>
      </c>
      <c r="B50" s="615" t="inlineStr">
        <is>
          <t xml:space="preserve">Printer </t>
        </is>
      </c>
      <c r="C50" s="592" t="n"/>
      <c r="D50" s="401" t="inlineStr">
        <is>
          <t xml:space="preserve">BROTHER / INKJET MULTIFUNCTION MFC-T4500DW </t>
        </is>
      </c>
      <c r="E50" s="268" t="n"/>
      <c r="F50" s="268" t="n"/>
      <c r="G50" s="433" t="n"/>
      <c r="H50" s="398" t="n">
        <v>2019</v>
      </c>
      <c r="I50" s="398" t="inlineStr">
        <is>
          <t>02.06.03.05.003</t>
        </is>
      </c>
      <c r="J50" s="400" t="inlineStr">
        <is>
          <t>0031</t>
        </is>
      </c>
      <c r="K50" s="434" t="n">
        <v>11056905</v>
      </c>
      <c r="L50" s="398" t="inlineStr">
        <is>
          <t>Baik</t>
        </is>
      </c>
      <c r="M50" s="268" t="n"/>
      <c r="N50" s="268" t="n"/>
      <c r="O50" s="401" t="inlineStr">
        <is>
          <t>Operasional</t>
        </is>
      </c>
    </row>
    <row r="51" ht="18" customHeight="1" s="79">
      <c r="A51" s="398">
        <f>A50+1</f>
        <v/>
      </c>
      <c r="B51" s="615" t="inlineStr">
        <is>
          <t xml:space="preserve">Printer </t>
        </is>
      </c>
      <c r="C51" s="592" t="n"/>
      <c r="D51" s="401" t="inlineStr">
        <is>
          <t>EPSON / L 3110</t>
        </is>
      </c>
      <c r="E51" s="268" t="n"/>
      <c r="F51" s="268" t="n"/>
      <c r="G51" s="433" t="inlineStr">
        <is>
          <t>Besi</t>
        </is>
      </c>
      <c r="H51" s="398" t="n">
        <v>2019</v>
      </c>
      <c r="I51" s="398" t="inlineStr">
        <is>
          <t>02.06.03.05.003</t>
        </is>
      </c>
      <c r="J51" s="400" t="inlineStr">
        <is>
          <t>0032</t>
        </is>
      </c>
      <c r="K51" s="434" t="n">
        <v>2512933</v>
      </c>
      <c r="L51" s="398" t="inlineStr">
        <is>
          <t>Baik</t>
        </is>
      </c>
      <c r="M51" s="268" t="n"/>
      <c r="N51" s="268" t="n"/>
      <c r="O51" s="401" t="inlineStr">
        <is>
          <t xml:space="preserve">Indra H </t>
        </is>
      </c>
    </row>
    <row r="52" ht="36" customHeight="1" s="79">
      <c r="A52" s="398">
        <f>A51+1</f>
        <v/>
      </c>
      <c r="B52" s="615" t="inlineStr">
        <is>
          <t>Printer</t>
        </is>
      </c>
      <c r="C52" s="592" t="n"/>
      <c r="D52" s="401" t="inlineStr">
        <is>
          <t>Epson ECO Tank L3110N /-</t>
        </is>
      </c>
      <c r="E52" s="268" t="n"/>
      <c r="F52" s="268" t="n"/>
      <c r="G52" s="398" t="n"/>
      <c r="H52" s="398" t="n">
        <v>2020</v>
      </c>
      <c r="I52" s="398" t="inlineStr">
        <is>
          <t>02.06.03.05.003</t>
        </is>
      </c>
      <c r="J52" s="400" t="inlineStr">
        <is>
          <t>0035</t>
        </is>
      </c>
      <c r="K52" s="292">
        <f>5516570/2</f>
        <v/>
      </c>
      <c r="L52" s="398" t="inlineStr">
        <is>
          <t>Baik</t>
        </is>
      </c>
      <c r="M52" s="268" t="n"/>
      <c r="N52" s="268" t="n"/>
      <c r="O52" s="268" t="inlineStr">
        <is>
          <t>Siska</t>
        </is>
      </c>
    </row>
    <row r="53" ht="18" customHeight="1" s="79">
      <c r="A53" s="398">
        <f>A52+1</f>
        <v/>
      </c>
      <c r="B53" s="615" t="inlineStr">
        <is>
          <t>Meja Kerja Pejabat Lain-lain</t>
        </is>
      </c>
      <c r="C53" s="592" t="n"/>
      <c r="D53" s="401" t="inlineStr">
        <is>
          <t xml:space="preserve">EXPO / MT301 </t>
        </is>
      </c>
      <c r="E53" s="268" t="n"/>
      <c r="F53" s="268" t="n"/>
      <c r="G53" s="433" t="n"/>
      <c r="H53" s="398" t="n">
        <v>2020</v>
      </c>
      <c r="I53" s="398" t="inlineStr">
        <is>
          <t>02.06.04.01.009</t>
        </is>
      </c>
      <c r="J53" s="400" t="inlineStr">
        <is>
          <t xml:space="preserve">0001 </t>
        </is>
      </c>
      <c r="K53" s="434" t="n">
        <v>7053750</v>
      </c>
      <c r="L53" s="398" t="inlineStr">
        <is>
          <t>Baik</t>
        </is>
      </c>
      <c r="M53" s="268" t="n"/>
      <c r="N53" s="268" t="n"/>
      <c r="O53" s="268" t="inlineStr">
        <is>
          <t>Indra A</t>
        </is>
      </c>
    </row>
    <row r="54" ht="18" customHeight="1" s="79">
      <c r="A54" s="398">
        <f>A53+1</f>
        <v/>
      </c>
      <c r="B54" s="615" t="inlineStr">
        <is>
          <t>Meja Kerja Pejabat Lain-lain</t>
        </is>
      </c>
      <c r="C54" s="592" t="n"/>
      <c r="D54" s="401" t="inlineStr">
        <is>
          <t xml:space="preserve">EXPO / MT301 </t>
        </is>
      </c>
      <c r="E54" s="268" t="n"/>
      <c r="F54" s="268" t="n"/>
      <c r="G54" s="433" t="n"/>
      <c r="H54" s="398" t="n">
        <v>2020</v>
      </c>
      <c r="I54" s="398" t="inlineStr">
        <is>
          <t>02.06.04.01.009</t>
        </is>
      </c>
      <c r="J54" s="400" t="inlineStr">
        <is>
          <t>0002</t>
        </is>
      </c>
      <c r="K54" s="434" t="n">
        <v>7053750</v>
      </c>
      <c r="L54" s="398" t="inlineStr">
        <is>
          <t>Baik</t>
        </is>
      </c>
      <c r="M54" s="268" t="n"/>
      <c r="N54" s="268" t="n"/>
      <c r="O54" s="401" t="inlineStr">
        <is>
          <t>Ex Atan</t>
        </is>
      </c>
    </row>
    <row r="55" ht="18" customHeight="1" s="79">
      <c r="A55" s="398">
        <f>A54+1</f>
        <v/>
      </c>
      <c r="B55" s="615" t="inlineStr">
        <is>
          <t>Meja Kerja Pejabat Lain-lain</t>
        </is>
      </c>
      <c r="C55" s="592" t="n"/>
      <c r="D55" s="401" t="inlineStr">
        <is>
          <t xml:space="preserve">EXPO / MT301 </t>
        </is>
      </c>
      <c r="E55" s="268" t="n"/>
      <c r="F55" s="268" t="n"/>
      <c r="G55" s="433" t="n"/>
      <c r="H55" s="398" t="n">
        <v>2020</v>
      </c>
      <c r="I55" s="398" t="inlineStr">
        <is>
          <t>02.06.04.01.009</t>
        </is>
      </c>
      <c r="J55" s="400" t="inlineStr">
        <is>
          <t>0003</t>
        </is>
      </c>
      <c r="K55" s="434" t="n">
        <v>7053750</v>
      </c>
      <c r="L55" s="398" t="inlineStr">
        <is>
          <t>Baik</t>
        </is>
      </c>
      <c r="M55" s="268" t="n"/>
      <c r="N55" s="268" t="n"/>
      <c r="O55" s="268" t="inlineStr">
        <is>
          <t>Yanti</t>
        </is>
      </c>
    </row>
    <row r="56" ht="18" customHeight="1" s="79">
      <c r="A56" s="398">
        <f>A55+1</f>
        <v/>
      </c>
      <c r="B56" s="615" t="inlineStr">
        <is>
          <t>Meja Kerja Pejabat Lain-lain</t>
        </is>
      </c>
      <c r="C56" s="592" t="n"/>
      <c r="D56" s="401" t="inlineStr">
        <is>
          <t xml:space="preserve">EXPO / MT301 </t>
        </is>
      </c>
      <c r="E56" s="268" t="n"/>
      <c r="F56" s="268" t="n"/>
      <c r="G56" s="433" t="n"/>
      <c r="H56" s="398" t="n">
        <v>2020</v>
      </c>
      <c r="I56" s="398" t="inlineStr">
        <is>
          <t>02.06.04.01.009</t>
        </is>
      </c>
      <c r="J56" s="400" t="inlineStr">
        <is>
          <t>0004</t>
        </is>
      </c>
      <c r="K56" s="434" t="n">
        <v>7053750</v>
      </c>
      <c r="L56" s="398" t="inlineStr">
        <is>
          <t>Baik</t>
        </is>
      </c>
      <c r="M56" s="268" t="n"/>
      <c r="N56" s="268" t="n"/>
      <c r="O56" s="268" t="inlineStr">
        <is>
          <t>Siska</t>
        </is>
      </c>
    </row>
    <row r="57" ht="18" customHeight="1" s="79">
      <c r="A57" s="398">
        <f>A56+1</f>
        <v/>
      </c>
      <c r="B57" s="615" t="inlineStr">
        <is>
          <t>Meja Kerja Pejabat Lain-lain</t>
        </is>
      </c>
      <c r="C57" s="592" t="n"/>
      <c r="D57" s="401" t="inlineStr">
        <is>
          <t xml:space="preserve">EXPO / MT301 </t>
        </is>
      </c>
      <c r="E57" s="268" t="n"/>
      <c r="F57" s="268" t="n"/>
      <c r="G57" s="433" t="n"/>
      <c r="H57" s="398" t="n">
        <v>2020</v>
      </c>
      <c r="I57" s="398" t="inlineStr">
        <is>
          <t>02.06.04.01.009</t>
        </is>
      </c>
      <c r="J57" s="400" t="inlineStr">
        <is>
          <t>0005</t>
        </is>
      </c>
      <c r="K57" s="434" t="n">
        <v>7053750</v>
      </c>
      <c r="L57" s="398" t="inlineStr">
        <is>
          <t>Baik</t>
        </is>
      </c>
      <c r="M57" s="268" t="n"/>
      <c r="N57" s="268" t="n"/>
      <c r="O57" s="268" t="inlineStr">
        <is>
          <t>Ibu Tay</t>
        </is>
      </c>
    </row>
    <row r="58" ht="18" customHeight="1" s="79">
      <c r="A58" s="398">
        <f>A57+1</f>
        <v/>
      </c>
      <c r="B58" s="615" t="inlineStr">
        <is>
          <t>Meja Kerja Pejabat Lain-lain</t>
        </is>
      </c>
      <c r="C58" s="592" t="n"/>
      <c r="D58" s="401" t="inlineStr">
        <is>
          <t xml:space="preserve">EXPO / MT301 </t>
        </is>
      </c>
      <c r="E58" s="268" t="n"/>
      <c r="F58" s="268" t="n"/>
      <c r="G58" s="433" t="n"/>
      <c r="H58" s="398" t="n">
        <v>2020</v>
      </c>
      <c r="I58" s="398" t="inlineStr">
        <is>
          <t>02.06.04.01.009</t>
        </is>
      </c>
      <c r="J58" s="400" t="inlineStr">
        <is>
          <t>0006</t>
        </is>
      </c>
      <c r="K58" s="434" t="n">
        <v>7053750</v>
      </c>
      <c r="L58" s="398" t="inlineStr">
        <is>
          <t>Baik</t>
        </is>
      </c>
      <c r="M58" s="268" t="n"/>
      <c r="N58" s="268" t="n"/>
      <c r="O58" s="268" t="inlineStr">
        <is>
          <t>Rosy</t>
        </is>
      </c>
    </row>
    <row r="59" ht="18" customHeight="1" s="79">
      <c r="A59" s="398">
        <f>A58+1</f>
        <v/>
      </c>
      <c r="B59" s="615" t="inlineStr">
        <is>
          <t>Meja Kerja Pejabat Lain-lain</t>
        </is>
      </c>
      <c r="C59" s="592" t="n"/>
      <c r="D59" s="401" t="inlineStr">
        <is>
          <t xml:space="preserve">EXPO / MT301 </t>
        </is>
      </c>
      <c r="E59" s="268" t="n"/>
      <c r="F59" s="268" t="n"/>
      <c r="G59" s="433" t="n"/>
      <c r="H59" s="398" t="n">
        <v>2020</v>
      </c>
      <c r="I59" s="398" t="inlineStr">
        <is>
          <t>02.06.04.01.009</t>
        </is>
      </c>
      <c r="J59" s="400" t="inlineStr">
        <is>
          <t>0007</t>
        </is>
      </c>
      <c r="K59" s="434" t="n">
        <v>7053750</v>
      </c>
      <c r="L59" s="398" t="inlineStr">
        <is>
          <t>Baik</t>
        </is>
      </c>
      <c r="M59" s="268" t="n"/>
      <c r="N59" s="268" t="n"/>
      <c r="O59" s="268" t="inlineStr">
        <is>
          <t>Indra H</t>
        </is>
      </c>
    </row>
    <row r="60" ht="18" customHeight="1" s="79">
      <c r="A60" s="398" t="n">
        <v>37</v>
      </c>
      <c r="B60" s="615" t="inlineStr">
        <is>
          <t>Meja Kerja Pejabat Lain-lain</t>
        </is>
      </c>
      <c r="C60" s="592" t="n"/>
      <c r="D60" s="401" t="inlineStr">
        <is>
          <t xml:space="preserve">EXPO / MT301 </t>
        </is>
      </c>
      <c r="E60" s="268" t="n"/>
      <c r="F60" s="268" t="n"/>
      <c r="G60" s="433" t="n"/>
      <c r="H60" s="398" t="n">
        <v>2020</v>
      </c>
      <c r="I60" s="398" t="inlineStr">
        <is>
          <t>02.06.04.01.009</t>
        </is>
      </c>
      <c r="J60" s="400" t="inlineStr">
        <is>
          <t>0008</t>
        </is>
      </c>
      <c r="K60" s="434" t="n">
        <v>7053750</v>
      </c>
      <c r="L60" s="398" t="inlineStr">
        <is>
          <t>Baik</t>
        </is>
      </c>
      <c r="M60" s="268" t="n"/>
      <c r="N60" s="268" t="n"/>
      <c r="O60" s="401" t="inlineStr">
        <is>
          <t>Samping Bu Tay</t>
        </is>
      </c>
    </row>
    <row r="61" ht="36" customHeight="1" s="79">
      <c r="A61" s="398" t="n">
        <v>38</v>
      </c>
      <c r="B61" s="615" t="inlineStr">
        <is>
          <t>Meja Komputer</t>
        </is>
      </c>
      <c r="C61" s="592" t="n"/>
      <c r="D61" s="401" t="inlineStr">
        <is>
          <t>Olympic/ -</t>
        </is>
      </c>
      <c r="E61" s="268" t="n"/>
      <c r="F61" s="268" t="n"/>
      <c r="G61" s="433" t="inlineStr">
        <is>
          <t>Serbuk Kayu</t>
        </is>
      </c>
      <c r="H61" s="398" t="n">
        <v>2006</v>
      </c>
      <c r="I61" s="398" t="inlineStr">
        <is>
          <t>02.06.02.01.037</t>
        </is>
      </c>
      <c r="J61" s="400" t="inlineStr">
        <is>
          <t>0003</t>
        </is>
      </c>
      <c r="K61" s="434" t="n">
        <v>154000</v>
      </c>
      <c r="L61" s="398" t="inlineStr">
        <is>
          <t>Baik</t>
        </is>
      </c>
      <c r="M61" s="268" t="n"/>
      <c r="N61" s="268" t="n"/>
      <c r="O61" s="401" t="inlineStr">
        <is>
          <t>Rosy</t>
        </is>
      </c>
    </row>
    <row r="62" ht="18" customHeight="1" s="79">
      <c r="A62" s="214" t="n"/>
      <c r="B62" s="214" t="n"/>
      <c r="C62" s="214" t="n"/>
      <c r="D62" s="214" t="n"/>
      <c r="E62" s="214" t="n"/>
      <c r="F62" s="214" t="n"/>
      <c r="G62" s="214" t="n"/>
      <c r="H62" s="214" t="n"/>
      <c r="I62" s="214" t="n"/>
      <c r="J62" s="214" t="n"/>
      <c r="K62" s="214" t="n"/>
      <c r="L62" s="214" t="n"/>
      <c r="M62" s="214" t="n"/>
      <c r="N62" s="214" t="n"/>
      <c r="O62" s="214" t="n"/>
    </row>
    <row r="63" ht="18.75" customHeight="1" s="79">
      <c r="A63" s="214" t="n"/>
      <c r="B63" s="214" t="n"/>
      <c r="C63" s="522" t="inlineStr">
        <is>
          <t>Mengetahui :</t>
        </is>
      </c>
      <c r="D63" s="214" t="n"/>
      <c r="E63" s="214" t="n"/>
      <c r="F63" s="214" t="n"/>
      <c r="G63" s="214" t="n"/>
      <c r="H63" s="214" t="n"/>
      <c r="I63" s="214" t="n"/>
      <c r="J63" s="214" t="n"/>
      <c r="K63" s="214" t="n"/>
      <c r="L63" s="258" t="inlineStr">
        <is>
          <t>Banjarmasin,     Desember 2025</t>
        </is>
      </c>
      <c r="M63" s="214" t="n"/>
      <c r="N63" s="214" t="n"/>
      <c r="O63" s="214" t="n"/>
    </row>
    <row r="64" ht="18" customHeight="1" s="79">
      <c r="A64" s="214" t="n"/>
      <c r="B64" s="214" t="n"/>
      <c r="C64" s="522" t="n"/>
      <c r="D64" s="214" t="n"/>
      <c r="E64" s="214" t="n"/>
      <c r="F64" s="214" t="n"/>
      <c r="G64" s="214" t="n"/>
      <c r="H64" s="214" t="n"/>
      <c r="I64" s="214" t="n"/>
      <c r="J64" s="214" t="n"/>
      <c r="K64" s="214" t="n"/>
      <c r="L64" s="5" t="n"/>
      <c r="M64" s="214" t="n"/>
      <c r="N64" s="214" t="n"/>
      <c r="O64" s="214" t="n"/>
    </row>
    <row r="65" ht="18" customHeight="1" s="79">
      <c r="A65" s="214" t="n"/>
      <c r="B65" s="214" t="n"/>
      <c r="C65" s="5" t="inlineStr">
        <is>
          <t>Kepala Bakesbangpol Kota Banjarmasin,</t>
        </is>
      </c>
      <c r="D65" s="214" t="n"/>
      <c r="E65" s="214" t="n"/>
      <c r="F65" s="214" t="n"/>
      <c r="G65" s="214" t="n"/>
      <c r="H65" s="214" t="n"/>
      <c r="I65" s="214" t="n"/>
      <c r="J65" s="214" t="n"/>
      <c r="K65" s="214" t="n"/>
      <c r="L65" s="5" t="inlineStr">
        <is>
          <t>Pengurus Barang,</t>
        </is>
      </c>
      <c r="M65" s="214" t="n"/>
      <c r="N65" s="214" t="n"/>
      <c r="O65" s="214" t="n"/>
    </row>
    <row r="66" ht="18" customHeight="1" s="79">
      <c r="A66" s="214" t="n"/>
      <c r="B66" s="214" t="n"/>
      <c r="C66" s="5" t="n"/>
      <c r="D66" s="214" t="n"/>
      <c r="E66" s="214" t="n"/>
      <c r="F66" s="214" t="n"/>
      <c r="G66" s="214" t="n"/>
      <c r="H66" s="214" t="n"/>
      <c r="I66" s="214" t="n"/>
      <c r="J66" s="214" t="n"/>
      <c r="K66" s="214" t="n"/>
      <c r="L66" s="5" t="n"/>
      <c r="M66" s="214" t="n"/>
      <c r="N66" s="214" t="n"/>
      <c r="O66" s="214" t="n"/>
    </row>
    <row r="67" ht="18" customHeight="1" s="79">
      <c r="A67" s="214" t="n"/>
      <c r="B67" s="214" t="n"/>
      <c r="C67" s="5" t="n"/>
      <c r="D67" s="214" t="n"/>
      <c r="E67" s="214" t="n"/>
      <c r="F67" s="214" t="n"/>
      <c r="G67" s="214" t="n"/>
      <c r="H67" s="214" t="n"/>
      <c r="I67" s="214" t="n"/>
      <c r="J67" s="214" t="n"/>
      <c r="K67" s="214" t="n"/>
      <c r="L67" s="5" t="n"/>
      <c r="M67" s="214" t="n"/>
      <c r="N67" s="214" t="n"/>
      <c r="O67" s="214" t="n"/>
    </row>
    <row r="68" ht="18" customHeight="1" s="79">
      <c r="A68" s="214" t="n"/>
      <c r="B68" s="214" t="n"/>
      <c r="C68" s="5" t="n"/>
      <c r="D68" s="214" t="n"/>
      <c r="E68" s="214" t="n"/>
      <c r="F68" s="214" t="n"/>
      <c r="G68" s="214" t="n"/>
      <c r="H68" s="214" t="n"/>
      <c r="I68" s="214" t="n"/>
      <c r="J68" s="214" t="n"/>
      <c r="K68" s="214" t="n"/>
      <c r="L68" s="5" t="n"/>
      <c r="M68" s="214" t="n"/>
      <c r="N68" s="214" t="n"/>
      <c r="O68" s="214" t="n"/>
    </row>
    <row r="69" ht="18" customHeight="1" s="79">
      <c r="A69" s="214" t="n"/>
      <c r="B69" s="214" t="n"/>
      <c r="C69" s="6" t="inlineStr">
        <is>
          <t>Dr. H. LUKMAN FADLUN, SH, MH</t>
        </is>
      </c>
      <c r="D69" s="214" t="n"/>
      <c r="E69" s="214" t="n"/>
      <c r="F69" s="214" t="n"/>
      <c r="G69" s="214" t="n"/>
      <c r="H69" s="214" t="n"/>
      <c r="I69" s="214" t="n"/>
      <c r="J69" s="214" t="n"/>
      <c r="K69" s="214" t="n"/>
      <c r="L69" s="6" t="inlineStr">
        <is>
          <t>TRISNAWATI M ULYO HAPSARI, SE</t>
        </is>
      </c>
      <c r="M69" s="214" t="n"/>
      <c r="N69" s="214" t="n"/>
      <c r="O69" s="214" t="n"/>
    </row>
    <row r="70" ht="18" customHeight="1" s="79">
      <c r="A70" s="214" t="n"/>
      <c r="B70" s="214" t="n"/>
      <c r="C70" s="5" t="inlineStr">
        <is>
          <t>Pembina Utama Muda</t>
        </is>
      </c>
      <c r="D70" s="214" t="n"/>
      <c r="E70" s="214" t="n"/>
      <c r="F70" s="214" t="n"/>
      <c r="G70" s="214" t="n"/>
      <c r="H70" s="214" t="n"/>
      <c r="I70" s="214" t="n"/>
      <c r="J70" s="214" t="n"/>
      <c r="K70" s="214" t="n"/>
      <c r="L70" s="23">
        <f>'RUANG KABAN'!M30</f>
        <v/>
      </c>
      <c r="M70" s="214" t="n"/>
      <c r="N70" s="214" t="n"/>
      <c r="O70" s="214" t="n"/>
    </row>
    <row r="71" ht="18" customHeight="1" s="79">
      <c r="A71" s="214" t="n"/>
      <c r="B71" s="214" t="n"/>
      <c r="C71" s="23" t="inlineStr">
        <is>
          <t>NIP. 19691013 200003 1 004</t>
        </is>
      </c>
      <c r="D71" s="214" t="n"/>
      <c r="E71" s="214" t="n"/>
      <c r="F71" s="214" t="n"/>
      <c r="G71" s="214" t="n"/>
      <c r="H71" s="214" t="n"/>
      <c r="I71" s="214" t="n"/>
      <c r="J71" s="214" t="n"/>
      <c r="K71" s="214" t="n"/>
      <c r="L71" s="214" t="n"/>
      <c r="M71" s="214" t="n"/>
      <c r="N71" s="214" t="n"/>
      <c r="O71" s="214" t="n"/>
    </row>
    <row r="72">
      <c r="K72" s="24" t="n"/>
    </row>
    <row r="73">
      <c r="B73" s="21" t="n"/>
      <c r="K73" s="25" t="n"/>
    </row>
    <row r="74">
      <c r="B74" s="22" t="n"/>
    </row>
    <row r="75">
      <c r="B75" s="22" t="n"/>
    </row>
  </sheetData>
  <mergeCells count="62">
    <mergeCell ref="B47:C47"/>
    <mergeCell ref="B16:C16"/>
    <mergeCell ref="B54:C54"/>
    <mergeCell ref="E39:E40"/>
    <mergeCell ref="B25:C25"/>
    <mergeCell ref="B59:C59"/>
    <mergeCell ref="F38:F40"/>
    <mergeCell ref="B46:C46"/>
    <mergeCell ref="B10:C11"/>
    <mergeCell ref="B22:C22"/>
    <mergeCell ref="B27:C27"/>
    <mergeCell ref="B56:C56"/>
    <mergeCell ref="E10:E11"/>
    <mergeCell ref="B18:C18"/>
    <mergeCell ref="A6:B6"/>
    <mergeCell ref="B43:C43"/>
    <mergeCell ref="B12:C12"/>
    <mergeCell ref="B58:C58"/>
    <mergeCell ref="B52:C52"/>
    <mergeCell ref="B21:C21"/>
    <mergeCell ref="B48:C48"/>
    <mergeCell ref="F9:F11"/>
    <mergeCell ref="G9:G11"/>
    <mergeCell ref="L38:N38"/>
    <mergeCell ref="B42:C42"/>
    <mergeCell ref="B61:C61"/>
    <mergeCell ref="B23:C23"/>
    <mergeCell ref="L9:N9"/>
    <mergeCell ref="B60:C60"/>
    <mergeCell ref="B14:C14"/>
    <mergeCell ref="B17:C17"/>
    <mergeCell ref="B57:C57"/>
    <mergeCell ref="A3:B3"/>
    <mergeCell ref="B53:C53"/>
    <mergeCell ref="B13:C13"/>
    <mergeCell ref="B44:C44"/>
    <mergeCell ref="B38:C38"/>
    <mergeCell ref="B29:C29"/>
    <mergeCell ref="B19:C19"/>
    <mergeCell ref="B28:C28"/>
    <mergeCell ref="A5:B5"/>
    <mergeCell ref="G38:G40"/>
    <mergeCell ref="B9:C9"/>
    <mergeCell ref="A10:A11"/>
    <mergeCell ref="B49:C49"/>
    <mergeCell ref="A4:B4"/>
    <mergeCell ref="B55:C55"/>
    <mergeCell ref="D39:D40"/>
    <mergeCell ref="B24:C24"/>
    <mergeCell ref="O10:O11"/>
    <mergeCell ref="D10:D11"/>
    <mergeCell ref="B15:C15"/>
    <mergeCell ref="B30:C30"/>
    <mergeCell ref="B51:C51"/>
    <mergeCell ref="B20:C20"/>
    <mergeCell ref="A39:A40"/>
    <mergeCell ref="B45:C45"/>
    <mergeCell ref="O39:O40"/>
    <mergeCell ref="B50:C50"/>
    <mergeCell ref="B26:C26"/>
    <mergeCell ref="B41:C41"/>
    <mergeCell ref="B39:C4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360"/>
  <headerFooter alignWithMargins="0">
    <oddHeader/>
    <oddFooter>&amp;L&amp;9 &amp;F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O35"/>
  <sheetViews>
    <sheetView view="pageBreakPreview" zoomScaleNormal="55" workbookViewId="0">
      <selection activeCell="O20" sqref="O20"/>
    </sheetView>
  </sheetViews>
  <sheetFormatPr baseColWidth="8" defaultRowHeight="15.75"/>
  <cols>
    <col width="6" customWidth="1" style="79" min="1" max="1"/>
    <col width="9" customWidth="1" style="79" min="2" max="2"/>
    <col width="17.75" customWidth="1" style="79" min="3" max="3"/>
    <col width="14.75" customWidth="1" style="79" min="4" max="4"/>
    <col width="11.25" customWidth="1" style="79" min="5" max="5"/>
    <col width="11.5" customWidth="1" style="79" min="6" max="6"/>
    <col width="14.875" customWidth="1" style="79" min="7" max="7"/>
    <col width="18.875" customWidth="1" style="79" min="8" max="8"/>
    <col width="20.375" customWidth="1" style="79" min="9" max="9"/>
    <col width="13.5" customWidth="1" style="79" min="10" max="10"/>
    <col width="17" customWidth="1" style="79" min="11" max="11"/>
    <col width="15.25" customWidth="1" style="79" min="13" max="13"/>
    <col width="14.5" customWidth="1" style="79" min="14" max="14"/>
    <col width="1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79" t="n"/>
      <c r="L1" s="279" t="n"/>
      <c r="M1" s="279" t="n"/>
      <c r="N1" s="279" t="inlineStr">
        <is>
          <t>MODEL INV. 6</t>
        </is>
      </c>
      <c r="O1" s="279" t="n"/>
    </row>
    <row r="2" ht="20.25" customHeight="1" s="79">
      <c r="A2" s="279" t="n"/>
      <c r="B2" s="279" t="n"/>
      <c r="C2" s="279" t="n"/>
      <c r="D2" s="279" t="n"/>
      <c r="E2" s="279" t="n"/>
      <c r="F2" s="279" t="n"/>
      <c r="G2" s="280" t="n"/>
      <c r="H2" s="279" t="n"/>
      <c r="I2" s="279" t="n"/>
      <c r="J2" s="279" t="n"/>
      <c r="K2" s="279" t="n"/>
      <c r="L2" s="279" t="n"/>
      <c r="M2" s="279" t="n"/>
      <c r="N2" s="279" t="n"/>
      <c r="O2" s="279" t="n"/>
    </row>
    <row r="3" ht="20.25" customHeight="1" s="79">
      <c r="A3" s="499" t="inlineStr">
        <is>
          <t>Kab/Kota</t>
        </is>
      </c>
      <c r="C3" s="280" t="inlineStr">
        <is>
          <t>Kota Banjarmasin</t>
        </is>
      </c>
      <c r="D3" s="279" t="n"/>
      <c r="E3" s="279" t="n"/>
      <c r="F3" s="279" t="n"/>
      <c r="G3" s="280" t="n"/>
      <c r="H3" s="279" t="n"/>
      <c r="I3" s="279" t="n"/>
      <c r="J3" s="279" t="n"/>
      <c r="K3" s="279" t="n"/>
      <c r="L3" s="279" t="n"/>
      <c r="M3" s="279" t="n"/>
      <c r="N3" s="279" t="n"/>
      <c r="O3" s="279" t="n"/>
    </row>
    <row r="4" ht="20.25" customHeight="1" s="79">
      <c r="A4" s="499" t="inlineStr">
        <is>
          <t>Propinsi</t>
        </is>
      </c>
      <c r="C4" s="280" t="inlineStr">
        <is>
          <t>Kalimantan Selatan</t>
        </is>
      </c>
      <c r="D4" s="279" t="n"/>
      <c r="E4" s="279" t="n"/>
      <c r="F4" s="279" t="n"/>
      <c r="G4" s="280" t="n"/>
      <c r="H4" s="279" t="n"/>
      <c r="I4" s="279" t="n"/>
      <c r="J4" s="279" t="n"/>
      <c r="K4" s="279" t="n"/>
      <c r="L4" s="279" t="n"/>
      <c r="M4" s="279" t="n"/>
      <c r="N4" s="279" t="n"/>
      <c r="O4" s="279" t="n"/>
    </row>
    <row r="5" ht="20.25" customHeight="1" s="79">
      <c r="A5" s="499" t="inlineStr">
        <is>
          <t>Satuan Kerja</t>
        </is>
      </c>
      <c r="C5" s="280" t="inlineStr">
        <is>
          <t>Badan Kesatuan Bangsa dan Politik Kota Banjarmasin</t>
        </is>
      </c>
      <c r="D5" s="279" t="n"/>
      <c r="E5" s="279" t="n"/>
      <c r="F5" s="279" t="n"/>
      <c r="G5" s="280" t="n"/>
      <c r="H5" s="279" t="n"/>
      <c r="I5" s="279" t="n"/>
      <c r="J5" s="279" t="n"/>
      <c r="K5" s="279" t="n"/>
      <c r="L5" s="279" t="n"/>
      <c r="M5" s="279" t="n"/>
      <c r="N5" s="279" t="n"/>
      <c r="O5" s="279" t="n"/>
    </row>
    <row r="6" ht="20.25" customHeight="1" s="79">
      <c r="A6" s="499" t="inlineStr">
        <is>
          <t>Ruangan</t>
        </is>
      </c>
      <c r="C6" s="280" t="inlineStr">
        <is>
          <t>Kasubbag Keuangan</t>
        </is>
      </c>
      <c r="D6" s="279" t="n"/>
      <c r="E6" s="279" t="n"/>
      <c r="F6" s="279" t="n"/>
      <c r="G6" s="280" t="n"/>
      <c r="H6" s="279" t="n"/>
      <c r="I6" s="279" t="n"/>
      <c r="J6" s="279" t="n"/>
      <c r="K6" s="279" t="n"/>
      <c r="L6" s="279" t="n"/>
      <c r="M6" s="279" t="n"/>
      <c r="N6" s="279" t="n"/>
      <c r="O6" s="279" t="n"/>
    </row>
    <row r="7" ht="20.25" customHeight="1" s="79">
      <c r="A7" s="280" t="n"/>
      <c r="B7" s="280" t="n"/>
      <c r="C7" s="280" t="n"/>
      <c r="D7" s="279" t="n"/>
      <c r="E7" s="279" t="n"/>
      <c r="F7" s="279" t="n"/>
      <c r="G7" s="279" t="n"/>
      <c r="H7" s="279" t="n"/>
      <c r="I7" s="279" t="n"/>
      <c r="J7" s="279" t="n"/>
      <c r="K7" s="279" t="n"/>
      <c r="L7" s="279" t="n"/>
      <c r="M7" s="279" t="n"/>
      <c r="N7" s="279" t="n"/>
      <c r="O7" s="279" t="n"/>
    </row>
    <row r="8" ht="20.25" customHeight="1" s="79">
      <c r="A8" s="280" t="inlineStr">
        <is>
          <t xml:space="preserve">NO.KODE LOKASI : </t>
        </is>
      </c>
      <c r="B8" s="280" t="n"/>
      <c r="C8" s="280" t="n"/>
      <c r="D8" s="279" t="n"/>
      <c r="E8" s="279" t="n"/>
      <c r="F8" s="279" t="n"/>
      <c r="G8" s="279" t="n"/>
      <c r="H8" s="279" t="n"/>
      <c r="I8" s="279" t="n"/>
      <c r="J8" s="279" t="n"/>
      <c r="K8" s="279" t="n"/>
      <c r="L8" s="279" t="n"/>
      <c r="M8" s="279" t="n"/>
      <c r="N8" s="279" t="n"/>
      <c r="O8" s="279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5" t="inlineStr">
        <is>
          <t>Lemari Besi</t>
        </is>
      </c>
      <c r="C13" s="592" t="n"/>
      <c r="D13" s="401" t="inlineStr">
        <is>
          <t>Lion / Brangkas</t>
        </is>
      </c>
      <c r="E13" s="268" t="n"/>
      <c r="F13" s="268" t="n"/>
      <c r="G13" s="398" t="inlineStr">
        <is>
          <t>Besi</t>
        </is>
      </c>
      <c r="H13" s="398" t="n">
        <v>2000</v>
      </c>
      <c r="I13" s="398" t="inlineStr">
        <is>
          <t>02/06.01.04.001</t>
        </is>
      </c>
      <c r="J13" s="400" t="inlineStr">
        <is>
          <t>0007</t>
        </is>
      </c>
      <c r="K13" s="270" t="n">
        <v>5190000</v>
      </c>
      <c r="L13" s="398" t="inlineStr">
        <is>
          <t>Baik</t>
        </is>
      </c>
      <c r="M13" s="268" t="n"/>
      <c r="N13" s="268" t="n"/>
      <c r="O13" s="268" t="n"/>
    </row>
    <row r="14" ht="36" customHeight="1" s="79">
      <c r="A14" s="398">
        <f>A13+1</f>
        <v/>
      </c>
      <c r="B14" s="615" t="inlineStr">
        <is>
          <t>Lemari Kaca</t>
        </is>
      </c>
      <c r="C14" s="592" t="n"/>
      <c r="D14" s="401" t="inlineStr">
        <is>
          <t>Brother / Besi Kaca</t>
        </is>
      </c>
      <c r="E14" s="268" t="n"/>
      <c r="F14" s="268" t="n"/>
      <c r="G14" s="398" t="inlineStr">
        <is>
          <t>Besi Kaca</t>
        </is>
      </c>
      <c r="H14" s="398" t="n">
        <v>2006</v>
      </c>
      <c r="I14" s="398" t="inlineStr">
        <is>
          <t>02.06.01.04.012</t>
        </is>
      </c>
      <c r="J14" s="400" t="inlineStr">
        <is>
          <t>0001</t>
        </is>
      </c>
      <c r="K14" s="270" t="n">
        <v>1820000</v>
      </c>
      <c r="L14" s="398" t="inlineStr">
        <is>
          <t>Baik</t>
        </is>
      </c>
      <c r="M14" s="268" t="n"/>
      <c r="N14" s="268" t="n"/>
      <c r="O14" s="268" t="n"/>
    </row>
    <row r="15" ht="36" customHeight="1" s="79">
      <c r="A15" s="398">
        <f>A14+1</f>
        <v/>
      </c>
      <c r="B15" s="615" t="inlineStr">
        <is>
          <t>Lemari Kayu</t>
        </is>
      </c>
      <c r="C15" s="592" t="n"/>
      <c r="D15" s="401" t="inlineStr">
        <is>
          <t>Brother /                               4 Rak</t>
        </is>
      </c>
      <c r="E15" s="268" t="n"/>
      <c r="F15" s="268" t="n"/>
      <c r="G15" s="398" t="inlineStr">
        <is>
          <t>Kayu Partikel</t>
        </is>
      </c>
      <c r="H15" s="398" t="n">
        <v>2006</v>
      </c>
      <c r="I15" s="398" t="inlineStr">
        <is>
          <t>02.06.01.04.014</t>
        </is>
      </c>
      <c r="J15" s="400" t="inlineStr">
        <is>
          <t>0001</t>
        </is>
      </c>
      <c r="K15" s="270" t="n">
        <v>250000</v>
      </c>
      <c r="L15" s="398" t="inlineStr">
        <is>
          <t>Baik</t>
        </is>
      </c>
      <c r="M15" s="268" t="n"/>
      <c r="N15" s="268" t="n"/>
      <c r="O15" s="268" t="n"/>
    </row>
    <row r="16" ht="18" customHeight="1" s="79">
      <c r="A16" s="398">
        <f>A15+1</f>
        <v/>
      </c>
      <c r="B16" s="615" t="inlineStr">
        <is>
          <t>Kursi Lipat</t>
        </is>
      </c>
      <c r="C16" s="592" t="n"/>
      <c r="D16" s="401" t="inlineStr">
        <is>
          <t>MATRIX / -</t>
        </is>
      </c>
      <c r="E16" s="268" t="n"/>
      <c r="F16" s="268" t="n"/>
      <c r="G16" s="398" t="n"/>
      <c r="H16" s="398" t="n">
        <v>2018</v>
      </c>
      <c r="I16" s="398" t="inlineStr">
        <is>
          <t>02.06.02.01.034</t>
        </is>
      </c>
      <c r="J16" s="400" t="inlineStr">
        <is>
          <t>0002</t>
        </is>
      </c>
      <c r="K16" s="270" t="n">
        <v>333232</v>
      </c>
      <c r="L16" s="398" t="inlineStr">
        <is>
          <t>Baik</t>
        </is>
      </c>
      <c r="M16" s="268" t="n"/>
      <c r="N16" s="268" t="n"/>
      <c r="O16" s="268" t="n"/>
    </row>
    <row r="17" ht="36" customHeight="1" s="79">
      <c r="A17" s="407">
        <f>A16+1</f>
        <v/>
      </c>
      <c r="B17" s="618" t="inlineStr">
        <is>
          <t>AC Unit</t>
        </is>
      </c>
      <c r="C17" s="592" t="n"/>
      <c r="D17" s="408" t="inlineStr">
        <is>
          <t>DAIKIN/FTNE25JEV14</t>
        </is>
      </c>
      <c r="E17" s="409" t="n"/>
      <c r="F17" s="409" t="n"/>
      <c r="G17" s="410" t="n"/>
      <c r="H17" s="407" t="n"/>
      <c r="I17" s="411" t="inlineStr">
        <is>
          <t>02.05.02.04.002</t>
        </is>
      </c>
      <c r="J17" s="412" t="n"/>
      <c r="K17" s="413" t="n"/>
      <c r="L17" s="407" t="n"/>
      <c r="M17" s="409" t="n"/>
      <c r="N17" s="409" t="n"/>
      <c r="O17" s="409" t="n"/>
    </row>
    <row r="18" ht="36" customHeight="1" s="79">
      <c r="A18" s="374">
        <f>A17+1</f>
        <v/>
      </c>
      <c r="B18" s="619" t="inlineStr">
        <is>
          <t>Dispenser</t>
        </is>
      </c>
      <c r="C18" s="592" t="n"/>
      <c r="D18" s="375" t="inlineStr">
        <is>
          <t>Toshiba / RWFW1830</t>
        </is>
      </c>
      <c r="E18" s="376" t="n"/>
      <c r="F18" s="376" t="n"/>
      <c r="G18" s="374" t="n"/>
      <c r="H18" s="374" t="n">
        <v>2020</v>
      </c>
      <c r="I18" s="374" t="inlineStr">
        <is>
          <t>02.06.02.06.039</t>
        </is>
      </c>
      <c r="J18" s="377" t="inlineStr">
        <is>
          <t>0002</t>
        </is>
      </c>
      <c r="K18" s="378">
        <f>8917390/2</f>
        <v/>
      </c>
      <c r="L18" s="374" t="inlineStr">
        <is>
          <t>Baik</t>
        </is>
      </c>
      <c r="M18" s="376" t="n"/>
      <c r="N18" s="376" t="n"/>
      <c r="O18" s="375" t="n"/>
    </row>
    <row r="19" ht="72" customHeight="1" s="79">
      <c r="A19" s="398">
        <f>A18+1</f>
        <v/>
      </c>
      <c r="B19" s="615" t="inlineStr">
        <is>
          <t>Kursi Kerja Pejabat Eselon IV</t>
        </is>
      </c>
      <c r="C19" s="592" t="n"/>
      <c r="D19" s="401" t="inlineStr">
        <is>
          <t>Indachi                D 821 CR/Kursi Kerja Staf</t>
        </is>
      </c>
      <c r="E19" s="268" t="n"/>
      <c r="F19" s="268" t="n"/>
      <c r="G19" s="398" t="inlineStr">
        <is>
          <t>Kayu Partikel</t>
        </is>
      </c>
      <c r="H19" s="398" t="n">
        <v>2016</v>
      </c>
      <c r="I19" s="398" t="inlineStr">
        <is>
          <t>02.06.04.03.006</t>
        </is>
      </c>
      <c r="J19" s="400" t="inlineStr">
        <is>
          <t>0008</t>
        </is>
      </c>
      <c r="K19" s="270" t="n">
        <v>2181159</v>
      </c>
      <c r="L19" s="398" t="inlineStr">
        <is>
          <t>Baik</t>
        </is>
      </c>
      <c r="M19" s="268" t="n"/>
      <c r="N19" s="268" t="n"/>
      <c r="O19" s="268" t="n"/>
    </row>
    <row r="20" ht="54" customHeight="1" s="79">
      <c r="A20" s="398">
        <f>A19+1</f>
        <v/>
      </c>
      <c r="B20" s="615" t="inlineStr">
        <is>
          <t>Meja Kerja Pejabat Eselon IV</t>
        </is>
      </c>
      <c r="C20" s="592" t="n"/>
      <c r="D20" s="401" t="inlineStr">
        <is>
          <t>Pro Design/Meja Kerja VPM 120</t>
        </is>
      </c>
      <c r="E20" s="268" t="n"/>
      <c r="F20" s="268" t="n"/>
      <c r="G20" s="398" t="inlineStr">
        <is>
          <t>Kayu Partikel</t>
        </is>
      </c>
      <c r="H20" s="398" t="n">
        <v>2010</v>
      </c>
      <c r="I20" s="398" t="inlineStr">
        <is>
          <t>02.06.04.01.006</t>
        </is>
      </c>
      <c r="J20" s="400" t="inlineStr">
        <is>
          <t>0021</t>
        </is>
      </c>
      <c r="K20" s="270" t="n">
        <v>593750</v>
      </c>
      <c r="L20" s="398" t="inlineStr">
        <is>
          <t>Baik</t>
        </is>
      </c>
      <c r="M20" s="268" t="n"/>
      <c r="N20" s="268" t="n"/>
      <c r="O20" s="401" t="n"/>
    </row>
    <row r="21" ht="18" customHeight="1" s="79">
      <c r="A21" s="214" t="n"/>
      <c r="B21" s="214" t="n"/>
      <c r="C21" s="214" t="n"/>
      <c r="D21" s="214" t="n"/>
      <c r="E21" s="214" t="n"/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</row>
    <row r="22" ht="18" customHeight="1" s="79">
      <c r="A22" s="214" t="n"/>
      <c r="B22" s="214" t="n"/>
      <c r="C22" s="214" t="n"/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</row>
    <row r="23" ht="18" customHeight="1" s="79">
      <c r="A23" s="213" t="n"/>
      <c r="B23" s="213" t="n"/>
      <c r="C23" s="583" t="inlineStr">
        <is>
          <t>Mengetahui :</t>
        </is>
      </c>
      <c r="D23" s="213" t="n"/>
      <c r="E23" s="213" t="n"/>
      <c r="F23" s="213" t="n"/>
      <c r="G23" s="213" t="n"/>
      <c r="H23" s="213" t="n"/>
      <c r="I23" s="213" t="n"/>
      <c r="J23" s="213" t="n"/>
      <c r="K23" s="213" t="n"/>
      <c r="L23" s="583" t="inlineStr">
        <is>
          <t>Banjarmasin,      Desember 2025</t>
        </is>
      </c>
      <c r="M23" s="213" t="n"/>
      <c r="N23" s="214" t="n"/>
      <c r="O23" s="214" t="n"/>
    </row>
    <row r="24" ht="18" customHeight="1" s="79">
      <c r="A24" s="213" t="n"/>
      <c r="B24" s="213" t="n"/>
      <c r="C24" s="583" t="n"/>
      <c r="D24" s="213" t="n"/>
      <c r="E24" s="213" t="n"/>
      <c r="F24" s="213" t="n"/>
      <c r="G24" s="213" t="n"/>
      <c r="H24" s="213" t="n"/>
      <c r="I24" s="213" t="n"/>
      <c r="J24" s="213" t="n"/>
      <c r="K24" s="213" t="n"/>
      <c r="L24" s="583" t="n"/>
      <c r="M24" s="213" t="n"/>
      <c r="N24" s="214" t="n"/>
      <c r="O24" s="214" t="n"/>
    </row>
    <row r="25" ht="18" customHeight="1" s="79">
      <c r="A25" s="213" t="n"/>
      <c r="B25" s="213" t="n"/>
      <c r="C25" s="23" t="inlineStr">
        <is>
          <t>Kepala Bakesbangpol Kota Banjarmasin,</t>
        </is>
      </c>
      <c r="D25" s="213" t="n"/>
      <c r="E25" s="213" t="n"/>
      <c r="F25" s="213" t="n"/>
      <c r="G25" s="213" t="n"/>
      <c r="H25" s="213" t="n"/>
      <c r="I25" s="213" t="n"/>
      <c r="J25" s="213" t="n"/>
      <c r="K25" s="213" t="n"/>
      <c r="L25" s="23" t="inlineStr">
        <is>
          <t>Pengurus Barang,</t>
        </is>
      </c>
      <c r="M25" s="213" t="n"/>
      <c r="N25" s="214" t="n"/>
      <c r="O25" s="214" t="n"/>
    </row>
    <row r="26" ht="18" customHeight="1" s="79">
      <c r="A26" s="213" t="n"/>
      <c r="B26" s="213" t="n"/>
      <c r="C26" s="23" t="n"/>
      <c r="D26" s="213" t="n"/>
      <c r="E26" s="213" t="n"/>
      <c r="F26" s="213" t="n"/>
      <c r="G26" s="213" t="n"/>
      <c r="H26" s="213" t="n"/>
      <c r="I26" s="213" t="n"/>
      <c r="J26" s="213" t="n"/>
      <c r="K26" s="213" t="n"/>
      <c r="L26" s="23" t="n"/>
      <c r="M26" s="213" t="n"/>
      <c r="N26" s="214" t="n"/>
      <c r="O26" s="214" t="n"/>
    </row>
    <row r="27" ht="18" customHeight="1" s="79">
      <c r="A27" s="213" t="n"/>
      <c r="B27" s="213" t="n"/>
      <c r="C27" s="23" t="n"/>
      <c r="D27" s="213" t="n"/>
      <c r="E27" s="213" t="n"/>
      <c r="F27" s="213" t="n"/>
      <c r="G27" s="213" t="n"/>
      <c r="H27" s="213" t="n"/>
      <c r="I27" s="213" t="n"/>
      <c r="J27" s="213" t="n"/>
      <c r="K27" s="213" t="n"/>
      <c r="L27" s="23" t="n"/>
      <c r="M27" s="213" t="n"/>
      <c r="N27" s="214" t="n"/>
      <c r="O27" s="214" t="n"/>
    </row>
    <row r="28" ht="18" customHeight="1" s="79">
      <c r="A28" s="213" t="n"/>
      <c r="B28" s="213" t="n"/>
      <c r="C28" s="23" t="n"/>
      <c r="D28" s="213" t="n"/>
      <c r="E28" s="213" t="n"/>
      <c r="F28" s="213" t="n"/>
      <c r="G28" s="213" t="n"/>
      <c r="H28" s="213" t="n"/>
      <c r="I28" s="213" t="n"/>
      <c r="J28" s="213" t="n"/>
      <c r="K28" s="213" t="n"/>
      <c r="L28" s="23" t="n"/>
      <c r="M28" s="213" t="n"/>
      <c r="N28" s="214" t="n"/>
      <c r="O28" s="214" t="n"/>
    </row>
    <row r="29" ht="18" customHeight="1" s="79">
      <c r="A29" s="213" t="n"/>
      <c r="B29" s="213" t="n"/>
      <c r="C29" s="6" t="inlineStr">
        <is>
          <t>Dr. H. LUKMAN FADLUN, SH, MH</t>
        </is>
      </c>
      <c r="D29" s="213" t="n"/>
      <c r="E29" s="213" t="n"/>
      <c r="F29" s="213" t="n"/>
      <c r="G29" s="213" t="n"/>
      <c r="H29" s="213" t="n"/>
      <c r="I29" s="213" t="n"/>
      <c r="J29" s="213" t="n"/>
      <c r="K29" s="213" t="n"/>
      <c r="L29" s="6" t="inlineStr">
        <is>
          <t>TRISNAWATI M ULYO HAPSARI, SE</t>
        </is>
      </c>
      <c r="M29" s="213" t="n"/>
      <c r="N29" s="214" t="n"/>
      <c r="O29" s="214" t="n"/>
    </row>
    <row r="30" ht="18" customHeight="1" s="79">
      <c r="A30" s="213" t="n"/>
      <c r="B30" s="213" t="n"/>
      <c r="C30" s="23" t="inlineStr">
        <is>
          <t>Pembina Utama Muda</t>
        </is>
      </c>
      <c r="D30" s="213" t="n"/>
      <c r="E30" s="213" t="n"/>
      <c r="F30" s="213" t="n"/>
      <c r="G30" s="213" t="n"/>
      <c r="H30" s="213" t="n"/>
      <c r="I30" s="213" t="n"/>
      <c r="J30" s="213" t="n"/>
      <c r="K30" s="213" t="n"/>
      <c r="L30" s="23">
        <f>'RUANG KABAN'!M30</f>
        <v/>
      </c>
      <c r="M30" s="213" t="n"/>
      <c r="N30" s="214" t="n"/>
      <c r="O30" s="214" t="n"/>
    </row>
    <row r="31" ht="18" customHeight="1" s="79">
      <c r="A31" s="214" t="n"/>
      <c r="B31" s="214" t="n"/>
      <c r="C31" s="23" t="inlineStr">
        <is>
          <t>NIP. 19691013 200003 1 004</t>
        </is>
      </c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214" t="n"/>
      <c r="M31" s="214" t="n"/>
      <c r="N31" s="214" t="n"/>
      <c r="O31" s="214" t="n"/>
    </row>
    <row r="32" ht="18" customHeight="1" s="79">
      <c r="A32" s="214" t="n"/>
      <c r="B32" s="214" t="n"/>
      <c r="C32" s="214" t="n"/>
      <c r="D32" s="214" t="n"/>
      <c r="E32" s="214" t="n"/>
      <c r="F32" s="214" t="n"/>
      <c r="G32" s="214" t="n"/>
      <c r="H32" s="214" t="n"/>
      <c r="I32" s="214" t="n"/>
      <c r="J32" s="214" t="n"/>
      <c r="K32" s="320" t="n"/>
      <c r="L32" s="214" t="n"/>
      <c r="M32" s="214" t="n"/>
      <c r="N32" s="214" t="n"/>
      <c r="O32" s="214" t="n"/>
    </row>
    <row r="33">
      <c r="B33" s="21" t="n"/>
      <c r="K33" s="25" t="n"/>
    </row>
    <row r="34">
      <c r="B34" s="22" t="n"/>
    </row>
    <row r="35">
      <c r="B35" s="22" t="n"/>
    </row>
  </sheetData>
  <mergeCells count="22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360"/>
  <headerFooter alignWithMargins="0">
    <oddHeader/>
    <oddFooter>&amp;L&amp;9 &amp;F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O35"/>
  <sheetViews>
    <sheetView view="pageBreakPreview" zoomScaleNormal="55" workbookViewId="0">
      <selection activeCell="O25" sqref="O25:O26"/>
    </sheetView>
  </sheetViews>
  <sheetFormatPr baseColWidth="8" defaultRowHeight="15.75"/>
  <cols>
    <col width="6.375" customWidth="1" style="79" min="1" max="1"/>
    <col width="7" customWidth="1" style="79" min="2" max="2"/>
    <col width="30.875" customWidth="1" style="79" min="3" max="3"/>
    <col width="15.25" customWidth="1" style="79" min="4" max="4"/>
    <col width="9.625" customWidth="1" style="79" min="5" max="5"/>
    <col width="9.25" customWidth="1" style="79" min="6" max="6"/>
    <col width="14.375" customWidth="1" style="79" min="7" max="7"/>
    <col width="18.375" customWidth="1" style="79" min="8" max="8"/>
    <col width="20.125" customWidth="1" style="79" min="9" max="9"/>
    <col width="13.875" customWidth="1" style="79" min="10" max="10"/>
    <col width="15.875" customWidth="1" style="79" min="11" max="11"/>
    <col width="14.625" customWidth="1" style="79" min="13" max="13"/>
    <col width="15.25" customWidth="1" style="79" min="14" max="14"/>
    <col width="14.1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80" t="n"/>
      <c r="B1" s="280" t="n"/>
      <c r="C1" s="280" t="n"/>
      <c r="D1" s="280" t="n"/>
      <c r="E1" s="280" t="n"/>
      <c r="F1" s="280" t="n"/>
      <c r="G1" s="280" t="inlineStr">
        <is>
          <t>KARTU INVENTARIS RUANGAN</t>
        </is>
      </c>
      <c r="H1" s="280" t="n"/>
      <c r="I1" s="280" t="n"/>
      <c r="J1" s="332" t="n"/>
      <c r="K1" s="332" t="n"/>
      <c r="L1" s="332" t="n"/>
      <c r="M1" s="332" t="n"/>
      <c r="N1" s="332" t="inlineStr">
        <is>
          <t>MODEL INV. 6</t>
        </is>
      </c>
      <c r="O1" s="332" t="n"/>
    </row>
    <row r="2" ht="20.25" customHeight="1" s="79">
      <c r="A2" s="332" t="n"/>
      <c r="B2" s="332" t="n"/>
      <c r="C2" s="332" t="n"/>
      <c r="D2" s="332" t="n"/>
      <c r="E2" s="332" t="n"/>
      <c r="F2" s="332" t="n"/>
      <c r="G2" s="332" t="n"/>
      <c r="H2" s="332" t="n"/>
      <c r="I2" s="332" t="n"/>
      <c r="J2" s="332" t="n"/>
      <c r="K2" s="332" t="n"/>
      <c r="L2" s="332" t="n"/>
      <c r="M2" s="332" t="n"/>
      <c r="N2" s="332" t="n"/>
      <c r="O2" s="332" t="n"/>
    </row>
    <row r="3" ht="20.25" customHeight="1" s="79">
      <c r="A3" s="511" t="inlineStr">
        <is>
          <t>Kab/Kota</t>
        </is>
      </c>
      <c r="C3" s="332" t="inlineStr">
        <is>
          <t>Kota Banjarmasin</t>
        </is>
      </c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</row>
    <row r="4" ht="20.25" customHeight="1" s="79">
      <c r="A4" s="511" t="inlineStr">
        <is>
          <t>Propinsi</t>
        </is>
      </c>
      <c r="C4" s="332" t="inlineStr">
        <is>
          <t>Kalimantan Selatan</t>
        </is>
      </c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</row>
    <row r="5" ht="20.25" customHeight="1" s="79">
      <c r="A5" s="511" t="inlineStr">
        <is>
          <t>Satuan Kerja</t>
        </is>
      </c>
      <c r="C5" s="332" t="inlineStr">
        <is>
          <t>Badan Kesatuan Bangsa dan Politik Kota Banjarmasin</t>
        </is>
      </c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</row>
    <row r="6" ht="20.25" customHeight="1" s="79">
      <c r="A6" s="511" t="inlineStr">
        <is>
          <t>Ruangan</t>
        </is>
      </c>
      <c r="C6" s="332" t="inlineStr">
        <is>
          <t>Kasubbag Umum dan Kepegawaian</t>
        </is>
      </c>
      <c r="D6" s="332" t="n"/>
      <c r="E6" s="332" t="n"/>
      <c r="F6" s="332" t="n"/>
      <c r="G6" s="332" t="n"/>
      <c r="H6" s="332" t="n"/>
      <c r="I6" s="332" t="n"/>
      <c r="J6" s="332" t="n"/>
      <c r="K6" s="332" t="n"/>
      <c r="L6" s="332" t="n"/>
      <c r="M6" s="332" t="n"/>
      <c r="N6" s="332" t="n"/>
      <c r="O6" s="332" t="n"/>
    </row>
    <row r="7" ht="20.25" customHeight="1" s="79">
      <c r="A7" s="332" t="n"/>
      <c r="B7" s="332" t="n"/>
      <c r="C7" s="332" t="n"/>
      <c r="D7" s="332" t="n"/>
      <c r="E7" s="332" t="n"/>
      <c r="F7" s="332" t="n"/>
      <c r="G7" s="332" t="n"/>
      <c r="H7" s="332" t="n"/>
      <c r="I7" s="332" t="n"/>
      <c r="J7" s="332" t="n"/>
      <c r="K7" s="332" t="n"/>
      <c r="L7" s="332" t="n"/>
      <c r="M7" s="332" t="n"/>
      <c r="N7" s="332" t="n"/>
      <c r="O7" s="332" t="n"/>
    </row>
    <row r="8" ht="20.25" customHeight="1" s="79">
      <c r="A8" s="280" t="inlineStr">
        <is>
          <t xml:space="preserve">NO.KODE LOKASI : </t>
        </is>
      </c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  <c r="K8" s="332" t="n"/>
      <c r="L8" s="332" t="n"/>
      <c r="M8" s="332" t="n"/>
      <c r="N8" s="332" t="n"/>
      <c r="O8" s="332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5" t="inlineStr">
        <is>
          <t>Lemari Besi</t>
        </is>
      </c>
      <c r="C13" s="592" t="n"/>
      <c r="D13" s="401" t="inlineStr">
        <is>
          <t>KRISBROW / KW 17 - 195</t>
        </is>
      </c>
      <c r="E13" s="268" t="n"/>
      <c r="F13" s="268" t="n"/>
      <c r="G13" s="398" t="inlineStr">
        <is>
          <t>Besi</t>
        </is>
      </c>
      <c r="H13" s="398" t="n">
        <v>2012</v>
      </c>
      <c r="I13" s="398" t="inlineStr">
        <is>
          <t>02.06.01.04.001</t>
        </is>
      </c>
      <c r="J13" s="400" t="inlineStr">
        <is>
          <t>0011</t>
        </is>
      </c>
      <c r="K13" s="270" t="n">
        <v>3400000</v>
      </c>
      <c r="L13" s="398" t="inlineStr">
        <is>
          <t>Baik</t>
        </is>
      </c>
      <c r="M13" s="268" t="n"/>
      <c r="N13" s="268" t="n"/>
      <c r="O13" s="268" t="n"/>
    </row>
    <row r="14" ht="18" customHeight="1" s="79">
      <c r="A14" s="398">
        <f>A13+1</f>
        <v/>
      </c>
      <c r="B14" s="615" t="inlineStr">
        <is>
          <t>Filling Besi / Metal</t>
        </is>
      </c>
      <c r="C14" s="592" t="n"/>
      <c r="D14" s="401" t="inlineStr">
        <is>
          <t>Secure Line /-</t>
        </is>
      </c>
      <c r="E14" s="268" t="n"/>
      <c r="F14" s="268" t="n"/>
      <c r="G14" s="433" t="inlineStr">
        <is>
          <t>Besi</t>
        </is>
      </c>
      <c r="H14" s="398" t="n">
        <v>2013</v>
      </c>
      <c r="I14" s="398" t="inlineStr">
        <is>
          <t>02.06.01.04.004</t>
        </is>
      </c>
      <c r="J14" s="400" t="inlineStr">
        <is>
          <t>0009</t>
        </is>
      </c>
      <c r="K14" s="270" t="n">
        <v>2880334</v>
      </c>
      <c r="L14" s="398" t="inlineStr">
        <is>
          <t>Baik</t>
        </is>
      </c>
      <c r="M14" s="268" t="n"/>
      <c r="N14" s="334" t="n"/>
      <c r="O14" s="268" t="n"/>
    </row>
    <row r="15" ht="36" customHeight="1" s="79">
      <c r="A15" s="398">
        <f>A14+1</f>
        <v/>
      </c>
      <c r="B15" s="615" t="inlineStr">
        <is>
          <t>Filling Besi / Metal</t>
        </is>
      </c>
      <c r="C15" s="592" t="n"/>
      <c r="D15" s="401" t="inlineStr">
        <is>
          <t>BROTHER / BS-102</t>
        </is>
      </c>
      <c r="E15" s="268" t="n"/>
      <c r="F15" s="268" t="n"/>
      <c r="G15" s="433" t="inlineStr">
        <is>
          <t>Besi</t>
        </is>
      </c>
      <c r="H15" s="398" t="n">
        <v>2014</v>
      </c>
      <c r="I15" s="398" t="inlineStr">
        <is>
          <t>02.06.01.04.004</t>
        </is>
      </c>
      <c r="J15" s="400" t="inlineStr">
        <is>
          <t>0011</t>
        </is>
      </c>
      <c r="K15" s="270" t="n">
        <v>3292653</v>
      </c>
      <c r="L15" s="398" t="inlineStr">
        <is>
          <t>Baik</t>
        </is>
      </c>
      <c r="M15" s="268" t="n"/>
      <c r="N15" s="268" t="n"/>
      <c r="O15" s="268" t="n"/>
    </row>
    <row r="16" ht="36" customHeight="1" s="79">
      <c r="A16" s="374">
        <f>A15+1</f>
        <v/>
      </c>
      <c r="B16" s="619" t="inlineStr">
        <is>
          <t>Lemari Kayu</t>
        </is>
      </c>
      <c r="C16" s="592" t="n"/>
      <c r="D16" s="375" t="inlineStr">
        <is>
          <t>Big Panel /               4 Rak</t>
        </is>
      </c>
      <c r="E16" s="376" t="n"/>
      <c r="F16" s="376" t="n"/>
      <c r="G16" s="374" t="inlineStr">
        <is>
          <t>Kayu Partikel</t>
        </is>
      </c>
      <c r="H16" s="374" t="n">
        <v>2010</v>
      </c>
      <c r="I16" s="374" t="inlineStr">
        <is>
          <t>02.06.01.04.014</t>
        </is>
      </c>
      <c r="J16" s="377" t="inlineStr">
        <is>
          <t>0002</t>
        </is>
      </c>
      <c r="K16" s="378" t="n">
        <v>396000</v>
      </c>
      <c r="L16" s="374" t="inlineStr">
        <is>
          <t>Baik</t>
        </is>
      </c>
      <c r="M16" s="376" t="n"/>
      <c r="N16" s="376" t="n"/>
      <c r="O16" s="375" t="inlineStr">
        <is>
          <t>sudah dipindahkan</t>
        </is>
      </c>
    </row>
    <row r="17" ht="36" customHeight="1" s="79">
      <c r="A17" s="398">
        <f>A16+1</f>
        <v/>
      </c>
      <c r="B17" s="615" t="inlineStr">
        <is>
          <t>Kursi Putar</t>
        </is>
      </c>
      <c r="C17" s="592" t="n"/>
      <c r="D17" s="401" t="inlineStr">
        <is>
          <t>Indachi D 920</t>
        </is>
      </c>
      <c r="E17" s="268" t="n"/>
      <c r="F17" s="268" t="n"/>
      <c r="G17" s="398" t="inlineStr">
        <is>
          <t>Besi Plastik</t>
        </is>
      </c>
      <c r="H17" s="398" t="n">
        <v>2014</v>
      </c>
      <c r="I17" s="398" t="inlineStr">
        <is>
          <t>02.06.02.01.030</t>
        </is>
      </c>
      <c r="J17" s="400" t="inlineStr">
        <is>
          <t>0045</t>
        </is>
      </c>
      <c r="K17" s="270" t="n">
        <v>1588358</v>
      </c>
      <c r="L17" s="398" t="inlineStr">
        <is>
          <t>Baik</t>
        </is>
      </c>
      <c r="M17" s="268" t="n"/>
      <c r="N17" s="268" t="n"/>
      <c r="O17" s="268" t="n"/>
    </row>
    <row r="18" ht="18" customHeight="1" s="79">
      <c r="A18" s="398">
        <f>A17+1</f>
        <v/>
      </c>
      <c r="B18" s="615" t="inlineStr">
        <is>
          <t>Kursi Lipat</t>
        </is>
      </c>
      <c r="C18" s="592" t="n"/>
      <c r="D18" s="401" t="inlineStr">
        <is>
          <t>MATRIX / -</t>
        </is>
      </c>
      <c r="E18" s="268" t="n"/>
      <c r="F18" s="268" t="n"/>
      <c r="G18" s="398" t="n"/>
      <c r="H18" s="398" t="n">
        <v>2018</v>
      </c>
      <c r="I18" s="398" t="inlineStr">
        <is>
          <t>02.06.02.01.034</t>
        </is>
      </c>
      <c r="J18" s="400" t="inlineStr">
        <is>
          <t>0003</t>
        </is>
      </c>
      <c r="K18" s="270" t="n">
        <v>333232</v>
      </c>
      <c r="L18" s="398" t="inlineStr">
        <is>
          <t>Baik</t>
        </is>
      </c>
      <c r="M18" s="268" t="n"/>
      <c r="N18" s="268" t="n"/>
      <c r="O18" s="268" t="n"/>
    </row>
    <row r="19" ht="36" customHeight="1" s="79">
      <c r="A19" s="398">
        <f>A18+1</f>
        <v/>
      </c>
      <c r="B19" s="615" t="inlineStr">
        <is>
          <t>AC Unit</t>
        </is>
      </c>
      <c r="C19" s="592" t="n"/>
      <c r="D19" s="401" t="inlineStr">
        <is>
          <t>Daikin/ FTNE25MV</t>
        </is>
      </c>
      <c r="E19" s="268" t="n"/>
      <c r="F19" s="268" t="n"/>
      <c r="G19" s="398" t="n"/>
      <c r="H19" s="433" t="inlineStr">
        <is>
          <t>2018                                         1 PK</t>
        </is>
      </c>
      <c r="I19" s="398" t="inlineStr">
        <is>
          <t>02.06.02.04.003</t>
        </is>
      </c>
      <c r="J19" s="400" t="inlineStr">
        <is>
          <t>0013</t>
        </is>
      </c>
      <c r="K19" s="270" t="n">
        <v>5009175</v>
      </c>
      <c r="L19" s="398" t="inlineStr">
        <is>
          <t>Baik</t>
        </is>
      </c>
      <c r="M19" s="268" t="n"/>
      <c r="N19" s="268" t="n"/>
      <c r="O19" s="268" t="n"/>
    </row>
    <row r="20" ht="36" customHeight="1" s="79">
      <c r="A20" s="398">
        <f>A19+1</f>
        <v/>
      </c>
      <c r="B20" s="615" t="inlineStr">
        <is>
          <t>Printer</t>
        </is>
      </c>
      <c r="C20" s="592" t="n"/>
      <c r="D20" s="401" t="inlineStr">
        <is>
          <t>EPSON /L360</t>
        </is>
      </c>
      <c r="E20" s="268" t="n"/>
      <c r="F20" s="268" t="n"/>
      <c r="G20" s="398" t="n"/>
      <c r="H20" s="398" t="n">
        <v>2018</v>
      </c>
      <c r="I20" s="398" t="inlineStr">
        <is>
          <t>02.06.03.05.003</t>
        </is>
      </c>
      <c r="J20" s="400" t="inlineStr">
        <is>
          <t>0029</t>
        </is>
      </c>
      <c r="K20" s="270" t="n">
        <v>2428691</v>
      </c>
      <c r="L20" s="398" t="inlineStr">
        <is>
          <t>Baik</t>
        </is>
      </c>
      <c r="M20" s="268" t="n"/>
      <c r="N20" s="268" t="n"/>
      <c r="O20" s="268" t="n"/>
    </row>
    <row r="21" ht="36" customHeight="1" s="79">
      <c r="A21" s="398">
        <f>A20+1</f>
        <v/>
      </c>
      <c r="B21" s="615" t="inlineStr">
        <is>
          <t>Meja Kerja Pejabat Eselon IV</t>
        </is>
      </c>
      <c r="C21" s="592" t="n"/>
      <c r="D21" s="401" t="inlineStr">
        <is>
          <t>ZETTA / MT201</t>
        </is>
      </c>
      <c r="E21" s="268" t="n"/>
      <c r="F21" s="268" t="n"/>
      <c r="G21" s="398" t="n"/>
      <c r="H21" s="398" t="n">
        <v>2019</v>
      </c>
      <c r="I21" s="398" t="inlineStr">
        <is>
          <t>02.06.04.01.006</t>
        </is>
      </c>
      <c r="J21" s="400" t="inlineStr">
        <is>
          <t>0040</t>
        </is>
      </c>
      <c r="K21" s="270" t="n">
        <v>2245000</v>
      </c>
      <c r="L21" s="398" t="inlineStr">
        <is>
          <t>Baik</t>
        </is>
      </c>
      <c r="M21" s="268" t="n"/>
      <c r="N21" s="268" t="n"/>
      <c r="O21" s="268" t="n"/>
    </row>
    <row r="22" ht="18" customHeight="1" s="79">
      <c r="A22" s="214" t="n"/>
      <c r="B22" s="214" t="n"/>
      <c r="C22" s="214" t="n"/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</row>
    <row r="23" ht="18" customHeight="1" s="79">
      <c r="A23" s="214" t="n"/>
      <c r="B23" s="214" t="n"/>
      <c r="C23" s="214" t="n"/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</row>
    <row r="24" ht="18" customHeight="1" s="79">
      <c r="A24" s="214" t="n"/>
      <c r="B24" s="214" t="n"/>
      <c r="C24" s="583" t="inlineStr">
        <is>
          <t>Mengetahui :</t>
        </is>
      </c>
      <c r="D24" s="213" t="n"/>
      <c r="E24" s="213" t="n"/>
      <c r="F24" s="213" t="n"/>
      <c r="G24" s="213" t="n"/>
      <c r="H24" s="213" t="n"/>
      <c r="I24" s="213" t="n"/>
      <c r="J24" s="213" t="n"/>
      <c r="K24" s="213" t="n"/>
      <c r="L24" s="583" t="inlineStr">
        <is>
          <t>Banjarmasin,      Desember 2025</t>
        </is>
      </c>
      <c r="M24" s="213" t="n"/>
      <c r="N24" s="214" t="n"/>
      <c r="O24" s="214" t="n"/>
    </row>
    <row r="25" ht="18" customHeight="1" s="79">
      <c r="A25" s="214" t="n"/>
      <c r="B25" s="214" t="n"/>
      <c r="C25" s="23" t="inlineStr">
        <is>
          <t>Kepala Bakesbangpol Kota Banjarmasin,</t>
        </is>
      </c>
      <c r="D25" s="213" t="n"/>
      <c r="E25" s="213" t="n"/>
      <c r="F25" s="213" t="n"/>
      <c r="G25" s="213" t="n"/>
      <c r="H25" s="213" t="n"/>
      <c r="I25" s="213" t="n"/>
      <c r="J25" s="213" t="n"/>
      <c r="K25" s="213" t="n"/>
      <c r="L25" s="23" t="inlineStr">
        <is>
          <t>Pengurus Barang,</t>
        </is>
      </c>
      <c r="M25" s="213" t="n"/>
      <c r="N25" s="214" t="n"/>
      <c r="O25" s="214" t="n"/>
    </row>
    <row r="26" ht="18" customHeight="1" s="79">
      <c r="A26" s="214" t="n"/>
      <c r="B26" s="214" t="n"/>
      <c r="C26" s="23" t="n"/>
      <c r="D26" s="213" t="n"/>
      <c r="E26" s="213" t="n"/>
      <c r="F26" s="213" t="n"/>
      <c r="G26" s="213" t="n"/>
      <c r="H26" s="213" t="n"/>
      <c r="I26" s="213" t="n"/>
      <c r="J26" s="213" t="n"/>
      <c r="K26" s="213" t="n"/>
      <c r="L26" s="23" t="n"/>
      <c r="M26" s="213" t="n"/>
      <c r="N26" s="214" t="n"/>
      <c r="O26" s="214" t="n"/>
    </row>
    <row r="27" ht="18" customHeight="1" s="79">
      <c r="A27" s="214" t="n"/>
      <c r="B27" s="214" t="n"/>
      <c r="C27" s="23" t="n"/>
      <c r="D27" s="213" t="n"/>
      <c r="E27" s="213" t="n"/>
      <c r="F27" s="213" t="n"/>
      <c r="G27" s="213" t="n"/>
      <c r="H27" s="213" t="n"/>
      <c r="I27" s="213" t="n"/>
      <c r="J27" s="213" t="n"/>
      <c r="K27" s="213" t="n"/>
      <c r="L27" s="23" t="n"/>
      <c r="M27" s="213" t="n"/>
      <c r="N27" s="214" t="n"/>
      <c r="O27" s="214" t="n"/>
    </row>
    <row r="28" ht="18" customHeight="1" s="79">
      <c r="A28" s="214" t="n"/>
      <c r="B28" s="214" t="n"/>
      <c r="C28" s="23" t="n"/>
      <c r="D28" s="213" t="n"/>
      <c r="E28" s="213" t="n"/>
      <c r="F28" s="213" t="n"/>
      <c r="G28" s="213" t="n"/>
      <c r="H28" s="213" t="n"/>
      <c r="I28" s="213" t="n"/>
      <c r="J28" s="213" t="n"/>
      <c r="K28" s="213" t="n"/>
      <c r="L28" s="23" t="n"/>
      <c r="M28" s="213" t="n"/>
      <c r="N28" s="214" t="n"/>
      <c r="O28" s="214" t="n"/>
    </row>
    <row r="29" ht="18" customHeight="1" s="79">
      <c r="A29" s="214" t="n"/>
      <c r="B29" s="214" t="n"/>
      <c r="C29" s="6" t="inlineStr">
        <is>
          <t>Dr. H. LUKMAN FADLUN, SH, MH</t>
        </is>
      </c>
      <c r="D29" s="213" t="n"/>
      <c r="E29" s="213" t="n"/>
      <c r="F29" s="213" t="n"/>
      <c r="G29" s="213" t="n"/>
      <c r="H29" s="213" t="n"/>
      <c r="I29" s="213" t="n"/>
      <c r="J29" s="213" t="n"/>
      <c r="K29" s="213" t="n"/>
      <c r="L29" s="6" t="inlineStr">
        <is>
          <t>TRISNAWATI M ULYO HAPSARI, SE</t>
        </is>
      </c>
      <c r="M29" s="213" t="n"/>
      <c r="N29" s="214" t="n"/>
      <c r="O29" s="214" t="n"/>
    </row>
    <row r="30" ht="18" customHeight="1" s="79">
      <c r="A30" s="214" t="n"/>
      <c r="B30" s="214" t="n"/>
      <c r="C30" s="23" t="inlineStr">
        <is>
          <t>Pembina Utama Muda</t>
        </is>
      </c>
      <c r="D30" s="213" t="n"/>
      <c r="E30" s="213" t="n"/>
      <c r="F30" s="213" t="n"/>
      <c r="G30" s="213" t="n"/>
      <c r="H30" s="213" t="n"/>
      <c r="I30" s="213" t="n"/>
      <c r="J30" s="213" t="n"/>
      <c r="K30" s="213" t="n"/>
      <c r="L30" s="23">
        <f>'RUANG KABAN'!M30</f>
        <v/>
      </c>
      <c r="M30" s="213" t="n"/>
      <c r="N30" s="214" t="n"/>
      <c r="O30" s="214" t="n"/>
    </row>
    <row r="31" ht="18" customHeight="1" s="79">
      <c r="A31" s="214" t="n"/>
      <c r="B31" s="214" t="n"/>
      <c r="C31" s="23" t="inlineStr">
        <is>
          <t>NIP. 19691013 200003 1 004</t>
        </is>
      </c>
      <c r="D31" s="213" t="n"/>
      <c r="E31" s="213" t="n"/>
      <c r="F31" s="213" t="n"/>
      <c r="G31" s="213" t="n"/>
      <c r="H31" s="213" t="n"/>
      <c r="I31" s="213" t="n"/>
      <c r="J31" s="213" t="n"/>
      <c r="K31" s="213" t="n"/>
      <c r="L31" s="213" t="n"/>
      <c r="M31" s="213" t="n"/>
      <c r="N31" s="214" t="n"/>
      <c r="O31" s="214" t="n"/>
    </row>
    <row r="32">
      <c r="K32" s="24" t="n"/>
    </row>
    <row r="33">
      <c r="B33" s="21" t="n"/>
      <c r="K33" s="25" t="n"/>
    </row>
    <row r="34">
      <c r="B34" s="22" t="n"/>
    </row>
    <row r="35">
      <c r="B35" s="22" t="n"/>
    </row>
  </sheetData>
  <mergeCells count="23">
    <mergeCell ref="B16:C16"/>
    <mergeCell ref="B10:C11"/>
    <mergeCell ref="B18:C18"/>
    <mergeCell ref="E10:E11"/>
    <mergeCell ref="A6:B6"/>
    <mergeCell ref="B12:C12"/>
    <mergeCell ref="F9:F11"/>
    <mergeCell ref="B21:C2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O33"/>
  <sheetViews>
    <sheetView view="pageBreakPreview" topLeftCell="A4" zoomScale="80" zoomScaleNormal="55" zoomScaleSheetLayoutView="80" workbookViewId="0">
      <selection activeCell="O15" sqref="O15:O18"/>
    </sheetView>
  </sheetViews>
  <sheetFormatPr baseColWidth="8" defaultRowHeight="15.75"/>
  <cols>
    <col width="6.25" customWidth="1" style="79" min="1" max="1"/>
    <col width="9.125" customWidth="1" style="79" min="2" max="2"/>
    <col width="22.25" customWidth="1" style="79" min="3" max="3"/>
    <col width="10.875" customWidth="1" style="79" min="4" max="4"/>
    <col width="11.25" customWidth="1" style="79" min="5" max="5"/>
    <col width="11.5" customWidth="1" style="79" min="6" max="6"/>
    <col width="14.75" customWidth="1" style="79" min="7" max="7"/>
    <col width="18.125" customWidth="1" style="79" min="8" max="8"/>
    <col width="20.375" customWidth="1" style="79" min="9" max="9"/>
    <col width="13.625" customWidth="1" style="79" min="10" max="10"/>
    <col width="18.125" customWidth="1" style="79" min="11" max="11"/>
    <col width="14.625" customWidth="1" style="79" min="13" max="13"/>
    <col width="14.75" customWidth="1" style="79" min="14" max="14"/>
    <col width="13.8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79" t="n"/>
      <c r="L1" s="279" t="n"/>
      <c r="M1" s="279" t="n"/>
      <c r="N1" s="214" t="inlineStr">
        <is>
          <t>MODEL INV. 6</t>
        </is>
      </c>
      <c r="O1" s="279" t="n"/>
    </row>
    <row r="2" ht="20.25" customHeight="1" s="79">
      <c r="A2" s="279" t="n"/>
      <c r="B2" s="279" t="n"/>
      <c r="C2" s="279" t="n"/>
      <c r="D2" s="279" t="n"/>
      <c r="E2" s="279" t="n"/>
      <c r="F2" s="279" t="n"/>
      <c r="G2" s="280" t="n"/>
      <c r="H2" s="279" t="n"/>
      <c r="I2" s="279" t="n"/>
      <c r="J2" s="279" t="n"/>
      <c r="K2" s="279" t="n"/>
      <c r="L2" s="279" t="n"/>
      <c r="M2" s="279" t="n"/>
      <c r="N2" s="279" t="n"/>
      <c r="O2" s="279" t="n"/>
    </row>
    <row r="3" ht="20.25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79" t="n"/>
      <c r="F3" s="279" t="n"/>
      <c r="G3" s="280" t="n"/>
      <c r="H3" s="279" t="n"/>
      <c r="I3" s="279" t="n"/>
      <c r="J3" s="279" t="n"/>
      <c r="K3" s="279" t="n"/>
      <c r="L3" s="279" t="n"/>
      <c r="M3" s="279" t="n"/>
      <c r="N3" s="279" t="n"/>
      <c r="O3" s="279" t="n"/>
    </row>
    <row r="4" ht="20.25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79" t="n"/>
      <c r="F4" s="279" t="n"/>
      <c r="G4" s="280" t="n"/>
      <c r="H4" s="279" t="n"/>
      <c r="I4" s="279" t="n"/>
      <c r="J4" s="279" t="n"/>
      <c r="K4" s="279" t="n"/>
      <c r="L4" s="279" t="n"/>
      <c r="M4" s="279" t="n"/>
      <c r="N4" s="279" t="n"/>
      <c r="O4" s="279" t="n"/>
    </row>
    <row r="5" ht="20.25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79" t="n"/>
      <c r="F5" s="279" t="n"/>
      <c r="G5" s="280" t="n"/>
      <c r="H5" s="279" t="n"/>
      <c r="I5" s="279" t="n"/>
      <c r="J5" s="279" t="n"/>
      <c r="K5" s="279" t="n"/>
      <c r="L5" s="279" t="n"/>
      <c r="M5" s="279" t="n"/>
      <c r="N5" s="279" t="n"/>
      <c r="O5" s="279" t="n"/>
    </row>
    <row r="6" ht="20.25" customHeight="1" s="79">
      <c r="A6" s="512" t="inlineStr">
        <is>
          <t>Ruangan</t>
        </is>
      </c>
      <c r="C6" s="331" t="inlineStr">
        <is>
          <t>Kasubbag Penyusunan Program</t>
        </is>
      </c>
      <c r="D6" s="214" t="n"/>
      <c r="E6" s="279" t="n"/>
      <c r="F6" s="279" t="n"/>
      <c r="G6" s="280" t="n"/>
      <c r="H6" s="279" t="n"/>
      <c r="I6" s="279" t="n"/>
      <c r="J6" s="279" t="n"/>
      <c r="K6" s="279" t="n"/>
      <c r="L6" s="279" t="n"/>
      <c r="M6" s="279" t="n"/>
      <c r="N6" s="279" t="n"/>
      <c r="O6" s="279" t="n"/>
    </row>
    <row r="7" ht="20.25" customHeight="1" s="79">
      <c r="A7" s="331" t="n"/>
      <c r="B7" s="331" t="n"/>
      <c r="C7" s="331" t="n"/>
      <c r="D7" s="214" t="n"/>
      <c r="E7" s="279" t="n"/>
      <c r="F7" s="279" t="n"/>
      <c r="G7" s="279" t="n"/>
      <c r="H7" s="279" t="n"/>
      <c r="I7" s="279" t="n"/>
      <c r="J7" s="279" t="n"/>
      <c r="K7" s="279" t="n"/>
      <c r="L7" s="279" t="n"/>
      <c r="M7" s="279" t="n"/>
      <c r="N7" s="279" t="n"/>
      <c r="O7" s="279" t="n"/>
    </row>
    <row r="8" ht="20.25" customHeight="1" s="79">
      <c r="A8" s="331" t="inlineStr">
        <is>
          <t xml:space="preserve">NO.KODE LOKASI : </t>
        </is>
      </c>
      <c r="B8" s="331" t="n"/>
      <c r="C8" s="331" t="n"/>
      <c r="D8" s="214" t="n"/>
      <c r="E8" s="279" t="n"/>
      <c r="F8" s="279" t="n"/>
      <c r="G8" s="279" t="n"/>
      <c r="H8" s="279" t="n"/>
      <c r="I8" s="279" t="n"/>
      <c r="J8" s="279" t="n"/>
      <c r="K8" s="279" t="n"/>
      <c r="L8" s="279" t="n"/>
      <c r="M8" s="279" t="n"/>
      <c r="N8" s="279" t="n"/>
      <c r="O8" s="279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5" t="inlineStr">
        <is>
          <t>Filling Besi / Metal</t>
        </is>
      </c>
      <c r="C13" s="592" t="n"/>
      <c r="D13" s="401" t="inlineStr">
        <is>
          <t>Secure Line /-</t>
        </is>
      </c>
      <c r="E13" s="399" t="n"/>
      <c r="F13" s="399" t="n"/>
      <c r="G13" s="336" t="inlineStr">
        <is>
          <t>Besi</t>
        </is>
      </c>
      <c r="H13" s="398" t="n">
        <v>2013</v>
      </c>
      <c r="I13" s="398" t="inlineStr">
        <is>
          <t>02.06.01.04.004</t>
        </is>
      </c>
      <c r="J13" s="400" t="inlineStr">
        <is>
          <t>0008</t>
        </is>
      </c>
      <c r="K13" s="270" t="n">
        <v>2880334</v>
      </c>
      <c r="L13" s="398" t="inlineStr">
        <is>
          <t>Baik</t>
        </is>
      </c>
      <c r="M13" s="399" t="n"/>
      <c r="N13" s="435" t="n"/>
      <c r="O13" s="399" t="n"/>
    </row>
    <row r="14" ht="72" customHeight="1" s="79">
      <c r="A14" s="398">
        <f>A13+1</f>
        <v/>
      </c>
      <c r="B14" s="615" t="inlineStr">
        <is>
          <t>Lemari Kaca</t>
        </is>
      </c>
      <c r="C14" s="592" t="n"/>
      <c r="D14" s="338" t="inlineStr">
        <is>
          <t>Brother / Besi Kaca 8304</t>
        </is>
      </c>
      <c r="E14" s="399" t="n"/>
      <c r="F14" s="399" t="n"/>
      <c r="G14" s="398" t="inlineStr">
        <is>
          <t>Besi Kaca</t>
        </is>
      </c>
      <c r="H14" s="398" t="n">
        <v>2014</v>
      </c>
      <c r="I14" s="398" t="inlineStr">
        <is>
          <t>02.06.01.04.012</t>
        </is>
      </c>
      <c r="J14" s="400" t="inlineStr">
        <is>
          <t>0002</t>
        </is>
      </c>
      <c r="K14" s="270" t="n">
        <v>3050000</v>
      </c>
      <c r="L14" s="398" t="inlineStr">
        <is>
          <t>Baik</t>
        </is>
      </c>
      <c r="M14" s="399" t="n"/>
      <c r="N14" s="399" t="n"/>
      <c r="O14" s="399" t="n"/>
    </row>
    <row r="15" ht="36" customHeight="1" s="79">
      <c r="A15" s="374">
        <f>A14+1</f>
        <v/>
      </c>
      <c r="B15" s="619" t="inlineStr">
        <is>
          <t>Kursi Lipat</t>
        </is>
      </c>
      <c r="C15" s="592" t="n"/>
      <c r="D15" s="375" t="inlineStr">
        <is>
          <t>MATRIX/-</t>
        </is>
      </c>
      <c r="E15" s="379" t="n"/>
      <c r="F15" s="379" t="n"/>
      <c r="G15" s="380" t="n"/>
      <c r="H15" s="374" t="n">
        <v>2018</v>
      </c>
      <c r="I15" s="374" t="inlineStr">
        <is>
          <t>02.06.02.01.034</t>
        </is>
      </c>
      <c r="J15" s="377" t="inlineStr">
        <is>
          <t>0001</t>
        </is>
      </c>
      <c r="K15" s="378" t="n">
        <v>333232</v>
      </c>
      <c r="L15" s="374" t="inlineStr">
        <is>
          <t>Baik</t>
        </is>
      </c>
      <c r="M15" s="379" t="n"/>
      <c r="N15" s="379" t="n"/>
      <c r="O15" s="414" t="n"/>
    </row>
    <row r="16" ht="72" customHeight="1" s="79">
      <c r="A16" s="398">
        <f>A15+1</f>
        <v/>
      </c>
      <c r="B16" s="615" t="inlineStr">
        <is>
          <t>AC Unit</t>
        </is>
      </c>
      <c r="C16" s="592" t="n"/>
      <c r="D16" s="338" t="inlineStr">
        <is>
          <t>Samsung/AR09 HCFSTWKNSE</t>
        </is>
      </c>
      <c r="E16" s="399" t="n"/>
      <c r="F16" s="399" t="n"/>
      <c r="G16" s="433" t="inlineStr">
        <is>
          <t>Besi Plastik     1 PK</t>
        </is>
      </c>
      <c r="H16" s="398" t="n">
        <v>2014</v>
      </c>
      <c r="I16" s="398" t="inlineStr">
        <is>
          <t>02.06.02.04.003</t>
        </is>
      </c>
      <c r="J16" s="400" t="inlineStr">
        <is>
          <t>0008</t>
        </is>
      </c>
      <c r="K16" s="270" t="n">
        <v>4916358</v>
      </c>
      <c r="L16" s="398" t="inlineStr">
        <is>
          <t>Baik</t>
        </is>
      </c>
      <c r="M16" s="399" t="n"/>
      <c r="N16" s="399" t="n"/>
      <c r="O16" s="399" t="n"/>
    </row>
    <row r="17" ht="72" customHeight="1" s="79">
      <c r="A17" s="398">
        <f>A16+1</f>
        <v/>
      </c>
      <c r="B17" s="615" t="inlineStr">
        <is>
          <t>Meja Kerja Pejabat Eselon III</t>
        </is>
      </c>
      <c r="C17" s="592" t="n"/>
      <c r="D17" s="338" t="inlineStr">
        <is>
          <t>ZETTA/MT-201 / Esselon III</t>
        </is>
      </c>
      <c r="E17" s="399" t="n"/>
      <c r="F17" s="399" t="n"/>
      <c r="G17" s="398" t="inlineStr">
        <is>
          <t>Kayu Partikel</t>
        </is>
      </c>
      <c r="H17" s="398" t="n">
        <v>2017</v>
      </c>
      <c r="I17" s="398" t="inlineStr">
        <is>
          <t>02.06.04.01.005</t>
        </is>
      </c>
      <c r="J17" s="400" t="inlineStr">
        <is>
          <t>0006</t>
        </is>
      </c>
      <c r="K17" s="270" t="n">
        <v>2284351</v>
      </c>
      <c r="L17" s="398" t="inlineStr">
        <is>
          <t>Baik</t>
        </is>
      </c>
      <c r="M17" s="399" t="n"/>
      <c r="N17" s="399" t="n"/>
      <c r="O17" s="401" t="n"/>
    </row>
    <row r="18" ht="46.5" customHeight="1" s="79">
      <c r="A18" s="374">
        <f>A17+1</f>
        <v/>
      </c>
      <c r="B18" s="619" t="inlineStr">
        <is>
          <t>Kursi Kerja Pejabat Eselon III</t>
        </is>
      </c>
      <c r="C18" s="592" t="n"/>
      <c r="D18" s="414" t="inlineStr">
        <is>
          <t>INDACHI / 741 CR</t>
        </is>
      </c>
      <c r="E18" s="379" t="n"/>
      <c r="F18" s="379" t="n"/>
      <c r="G18" s="404" t="inlineStr">
        <is>
          <t>Besi Plastik</t>
        </is>
      </c>
      <c r="H18" s="404" t="n">
        <v>2011</v>
      </c>
      <c r="I18" s="404" t="inlineStr">
        <is>
          <t>02.06.04.03.005</t>
        </is>
      </c>
      <c r="J18" s="415" t="inlineStr">
        <is>
          <t>0007</t>
        </is>
      </c>
      <c r="K18" s="416" t="n">
        <v>1485000</v>
      </c>
      <c r="L18" s="404" t="inlineStr">
        <is>
          <t>Baik</t>
        </is>
      </c>
      <c r="M18" s="414" t="n"/>
      <c r="N18" s="379" t="n"/>
      <c r="O18" s="405" t="n"/>
    </row>
    <row r="19" ht="18" customHeight="1" s="79">
      <c r="A19" s="214" t="n"/>
      <c r="B19" s="214" t="n"/>
      <c r="C19" s="214" t="n"/>
      <c r="D19" s="214" t="n"/>
      <c r="E19" s="214" t="n"/>
      <c r="F19" s="214" t="n"/>
      <c r="G19" s="214" t="n"/>
      <c r="H19" s="214" t="n"/>
      <c r="I19" s="214" t="n"/>
      <c r="J19" s="214" t="n"/>
      <c r="K19" s="214" t="n"/>
      <c r="L19" s="214" t="n"/>
      <c r="M19" s="214" t="n"/>
      <c r="N19" s="214" t="n"/>
      <c r="O19" s="214" t="n"/>
    </row>
    <row r="20" ht="18" customHeight="1" s="79">
      <c r="A20" s="214" t="n"/>
      <c r="B20" s="214" t="n"/>
      <c r="C20" s="214" t="n"/>
      <c r="D20" s="214" t="n"/>
      <c r="E20" s="214" t="n"/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</row>
    <row r="21" ht="18" customHeight="1" s="79">
      <c r="A21" s="214" t="n"/>
      <c r="B21" s="213" t="n"/>
      <c r="C21" s="583" t="inlineStr">
        <is>
          <t>Mengetahui :</t>
        </is>
      </c>
      <c r="D21" s="213" t="n"/>
      <c r="E21" s="213" t="n"/>
      <c r="F21" s="213" t="n"/>
      <c r="G21" s="213" t="n"/>
      <c r="H21" s="213" t="n"/>
      <c r="I21" s="213" t="n"/>
      <c r="J21" s="213" t="n"/>
      <c r="K21" s="213" t="n"/>
      <c r="L21" s="583" t="inlineStr">
        <is>
          <t>Banjarmasin,    Desember 2025</t>
        </is>
      </c>
      <c r="M21" s="213" t="n"/>
      <c r="N21" s="214" t="n"/>
      <c r="O21" s="214" t="n"/>
    </row>
    <row r="22" ht="18" customHeight="1" s="79">
      <c r="A22" s="214" t="n"/>
      <c r="B22" s="213" t="n"/>
      <c r="C22" s="583" t="n"/>
      <c r="D22" s="213" t="n"/>
      <c r="E22" s="213" t="n"/>
      <c r="F22" s="213" t="n"/>
      <c r="G22" s="213" t="n"/>
      <c r="H22" s="213" t="n"/>
      <c r="I22" s="213" t="n"/>
      <c r="J22" s="213" t="n"/>
      <c r="K22" s="213" t="n"/>
      <c r="L22" s="583" t="n"/>
      <c r="M22" s="213" t="n"/>
      <c r="N22" s="214" t="n"/>
      <c r="O22" s="214" t="n"/>
    </row>
    <row r="23" ht="18" customHeight="1" s="79">
      <c r="A23" s="214" t="n"/>
      <c r="B23" s="214" t="n"/>
      <c r="C23" s="5" t="inlineStr">
        <is>
          <t>Kepala Bakesbangpol Kota Banjarmasin,</t>
        </is>
      </c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5" t="inlineStr">
        <is>
          <t>Pengurus Barang,</t>
        </is>
      </c>
      <c r="M23" s="214" t="n"/>
      <c r="N23" s="214" t="n"/>
      <c r="O23" s="214" t="n"/>
    </row>
    <row r="24" ht="18" customHeight="1" s="79">
      <c r="A24" s="214" t="n"/>
      <c r="B24" s="214" t="n"/>
      <c r="C24" s="5" t="n"/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5" t="n"/>
      <c r="M24" s="214" t="n"/>
      <c r="N24" s="214" t="n"/>
      <c r="O24" s="214" t="n"/>
    </row>
    <row r="25" ht="18" customHeight="1" s="79">
      <c r="A25" s="214" t="n"/>
      <c r="B25" s="214" t="n"/>
      <c r="C25" s="5" t="n"/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5" t="n"/>
      <c r="M25" s="214" t="n"/>
      <c r="N25" s="214" t="n"/>
      <c r="O25" s="214" t="n"/>
    </row>
    <row r="26" ht="18" customHeight="1" s="79">
      <c r="A26" s="214" t="n"/>
      <c r="B26" s="214" t="n"/>
      <c r="C26" s="5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" t="n"/>
      <c r="M26" s="214" t="n"/>
      <c r="N26" s="214" t="n"/>
      <c r="O26" s="214" t="n"/>
    </row>
    <row r="27" ht="18" customHeight="1" s="79">
      <c r="A27" s="214" t="n"/>
      <c r="B27" s="214" t="n"/>
      <c r="C27" s="6" t="inlineStr">
        <is>
          <t>Dr. H. LUKMAN FADLUN, SH, MH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6" t="inlineStr">
        <is>
          <t>TRISNAWATI M ULYO HAPSARI, SE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inlineStr">
        <is>
          <t>Pembina Utama Muda</t>
        </is>
      </c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23">
        <f>'RUANG SEKRETARIS'!L29</f>
        <v/>
      </c>
      <c r="M28" s="214" t="n"/>
      <c r="N28" s="214" t="n"/>
      <c r="O28" s="214" t="n"/>
    </row>
    <row r="29" ht="18" customHeight="1" s="79">
      <c r="A29" s="214" t="n"/>
      <c r="B29" s="214" t="n"/>
      <c r="C29" s="23" t="inlineStr">
        <is>
          <t>NIP. 19691013 200003 1 004</t>
        </is>
      </c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</row>
    <row r="30">
      <c r="K30" s="24" t="n"/>
    </row>
    <row r="31">
      <c r="B31" s="21" t="n"/>
      <c r="K31" s="25" t="n"/>
    </row>
    <row r="32">
      <c r="B32" s="22" t="n"/>
    </row>
    <row r="33">
      <c r="B33" s="22" t="n"/>
    </row>
  </sheetData>
  <mergeCells count="20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A5:B5"/>
    <mergeCell ref="A10:A11"/>
    <mergeCell ref="B9:C9"/>
    <mergeCell ref="A4:B4"/>
    <mergeCell ref="O10:O11"/>
    <mergeCell ref="D10:D11"/>
    <mergeCell ref="B15:C15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view="pageBreakPreview" zoomScaleNormal="55" workbookViewId="0">
      <selection activeCell="Q21" sqref="Q21"/>
    </sheetView>
  </sheetViews>
  <sheetFormatPr baseColWidth="8" defaultRowHeight="15.75"/>
  <cols>
    <col width="5.875" customWidth="1" style="79" min="1" max="1"/>
    <col width="9.875" customWidth="1" style="79" min="2" max="2"/>
    <col width="22.375" customWidth="1" style="79" min="3" max="3"/>
    <col width="15.625" customWidth="1" style="79" min="4" max="4"/>
    <col width="11.25" customWidth="1" style="79" min="5" max="5"/>
    <col width="11.5" customWidth="1" style="79" min="6" max="6"/>
    <col width="11.625" customWidth="1" style="79" min="7" max="7"/>
    <col width="18.375" customWidth="1" style="79" min="8" max="8"/>
    <col width="20" customWidth="1" style="79" min="9" max="9"/>
    <col width="13.75" customWidth="1" style="79" min="10" max="10"/>
    <col width="15.125" customWidth="1" style="79" min="11" max="11"/>
    <col width="8.125" customWidth="1" style="79" min="12" max="12"/>
    <col width="17" customWidth="1" style="79" min="13" max="13"/>
    <col width="14.375" customWidth="1" style="79" min="14" max="14"/>
    <col width="1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SELASAR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5" t="inlineStr">
        <is>
          <t>Lemari Besi</t>
        </is>
      </c>
      <c r="C13" s="592" t="n"/>
      <c r="D13" s="401" t="inlineStr">
        <is>
          <t>Platinum / Alba -</t>
        </is>
      </c>
      <c r="E13" s="268" t="n"/>
      <c r="F13" s="268" t="n"/>
      <c r="G13" s="398" t="inlineStr">
        <is>
          <t>Besi</t>
        </is>
      </c>
      <c r="H13" s="398" t="n">
        <v>1992</v>
      </c>
      <c r="I13" s="398" t="inlineStr">
        <is>
          <t>02.06.01.04.001</t>
        </is>
      </c>
      <c r="J13" s="400" t="inlineStr">
        <is>
          <t>0001</t>
        </is>
      </c>
      <c r="K13" s="434" t="n">
        <v>1225000</v>
      </c>
      <c r="L13" s="398" t="n"/>
      <c r="M13" s="433" t="inlineStr">
        <is>
          <t>Kurang Baik</t>
        </is>
      </c>
      <c r="N13" s="268" t="n"/>
      <c r="O13" s="268" t="n"/>
    </row>
    <row r="14" ht="18" customHeight="1" s="79">
      <c r="A14" s="398">
        <f>A13+1</f>
        <v/>
      </c>
      <c r="B14" s="615" t="inlineStr">
        <is>
          <t>Lemari Besi</t>
        </is>
      </c>
      <c r="C14" s="592" t="n"/>
      <c r="D14" s="401" t="inlineStr">
        <is>
          <t>Brother / -</t>
        </is>
      </c>
      <c r="E14" s="268" t="n"/>
      <c r="F14" s="268" t="n"/>
      <c r="G14" s="398" t="inlineStr">
        <is>
          <t>Besi</t>
        </is>
      </c>
      <c r="H14" s="398" t="n">
        <v>1992</v>
      </c>
      <c r="I14" s="398" t="inlineStr">
        <is>
          <t>02.06.01.04.001</t>
        </is>
      </c>
      <c r="J14" s="400" t="inlineStr">
        <is>
          <t>0002</t>
        </is>
      </c>
      <c r="K14" s="434" t="n">
        <v>1225000</v>
      </c>
      <c r="L14" s="398" t="n"/>
      <c r="M14" s="433" t="inlineStr">
        <is>
          <t>Kurang Baik</t>
        </is>
      </c>
      <c r="N14" s="268" t="n"/>
      <c r="O14" s="268" t="n"/>
    </row>
    <row r="15" ht="18" customHeight="1" s="79">
      <c r="A15" s="398">
        <f>A14+1</f>
        <v/>
      </c>
      <c r="B15" s="615" t="inlineStr">
        <is>
          <t>Lemari Besi</t>
        </is>
      </c>
      <c r="C15" s="592" t="n"/>
      <c r="D15" s="401" t="inlineStr">
        <is>
          <t>Brother / -</t>
        </is>
      </c>
      <c r="E15" s="268" t="n"/>
      <c r="F15" s="268" t="n"/>
      <c r="G15" s="398" t="inlineStr">
        <is>
          <t>Besi</t>
        </is>
      </c>
      <c r="H15" s="398" t="n">
        <v>1994</v>
      </c>
      <c r="I15" s="398" t="inlineStr">
        <is>
          <t>02.06.01.04.001</t>
        </is>
      </c>
      <c r="J15" s="400" t="inlineStr">
        <is>
          <t>0004</t>
        </is>
      </c>
      <c r="K15" s="434" t="n">
        <v>1225000</v>
      </c>
      <c r="L15" s="398" t="n"/>
      <c r="M15" s="433" t="inlineStr">
        <is>
          <t>Kurang Baik</t>
        </is>
      </c>
      <c r="N15" s="268" t="n"/>
      <c r="O15" s="268" t="n"/>
    </row>
    <row r="16" ht="18" customHeight="1" s="79">
      <c r="A16" s="398">
        <f>A15+1</f>
        <v/>
      </c>
      <c r="B16" s="615" t="inlineStr">
        <is>
          <t>Lemari Besi</t>
        </is>
      </c>
      <c r="C16" s="592" t="n"/>
      <c r="D16" s="401" t="inlineStr">
        <is>
          <t>Lion / -</t>
        </is>
      </c>
      <c r="E16" s="268" t="n"/>
      <c r="F16" s="268" t="n"/>
      <c r="G16" s="398" t="inlineStr">
        <is>
          <t>Besi</t>
        </is>
      </c>
      <c r="H16" s="398" t="n">
        <v>2009</v>
      </c>
      <c r="I16" s="398" t="inlineStr">
        <is>
          <t>02.06.01.04.001</t>
        </is>
      </c>
      <c r="J16" s="400" t="inlineStr">
        <is>
          <t>0010</t>
        </is>
      </c>
      <c r="K16" s="434" t="n">
        <v>2500000</v>
      </c>
      <c r="L16" s="398" t="inlineStr">
        <is>
          <t>Baik</t>
        </is>
      </c>
      <c r="M16" s="268" t="n"/>
      <c r="N16" s="268" t="n"/>
      <c r="O16" s="268" t="n"/>
    </row>
    <row r="17" ht="36" customHeight="1" s="79">
      <c r="A17" s="398">
        <f>A16+1</f>
        <v/>
      </c>
      <c r="B17" s="615" t="inlineStr">
        <is>
          <t>Lemari Besi</t>
        </is>
      </c>
      <c r="C17" s="592" t="n"/>
      <c r="D17" s="401" t="inlineStr">
        <is>
          <t>Brother /             B 203</t>
        </is>
      </c>
      <c r="E17" s="268" t="n"/>
      <c r="F17" s="268" t="n"/>
      <c r="G17" s="398" t="inlineStr">
        <is>
          <t>Besi</t>
        </is>
      </c>
      <c r="H17" s="398" t="n">
        <v>2014</v>
      </c>
      <c r="I17" s="398" t="inlineStr">
        <is>
          <t>02.06.01.04.001</t>
        </is>
      </c>
      <c r="J17" s="400" t="inlineStr">
        <is>
          <t>0015</t>
        </is>
      </c>
      <c r="K17" s="434" t="n">
        <v>3669674</v>
      </c>
      <c r="L17" s="398" t="inlineStr">
        <is>
          <t>Baik</t>
        </is>
      </c>
      <c r="M17" s="268" t="n"/>
      <c r="N17" s="268" t="n"/>
      <c r="O17" s="268" t="n"/>
    </row>
    <row r="18" ht="33.75" customHeight="1" s="79">
      <c r="A18" s="398">
        <f>A17+1</f>
        <v/>
      </c>
      <c r="B18" s="615" t="inlineStr">
        <is>
          <t>Lemari Kayu</t>
        </is>
      </c>
      <c r="C18" s="592" t="n"/>
      <c r="D18" s="401" t="inlineStr">
        <is>
          <t>Buatan Lokal / Kayu Kaca</t>
        </is>
      </c>
      <c r="E18" s="268" t="n"/>
      <c r="F18" s="268" t="n"/>
      <c r="G18" s="398" t="inlineStr">
        <is>
          <t>Kayu Kaca</t>
        </is>
      </c>
      <c r="H18" s="398" t="n">
        <v>2010</v>
      </c>
      <c r="I18" s="398" t="inlineStr">
        <is>
          <t>02.06.01.04.014</t>
        </is>
      </c>
      <c r="J18" s="400" t="inlineStr">
        <is>
          <t>0004</t>
        </is>
      </c>
      <c r="K18" s="434" t="n">
        <v>900000</v>
      </c>
      <c r="L18" s="398" t="inlineStr">
        <is>
          <t>Baik</t>
        </is>
      </c>
      <c r="M18" s="268" t="n"/>
      <c r="N18" s="268" t="n"/>
      <c r="O18" s="268" t="n"/>
    </row>
    <row r="19" ht="54" customHeight="1" s="79">
      <c r="A19" s="398">
        <f>A18+1</f>
        <v/>
      </c>
      <c r="B19" s="615" t="inlineStr">
        <is>
          <t>Lemari Kayu</t>
        </is>
      </c>
      <c r="C19" s="592" t="n"/>
      <c r="D19" s="401" t="inlineStr">
        <is>
          <t>SAGA RB 2800/ Lemari Buku</t>
        </is>
      </c>
      <c r="E19" s="268" t="n"/>
      <c r="F19" s="268" t="n"/>
      <c r="G19" s="398" t="inlineStr">
        <is>
          <t>Kayu Partikel</t>
        </is>
      </c>
      <c r="H19" s="398" t="n">
        <v>2011</v>
      </c>
      <c r="I19" s="398" t="inlineStr">
        <is>
          <t>02.06.01.04.014</t>
        </is>
      </c>
      <c r="J19" s="400" t="inlineStr">
        <is>
          <t>0006</t>
        </is>
      </c>
      <c r="K19" s="434" t="n">
        <v>892500</v>
      </c>
      <c r="L19" s="398" t="inlineStr">
        <is>
          <t>Baik</t>
        </is>
      </c>
      <c r="M19" s="268" t="n"/>
      <c r="N19" s="268" t="n"/>
      <c r="O19" s="268" t="n"/>
    </row>
    <row r="20" ht="33.75" customHeight="1" s="79">
      <c r="A20" s="398">
        <f>A19+1</f>
        <v/>
      </c>
      <c r="B20" s="616" t="inlineStr">
        <is>
          <t>Mesin Absensi</t>
        </is>
      </c>
      <c r="C20" s="592" t="n"/>
      <c r="D20" s="271" t="inlineStr">
        <is>
          <t>MBIO / MB 007c</t>
        </is>
      </c>
      <c r="E20" s="272" t="n"/>
      <c r="F20" s="272" t="n"/>
      <c r="G20" s="340" t="inlineStr">
        <is>
          <t>Besi Plastik</t>
        </is>
      </c>
      <c r="H20" s="273" t="n">
        <v>2019</v>
      </c>
      <c r="I20" s="273" t="inlineStr">
        <is>
          <t>02.06.01.05.017</t>
        </is>
      </c>
      <c r="J20" s="274" t="inlineStr">
        <is>
          <t>0002</t>
        </is>
      </c>
      <c r="K20" s="341" t="n">
        <v>4630687</v>
      </c>
      <c r="L20" s="273" t="inlineStr">
        <is>
          <t>Baik</t>
        </is>
      </c>
      <c r="M20" s="342" t="n"/>
      <c r="N20" s="342" t="n"/>
      <c r="O20" s="342" t="n"/>
    </row>
    <row r="21" ht="110.1" customHeight="1" s="79">
      <c r="A21" s="398">
        <f>A20+1</f>
        <v/>
      </c>
      <c r="B21" s="615" t="inlineStr">
        <is>
          <t>PC Unit</t>
        </is>
      </c>
      <c r="C21" s="592" t="n"/>
      <c r="D21" s="401" t="inlineStr">
        <is>
          <t>Intel - Casing DE Case-LG / Pentium ® G 2020Asrock HGI-LG LED 16</t>
        </is>
      </c>
      <c r="E21" s="268" t="n"/>
      <c r="F21" s="268" t="n"/>
      <c r="G21" s="433" t="inlineStr">
        <is>
          <t>Besi Plastik</t>
        </is>
      </c>
      <c r="H21" s="398" t="n">
        <v>2013</v>
      </c>
      <c r="I21" s="398" t="inlineStr">
        <is>
          <t>02.06.03.02.001</t>
        </is>
      </c>
      <c r="J21" s="400" t="inlineStr">
        <is>
          <t>0011</t>
        </is>
      </c>
      <c r="K21" s="434" t="n">
        <v>3922641.51</v>
      </c>
      <c r="L21" s="398" t="inlineStr">
        <is>
          <t>Baik</t>
        </is>
      </c>
      <c r="M21" s="268" t="n"/>
      <c r="N21" s="268" t="n"/>
      <c r="O21" s="268" t="n"/>
    </row>
    <row r="22" ht="36" customHeight="1" s="79">
      <c r="A22" s="398">
        <f>A21+1</f>
        <v/>
      </c>
      <c r="B22" s="615" t="inlineStr">
        <is>
          <t>Meja Kerja Pejabat Eselon IV</t>
        </is>
      </c>
      <c r="C22" s="592" t="n"/>
      <c r="D22" s="401" t="inlineStr">
        <is>
          <t>SAGA / Meja Kerja</t>
        </is>
      </c>
      <c r="E22" s="268" t="n"/>
      <c r="F22" s="268" t="n"/>
      <c r="G22" s="433" t="inlineStr">
        <is>
          <t>Kayu Partikel</t>
        </is>
      </c>
      <c r="H22" s="398" t="n">
        <v>2009</v>
      </c>
      <c r="I22" s="398" t="inlineStr">
        <is>
          <t>02.06.04.01.006</t>
        </is>
      </c>
      <c r="J22" s="400" t="inlineStr">
        <is>
          <t>0016</t>
        </is>
      </c>
      <c r="K22" s="434" t="n">
        <v>400000</v>
      </c>
      <c r="L22" s="398" t="inlineStr">
        <is>
          <t>Baik</t>
        </is>
      </c>
      <c r="M22" s="268" t="n"/>
      <c r="N22" s="268" t="n"/>
      <c r="O22" s="401" t="n"/>
    </row>
    <row r="23" ht="54" customHeight="1" s="79">
      <c r="A23" s="398">
        <f>A22+1</f>
        <v/>
      </c>
      <c r="B23" s="615" t="inlineStr">
        <is>
          <t>Kursi Kerja Pejabat Eselon IV</t>
        </is>
      </c>
      <c r="C23" s="592" t="n"/>
      <c r="D23" s="401" t="inlineStr">
        <is>
          <t>BROTHER BG 510 AN / Kursi Kerja</t>
        </is>
      </c>
      <c r="E23" s="268" t="n"/>
      <c r="F23" s="268" t="n"/>
      <c r="G23" s="433" t="inlineStr">
        <is>
          <t>Kayu Partikel</t>
        </is>
      </c>
      <c r="H23" s="398" t="n">
        <v>2017</v>
      </c>
      <c r="I23" s="398" t="inlineStr">
        <is>
          <t>02.06.04.03.006</t>
        </is>
      </c>
      <c r="J23" s="400" t="inlineStr">
        <is>
          <t>0010</t>
        </is>
      </c>
      <c r="K23" s="434" t="n">
        <v>1066031</v>
      </c>
      <c r="L23" s="398" t="inlineStr">
        <is>
          <t>Baik</t>
        </is>
      </c>
      <c r="M23" s="268" t="n"/>
      <c r="N23" s="268" t="n"/>
      <c r="O23" s="268" t="n"/>
    </row>
    <row r="24" ht="18" customHeight="1" s="79">
      <c r="A24" s="214" t="n"/>
      <c r="B24" s="214" t="n"/>
      <c r="C24" s="214" t="n"/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214" t="n"/>
      <c r="M24" s="214" t="n"/>
      <c r="N24" s="214" t="n"/>
      <c r="O24" s="214" t="n"/>
    </row>
    <row r="25" ht="18" customHeight="1" s="79">
      <c r="A25" s="214" t="n"/>
      <c r="B25" s="214" t="n"/>
      <c r="C25" s="583" t="inlineStr">
        <is>
          <t>Mengetahui :</t>
        </is>
      </c>
      <c r="D25" s="213" t="n"/>
      <c r="E25" s="213" t="n"/>
      <c r="F25" s="213" t="n"/>
      <c r="G25" s="213" t="n"/>
      <c r="H25" s="213" t="n"/>
      <c r="I25" s="213" t="n"/>
      <c r="J25" s="213" t="n"/>
      <c r="K25" s="213" t="n"/>
      <c r="L25" s="583" t="inlineStr">
        <is>
          <t>Banjarmasin,     Desember 2025</t>
        </is>
      </c>
      <c r="M25" s="213" t="n"/>
      <c r="N25" s="214" t="n"/>
      <c r="O25" s="214" t="n"/>
    </row>
    <row r="26" ht="18" customHeight="1" s="79">
      <c r="A26" s="214" t="n"/>
      <c r="B26" s="214" t="n"/>
      <c r="C26" s="522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22" t="n"/>
      <c r="M26" s="214" t="n"/>
      <c r="N26" s="214" t="n"/>
      <c r="O26" s="214" t="n"/>
    </row>
    <row r="27" ht="18" customHeight="1" s="79">
      <c r="A27" s="214" t="n"/>
      <c r="B27" s="214" t="n"/>
      <c r="C27" s="5" t="inlineStr">
        <is>
          <t>Kepala Bakesbangpol Kota Banjarmasin,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5" t="inlineStr">
        <is>
          <t>Pengurus Barang,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5" t="n"/>
      <c r="M28" s="214" t="n"/>
      <c r="N28" s="214" t="n"/>
      <c r="O28" s="214" t="n"/>
    </row>
    <row r="29" ht="18" customHeight="1" s="79">
      <c r="A29" s="214" t="n"/>
      <c r="B29" s="214" t="n"/>
      <c r="C29" s="5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5" t="n"/>
      <c r="M29" s="214" t="n"/>
      <c r="N29" s="214" t="n"/>
      <c r="O29" s="214" t="n"/>
    </row>
    <row r="30" ht="18" customHeight="1" s="79">
      <c r="A30" s="214" t="n"/>
      <c r="B30" s="214" t="n"/>
      <c r="C30" s="5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5" t="n"/>
      <c r="M30" s="214" t="n"/>
      <c r="N30" s="214" t="n"/>
      <c r="O30" s="214" t="n"/>
    </row>
    <row r="31" ht="18" customHeight="1" s="79">
      <c r="A31" s="214" t="n"/>
      <c r="B31" s="214" t="n"/>
      <c r="C31" s="6" t="inlineStr">
        <is>
          <t>Dr. H. LUKMAN FADLUN, SH, MH</t>
        </is>
      </c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6" t="inlineStr">
        <is>
          <t>TRISNAWATI M ULYO HAPSARI, SE</t>
        </is>
      </c>
      <c r="M31" s="214" t="n"/>
      <c r="N31" s="214" t="n"/>
      <c r="O31" s="214" t="n"/>
    </row>
    <row r="32" ht="18" customHeight="1" s="79">
      <c r="A32" s="214" t="n"/>
      <c r="B32" s="214" t="n"/>
      <c r="C32" s="5" t="inlineStr">
        <is>
          <t>Pembina Utama Muda</t>
        </is>
      </c>
      <c r="D32" s="214" t="n"/>
      <c r="E32" s="214" t="n"/>
      <c r="F32" s="214" t="n"/>
      <c r="G32" s="214" t="n"/>
      <c r="H32" s="214" t="n"/>
      <c r="I32" s="214" t="n"/>
      <c r="J32" s="214" t="n"/>
      <c r="K32" s="214" t="n"/>
      <c r="L32" s="23" t="inlineStr">
        <is>
          <t>NIP. 19721124 200604 2 005</t>
        </is>
      </c>
      <c r="M32" s="214" t="n"/>
      <c r="N32" s="214" t="n"/>
      <c r="O32" s="214" t="n"/>
    </row>
    <row r="33" ht="18" customHeight="1" s="79">
      <c r="A33" s="214" t="n"/>
      <c r="B33" s="214" t="n"/>
      <c r="C33" s="23" t="inlineStr">
        <is>
          <t>NIP. 19691013 200003 1 004</t>
        </is>
      </c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</row>
    <row r="34">
      <c r="K34" s="24" t="n"/>
    </row>
    <row r="35">
      <c r="B35" s="21" t="n"/>
      <c r="K35" s="25" t="n"/>
    </row>
    <row r="36">
      <c r="B36" s="22" t="n"/>
    </row>
    <row r="37">
      <c r="B37" s="22" t="n"/>
    </row>
  </sheetData>
  <mergeCells count="25">
    <mergeCell ref="B16:C16"/>
    <mergeCell ref="B10:C11"/>
    <mergeCell ref="B22:C22"/>
    <mergeCell ref="B18:C18"/>
    <mergeCell ref="E10:E11"/>
    <mergeCell ref="A6:B6"/>
    <mergeCell ref="B12:C12"/>
    <mergeCell ref="F9:F11"/>
    <mergeCell ref="B21:C21"/>
    <mergeCell ref="G9:G11"/>
    <mergeCell ref="B23:C23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O45"/>
  <sheetViews>
    <sheetView view="pageBreakPreview" topLeftCell="A19" zoomScaleNormal="55" workbookViewId="0">
      <selection activeCell="O26" sqref="O26"/>
    </sheetView>
  </sheetViews>
  <sheetFormatPr baseColWidth="8" defaultRowHeight="15.75"/>
  <cols>
    <col width="5.875" customWidth="1" style="79" min="1" max="1"/>
    <col width="7" customWidth="1" style="79" min="2" max="2"/>
    <col width="17.75" customWidth="1" style="79" min="3" max="4"/>
    <col width="11.25" customWidth="1" style="79" min="5" max="5"/>
    <col width="11.5" customWidth="1" style="79" min="6" max="6"/>
    <col width="14.625" customWidth="1" style="79" min="7" max="7"/>
    <col width="18.5" customWidth="1" style="79" min="8" max="8"/>
    <col width="20.25" customWidth="1" style="79" min="9" max="9"/>
    <col width="13.625" customWidth="1" style="79" min="10" max="10"/>
    <col width="17.375" customWidth="1" style="79" min="11" max="11"/>
    <col width="14.875" customWidth="1" style="79" min="13" max="13"/>
    <col width="15.375" customWidth="1" style="79" min="14" max="14"/>
    <col width="14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512" t="inlineStr">
        <is>
          <t>Kab/Kota</t>
        </is>
      </c>
      <c r="C2" s="331" t="inlineStr">
        <is>
          <t>Kota Banjarmasin</t>
        </is>
      </c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Propinsi</t>
        </is>
      </c>
      <c r="C3" s="331" t="inlineStr">
        <is>
          <t>Kalimantan Selatan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Satuan Kerja</t>
        </is>
      </c>
      <c r="C4" s="331" t="inlineStr">
        <is>
          <t>Badan Kesatuan Bangsa dan Politik Kota Banjarmasin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Ruangan</t>
        </is>
      </c>
      <c r="C5" s="331" t="inlineStr">
        <is>
          <t>RAPAT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331" t="n"/>
      <c r="B6" s="331" t="n"/>
      <c r="C6" s="331" t="n"/>
      <c r="D6" s="214" t="n"/>
      <c r="E6" s="214" t="n"/>
      <c r="F6" s="214" t="n"/>
      <c r="G6" s="214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inlineStr">
        <is>
          <t xml:space="preserve">NO.KODE LOKASI : </t>
        </is>
      </c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500" t="inlineStr">
        <is>
          <t>No.</t>
        </is>
      </c>
      <c r="B8" s="500" t="inlineStr">
        <is>
          <t>Nama Barang</t>
        </is>
      </c>
      <c r="C8" s="589" t="n"/>
      <c r="D8" s="500" t="inlineStr">
        <is>
          <t>Merk/</t>
        </is>
      </c>
      <c r="E8" s="500" t="inlineStr">
        <is>
          <t>No. Seri</t>
        </is>
      </c>
      <c r="F8" s="585" t="inlineStr">
        <is>
          <t>Ukuran</t>
        </is>
      </c>
      <c r="G8" s="585" t="inlineStr">
        <is>
          <t>Bahan</t>
        </is>
      </c>
      <c r="H8" s="500" t="inlineStr">
        <is>
          <t xml:space="preserve">Tahun </t>
        </is>
      </c>
      <c r="I8" s="500" t="n"/>
      <c r="J8" s="500" t="inlineStr">
        <is>
          <t xml:space="preserve">Jumlah </t>
        </is>
      </c>
      <c r="K8" s="500" t="inlineStr">
        <is>
          <t xml:space="preserve">Harga </t>
        </is>
      </c>
      <c r="L8" s="494" t="inlineStr">
        <is>
          <t xml:space="preserve">Keadaan Barang </t>
        </is>
      </c>
      <c r="M8" s="591" t="n"/>
      <c r="N8" s="592" t="n"/>
      <c r="O8" s="500" t="inlineStr">
        <is>
          <t>Keterangan</t>
        </is>
      </c>
    </row>
    <row r="9" ht="18" customHeight="1" s="79">
      <c r="A9" s="491" t="inlineStr">
        <is>
          <t>Urut</t>
        </is>
      </c>
      <c r="B9" s="491" t="inlineStr">
        <is>
          <t>Jenis Barang</t>
        </is>
      </c>
      <c r="C9" s="593" t="n"/>
      <c r="D9" s="491" t="inlineStr">
        <is>
          <t>Model</t>
        </is>
      </c>
      <c r="E9" s="491" t="inlineStr">
        <is>
          <t>Pabrik</t>
        </is>
      </c>
      <c r="F9" s="594" t="n"/>
      <c r="G9" s="594" t="n"/>
      <c r="H9" s="504" t="inlineStr">
        <is>
          <t>Pembuatan</t>
        </is>
      </c>
      <c r="I9" s="504" t="inlineStr">
        <is>
          <t xml:space="preserve">No. Kode Barang </t>
        </is>
      </c>
      <c r="J9" s="504" t="inlineStr">
        <is>
          <t>Barang</t>
        </is>
      </c>
      <c r="K9" s="504" t="inlineStr">
        <is>
          <t>Beli/</t>
        </is>
      </c>
      <c r="L9" s="504" t="inlineStr">
        <is>
          <t>Baik</t>
        </is>
      </c>
      <c r="M9" s="504" t="inlineStr">
        <is>
          <t>Kurang Baik</t>
        </is>
      </c>
      <c r="N9" s="504" t="inlineStr">
        <is>
          <t>Rusak Berat</t>
        </is>
      </c>
      <c r="O9" s="482" t="inlineStr">
        <is>
          <t>Mutasi dll</t>
        </is>
      </c>
    </row>
    <row r="10" ht="18" customHeight="1" s="79">
      <c r="A10" s="595" t="n"/>
      <c r="B10" s="596" t="n"/>
      <c r="C10" s="597" t="n"/>
      <c r="D10" s="595" t="n"/>
      <c r="E10" s="595" t="n"/>
      <c r="F10" s="595" t="n"/>
      <c r="G10" s="595" t="n"/>
      <c r="H10" s="501" t="inlineStr">
        <is>
          <t>Atau Pembelian</t>
        </is>
      </c>
      <c r="I10" s="501" t="n"/>
      <c r="J10" s="501" t="inlineStr">
        <is>
          <t>Register x)</t>
        </is>
      </c>
      <c r="K10" s="501" t="inlineStr">
        <is>
          <t>Perolehan</t>
        </is>
      </c>
      <c r="L10" s="501" t="inlineStr">
        <is>
          <t>(B)</t>
        </is>
      </c>
      <c r="M10" s="501" t="inlineStr">
        <is>
          <t>(KB)</t>
        </is>
      </c>
      <c r="N10" s="501" t="inlineStr">
        <is>
          <t>(RB)</t>
        </is>
      </c>
      <c r="O10" s="595" t="n"/>
    </row>
    <row r="11" ht="18" customHeight="1" s="79">
      <c r="A11" s="263" t="n">
        <v>1</v>
      </c>
      <c r="B11" s="263" t="n">
        <v>2</v>
      </c>
      <c r="C11" s="592" t="n"/>
      <c r="D11" s="481" t="n">
        <v>3</v>
      </c>
      <c r="E11" s="481" t="n">
        <v>4</v>
      </c>
      <c r="F11" s="490" t="n">
        <v>5</v>
      </c>
      <c r="G11" s="490" t="n">
        <v>6</v>
      </c>
      <c r="H11" s="504" t="n">
        <v>7</v>
      </c>
      <c r="I11" s="504" t="n">
        <v>8</v>
      </c>
      <c r="J11" s="504" t="n">
        <v>9</v>
      </c>
      <c r="K11" s="504" t="n">
        <v>10</v>
      </c>
      <c r="L11" s="504" t="n">
        <v>11</v>
      </c>
      <c r="M11" s="504" t="n">
        <v>12</v>
      </c>
      <c r="N11" s="504" t="n">
        <v>13</v>
      </c>
      <c r="O11" s="481" t="n">
        <v>14</v>
      </c>
    </row>
    <row r="12" ht="36" customHeight="1" s="79">
      <c r="A12" s="398" t="n">
        <v>1</v>
      </c>
      <c r="B12" s="615" t="inlineStr">
        <is>
          <t>Lemari Kayu</t>
        </is>
      </c>
      <c r="C12" s="592" t="n"/>
      <c r="D12" s="401" t="inlineStr">
        <is>
          <t>Lokal /                 Hand Made</t>
        </is>
      </c>
      <c r="E12" s="399" t="n"/>
      <c r="F12" s="399" t="n"/>
      <c r="G12" s="433" t="inlineStr">
        <is>
          <t>Kayu/ Playwood</t>
        </is>
      </c>
      <c r="H12" s="398" t="n">
        <v>2020</v>
      </c>
      <c r="I12" s="398" t="inlineStr">
        <is>
          <t>02.06.02.01.001</t>
        </is>
      </c>
      <c r="J12" s="400" t="inlineStr">
        <is>
          <t>0001</t>
        </is>
      </c>
      <c r="K12" s="434" t="n">
        <v>84403000</v>
      </c>
      <c r="L12" s="398" t="inlineStr">
        <is>
          <t>Baik</t>
        </is>
      </c>
      <c r="M12" s="399" t="n"/>
      <c r="N12" s="399" t="n"/>
      <c r="O12" s="399" t="n"/>
    </row>
    <row r="13" ht="36" customHeight="1" s="79">
      <c r="A13" s="398">
        <f>A12+1</f>
        <v/>
      </c>
      <c r="B13" s="615" t="inlineStr">
        <is>
          <t>AC Unit</t>
        </is>
      </c>
      <c r="C13" s="592" t="n"/>
      <c r="D13" s="401" t="inlineStr">
        <is>
          <t>Daikin / FTNE25JEV14</t>
        </is>
      </c>
      <c r="E13" s="399" t="n"/>
      <c r="F13" s="399" t="n"/>
      <c r="G13" s="398" t="inlineStr">
        <is>
          <t>Besi Plastik</t>
        </is>
      </c>
      <c r="H13" s="433" t="inlineStr">
        <is>
          <t xml:space="preserve">2016                                    1 PK             </t>
        </is>
      </c>
      <c r="I13" s="398" t="inlineStr">
        <is>
          <t>02.06.02.04.003</t>
        </is>
      </c>
      <c r="J13" s="400" t="inlineStr">
        <is>
          <t>0012</t>
        </is>
      </c>
      <c r="K13" s="343">
        <f>5000000/2</f>
        <v/>
      </c>
      <c r="L13" s="398" t="inlineStr">
        <is>
          <t>Baik</t>
        </is>
      </c>
      <c r="M13" s="399" t="n"/>
      <c r="N13" s="399" t="n"/>
      <c r="O13" s="399" t="n"/>
    </row>
    <row r="14" ht="36" customHeight="1" s="79">
      <c r="A14" s="398">
        <f>A13+1</f>
        <v/>
      </c>
      <c r="B14" s="615" t="inlineStr">
        <is>
          <t>AC Unit</t>
        </is>
      </c>
      <c r="C14" s="592" t="n"/>
      <c r="D14" s="401" t="inlineStr">
        <is>
          <t>Daikin / FTV25CXV</t>
        </is>
      </c>
      <c r="E14" s="399" t="n"/>
      <c r="F14" s="399" t="n"/>
      <c r="G14" s="398" t="n"/>
      <c r="H14" s="398" t="n">
        <v>2020</v>
      </c>
      <c r="I14" s="398" t="inlineStr">
        <is>
          <t>02.06.02.04.003</t>
        </is>
      </c>
      <c r="J14" s="400" t="inlineStr">
        <is>
          <t>0016</t>
        </is>
      </c>
      <c r="K14" s="343">
        <f>32663710/4</f>
        <v/>
      </c>
      <c r="L14" s="398" t="inlineStr">
        <is>
          <t>Baik</t>
        </is>
      </c>
      <c r="M14" s="399" t="n"/>
      <c r="N14" s="399" t="n"/>
      <c r="O14" s="399" t="n"/>
    </row>
    <row r="15" ht="36" customHeight="1" s="79">
      <c r="A15" s="398">
        <f>A14+1</f>
        <v/>
      </c>
      <c r="B15" s="615" t="inlineStr">
        <is>
          <t>Televisi</t>
        </is>
      </c>
      <c r="C15" s="592" t="n"/>
      <c r="D15" s="401" t="inlineStr">
        <is>
          <t>Samsung./ 43n5001</t>
        </is>
      </c>
      <c r="E15" s="268" t="n"/>
      <c r="F15" s="268" t="n"/>
      <c r="G15" s="398" t="n"/>
      <c r="H15" s="398" t="n">
        <v>2020</v>
      </c>
      <c r="I15" s="398" t="inlineStr">
        <is>
          <t>02.06.02.06.003</t>
        </is>
      </c>
      <c r="J15" s="400" t="inlineStr">
        <is>
          <t>0007</t>
        </is>
      </c>
      <c r="K15" s="434">
        <f>16532240/3</f>
        <v/>
      </c>
      <c r="L15" s="398" t="inlineStr">
        <is>
          <t>Baik</t>
        </is>
      </c>
      <c r="M15" s="268" t="n"/>
      <c r="N15" s="268" t="n"/>
      <c r="O15" s="401" t="n"/>
    </row>
    <row r="16" ht="36" customHeight="1" s="79">
      <c r="A16" s="398">
        <f>A15+1</f>
        <v/>
      </c>
      <c r="B16" s="615" t="inlineStr">
        <is>
          <t>Sound System</t>
        </is>
      </c>
      <c r="C16" s="592" t="n"/>
      <c r="D16" s="338" t="inlineStr">
        <is>
          <t>Soundqueen/ SK210</t>
        </is>
      </c>
      <c r="E16" s="399" t="n"/>
      <c r="F16" s="399" t="n"/>
      <c r="G16" s="398" t="n"/>
      <c r="H16" s="398" t="n">
        <v>2020</v>
      </c>
      <c r="I16" s="398" t="inlineStr">
        <is>
          <t>02.06.02.06.008</t>
        </is>
      </c>
      <c r="J16" s="400" t="inlineStr">
        <is>
          <t>0002 s/d 0003</t>
        </is>
      </c>
      <c r="K16" s="434" t="n">
        <v>7013680</v>
      </c>
      <c r="L16" s="398" t="inlineStr">
        <is>
          <t>Baik</t>
        </is>
      </c>
      <c r="M16" s="399" t="n"/>
      <c r="N16" s="399" t="n"/>
      <c r="O16" s="399" t="n"/>
    </row>
    <row r="17" ht="18" customHeight="1" s="79">
      <c r="A17" s="398">
        <f>A16+1</f>
        <v/>
      </c>
      <c r="B17" s="615" t="inlineStr">
        <is>
          <t>Meja Rapat Pejabat Lain-Lain</t>
        </is>
      </c>
      <c r="C17" s="592" t="n"/>
      <c r="D17" s="401" t="inlineStr">
        <is>
          <t>GALANT / -</t>
        </is>
      </c>
      <c r="E17" s="399" t="n"/>
      <c r="F17" s="399" t="n"/>
      <c r="G17" s="433" t="n"/>
      <c r="H17" s="398" t="n">
        <v>2020</v>
      </c>
      <c r="I17" s="398" t="inlineStr">
        <is>
          <t>02.06.04.02.14</t>
        </is>
      </c>
      <c r="J17" s="400" t="inlineStr">
        <is>
          <t>0001</t>
        </is>
      </c>
      <c r="K17" s="434" t="n">
        <v>4125800</v>
      </c>
      <c r="L17" s="398" t="inlineStr">
        <is>
          <t>Baik</t>
        </is>
      </c>
      <c r="M17" s="399" t="n"/>
      <c r="N17" s="399" t="n"/>
      <c r="O17" s="399" t="n"/>
    </row>
    <row r="18" ht="18" customHeight="1" s="79">
      <c r="A18" s="398">
        <f>A17+1</f>
        <v/>
      </c>
      <c r="B18" s="615" t="inlineStr">
        <is>
          <t>Kursi Rapat</t>
        </is>
      </c>
      <c r="C18" s="592" t="n"/>
      <c r="D18" s="401" t="inlineStr">
        <is>
          <t>Indachi / D 910</t>
        </is>
      </c>
      <c r="E18" s="399" t="n"/>
      <c r="F18" s="399" t="n"/>
      <c r="G18" s="433" t="inlineStr">
        <is>
          <t>Besi dan Plastik</t>
        </is>
      </c>
      <c r="H18" s="398" t="n">
        <v>2014</v>
      </c>
      <c r="I18" s="398" t="inlineStr">
        <is>
          <t>02.06.02.01.027</t>
        </is>
      </c>
      <c r="J18" s="400" t="inlineStr">
        <is>
          <t>0010</t>
        </is>
      </c>
      <c r="K18" s="434" t="n">
        <v>743915</v>
      </c>
      <c r="L18" s="398" t="inlineStr">
        <is>
          <t>Baik</t>
        </is>
      </c>
      <c r="M18" s="399" t="n"/>
      <c r="N18" s="399" t="n"/>
      <c r="O18" s="399" t="n"/>
    </row>
    <row r="19" ht="18" customHeight="1" s="79">
      <c r="A19" s="398">
        <f>A18+1</f>
        <v/>
      </c>
      <c r="B19" s="615" t="inlineStr">
        <is>
          <t>Kursi Rapat</t>
        </is>
      </c>
      <c r="C19" s="592" t="n"/>
      <c r="D19" s="401" t="inlineStr">
        <is>
          <t>Indachi / D 910</t>
        </is>
      </c>
      <c r="E19" s="399" t="n"/>
      <c r="F19" s="399" t="n"/>
      <c r="G19" s="433" t="inlineStr">
        <is>
          <t>Besi dan Plastik</t>
        </is>
      </c>
      <c r="H19" s="398" t="n">
        <v>2014</v>
      </c>
      <c r="I19" s="398" t="inlineStr">
        <is>
          <t>02.06.02.01.027</t>
        </is>
      </c>
      <c r="J19" s="400" t="inlineStr">
        <is>
          <t>0012</t>
        </is>
      </c>
      <c r="K19" s="434" t="n">
        <v>743915</v>
      </c>
      <c r="L19" s="398" t="inlineStr">
        <is>
          <t>Baik</t>
        </is>
      </c>
      <c r="M19" s="399" t="n"/>
      <c r="N19" s="399" t="n"/>
      <c r="O19" s="399" t="n"/>
    </row>
    <row r="20" ht="18" customHeight="1" s="79">
      <c r="A20" s="398">
        <f>A19+1</f>
        <v/>
      </c>
      <c r="B20" s="615" t="inlineStr">
        <is>
          <t>Kursi Rapat</t>
        </is>
      </c>
      <c r="C20" s="592" t="n"/>
      <c r="D20" s="401" t="inlineStr">
        <is>
          <t>Indachi / D 910</t>
        </is>
      </c>
      <c r="E20" s="399" t="n"/>
      <c r="F20" s="399" t="n"/>
      <c r="G20" s="433" t="inlineStr">
        <is>
          <t>Besi dan Plastik</t>
        </is>
      </c>
      <c r="H20" s="398" t="n">
        <v>2014</v>
      </c>
      <c r="I20" s="398" t="inlineStr">
        <is>
          <t>02.06.02.01.027</t>
        </is>
      </c>
      <c r="J20" s="400" t="n"/>
      <c r="K20" s="434" t="n">
        <v>743915</v>
      </c>
      <c r="L20" s="398" t="inlineStr">
        <is>
          <t>Baik</t>
        </is>
      </c>
      <c r="M20" s="399" t="n"/>
      <c r="N20" s="399" t="n"/>
      <c r="O20" s="399" t="n"/>
    </row>
    <row r="21" ht="36" customHeight="1" s="79">
      <c r="A21" s="398">
        <f>A20+1</f>
        <v/>
      </c>
      <c r="B21" s="615" t="inlineStr">
        <is>
          <t>Kursi Putar</t>
        </is>
      </c>
      <c r="C21" s="592" t="n"/>
      <c r="D21" s="401" t="inlineStr">
        <is>
          <t>USHUTO / Kursi Kerja 6033</t>
        </is>
      </c>
      <c r="E21" s="399" t="n"/>
      <c r="F21" s="399" t="n"/>
      <c r="G21" s="433" t="inlineStr">
        <is>
          <t>Besi Plastik</t>
        </is>
      </c>
      <c r="H21" s="398" t="n">
        <v>2013</v>
      </c>
      <c r="I21" s="398" t="inlineStr">
        <is>
          <t>02.06.02.01.030</t>
        </is>
      </c>
      <c r="J21" s="400" t="inlineStr">
        <is>
          <t>0026</t>
        </is>
      </c>
      <c r="K21" s="434" t="n">
        <v>486971.68</v>
      </c>
      <c r="L21" s="398" t="inlineStr">
        <is>
          <t>Baik</t>
        </is>
      </c>
      <c r="M21" s="399" t="n"/>
      <c r="N21" s="399" t="n"/>
      <c r="O21" s="399" t="n"/>
    </row>
    <row r="22" ht="18" customHeight="1" s="79">
      <c r="A22" s="398">
        <f>A21+1</f>
        <v/>
      </c>
      <c r="B22" s="615" t="inlineStr">
        <is>
          <t>Kursi Putar</t>
        </is>
      </c>
      <c r="C22" s="592" t="n"/>
      <c r="D22" s="401" t="inlineStr">
        <is>
          <t>Indachi / D 920</t>
        </is>
      </c>
      <c r="E22" s="399" t="n"/>
      <c r="F22" s="399" t="n"/>
      <c r="G22" s="433" t="inlineStr">
        <is>
          <t>Besi Plastik</t>
        </is>
      </c>
      <c r="H22" s="398" t="n">
        <v>2014</v>
      </c>
      <c r="I22" s="398" t="inlineStr">
        <is>
          <t>02.06.02.01.030</t>
        </is>
      </c>
      <c r="J22" s="400" t="inlineStr">
        <is>
          <t>0034</t>
        </is>
      </c>
      <c r="K22" s="434" t="n">
        <v>794179</v>
      </c>
      <c r="L22" s="398" t="inlineStr">
        <is>
          <t>Baik</t>
        </is>
      </c>
      <c r="M22" s="399" t="n"/>
      <c r="N22" s="399" t="n"/>
      <c r="O22" s="399" t="n"/>
    </row>
    <row r="23" ht="18" customHeight="1" s="79">
      <c r="A23" s="398">
        <f>A22+1</f>
        <v/>
      </c>
      <c r="B23" s="615" t="inlineStr">
        <is>
          <t>Kursi Putar</t>
        </is>
      </c>
      <c r="C23" s="592" t="n"/>
      <c r="D23" s="401" t="inlineStr">
        <is>
          <t>Indachi / D 920</t>
        </is>
      </c>
      <c r="E23" s="399" t="n"/>
      <c r="F23" s="399" t="n"/>
      <c r="G23" s="433" t="inlineStr">
        <is>
          <t>Besi Plastik</t>
        </is>
      </c>
      <c r="H23" s="398" t="n">
        <v>2014</v>
      </c>
      <c r="I23" s="398" t="inlineStr">
        <is>
          <t>02.06.02.01.030</t>
        </is>
      </c>
      <c r="J23" s="400" t="inlineStr">
        <is>
          <t>0039</t>
        </is>
      </c>
      <c r="K23" s="434" t="n">
        <v>794179</v>
      </c>
      <c r="L23" s="398" t="inlineStr">
        <is>
          <t>Baik</t>
        </is>
      </c>
      <c r="M23" s="399" t="n"/>
      <c r="N23" s="399" t="n"/>
      <c r="O23" s="399" t="n"/>
    </row>
    <row r="24" ht="18" customHeight="1" s="79">
      <c r="A24" s="398">
        <f>A23+1</f>
        <v/>
      </c>
      <c r="B24" s="615" t="inlineStr">
        <is>
          <t>Kursi Putar</t>
        </is>
      </c>
      <c r="C24" s="592" t="n"/>
      <c r="D24" s="401" t="inlineStr">
        <is>
          <t>Indachi / D 920</t>
        </is>
      </c>
      <c r="E24" s="399" t="n"/>
      <c r="F24" s="399" t="n"/>
      <c r="G24" s="433" t="inlineStr">
        <is>
          <t>Besi Plastik</t>
        </is>
      </c>
      <c r="H24" s="398" t="n">
        <v>2014</v>
      </c>
      <c r="I24" s="398" t="inlineStr">
        <is>
          <t>02.06.02.01.030</t>
        </is>
      </c>
      <c r="J24" s="400" t="inlineStr">
        <is>
          <t>0040</t>
        </is>
      </c>
      <c r="K24" s="434" t="n">
        <v>794179</v>
      </c>
      <c r="L24" s="398" t="inlineStr">
        <is>
          <t>Baik</t>
        </is>
      </c>
      <c r="M24" s="399" t="n"/>
      <c r="N24" s="399" t="n"/>
      <c r="O24" s="399" t="n"/>
    </row>
    <row r="25" ht="18" customHeight="1" s="79">
      <c r="A25" s="398">
        <f>A24+1</f>
        <v/>
      </c>
      <c r="B25" s="615" t="inlineStr">
        <is>
          <t>Kursi Putar</t>
        </is>
      </c>
      <c r="C25" s="592" t="n"/>
      <c r="D25" s="401" t="inlineStr">
        <is>
          <t>Indachi / D 920</t>
        </is>
      </c>
      <c r="E25" s="399" t="n"/>
      <c r="F25" s="399" t="n"/>
      <c r="G25" s="433" t="inlineStr">
        <is>
          <t>Besi Plastik</t>
        </is>
      </c>
      <c r="H25" s="398" t="n">
        <v>2014</v>
      </c>
      <c r="I25" s="398" t="inlineStr">
        <is>
          <t>02.06.02.01.030</t>
        </is>
      </c>
      <c r="J25" s="400" t="inlineStr">
        <is>
          <t>0043</t>
        </is>
      </c>
      <c r="K25" s="434" t="n">
        <v>794179</v>
      </c>
      <c r="L25" s="398" t="inlineStr">
        <is>
          <t>Baik</t>
        </is>
      </c>
      <c r="M25" s="399" t="n"/>
      <c r="N25" s="399" t="n"/>
      <c r="O25" s="399" t="n"/>
    </row>
    <row r="26" ht="50.25" customHeight="1" s="79">
      <c r="A26" s="374">
        <f>A25+1</f>
        <v/>
      </c>
      <c r="B26" s="619" t="inlineStr">
        <is>
          <t>Kursi Putar</t>
        </is>
      </c>
      <c r="C26" s="592" t="n"/>
      <c r="D26" s="375" t="inlineStr">
        <is>
          <t>Indachi / D 920</t>
        </is>
      </c>
      <c r="E26" s="379" t="n"/>
      <c r="F26" s="379" t="n"/>
      <c r="G26" s="381" t="inlineStr">
        <is>
          <t>Besi Plastik</t>
        </is>
      </c>
      <c r="H26" s="374" t="n">
        <v>2014</v>
      </c>
      <c r="I26" s="374" t="inlineStr">
        <is>
          <t>02.06.02.01.030</t>
        </is>
      </c>
      <c r="J26" s="377" t="inlineStr">
        <is>
          <t>0044</t>
        </is>
      </c>
      <c r="K26" s="382" t="n">
        <v>794179</v>
      </c>
      <c r="L26" s="374" t="inlineStr">
        <is>
          <t>Baik</t>
        </is>
      </c>
      <c r="M26" s="379" t="n"/>
      <c r="N26" s="379" t="n"/>
      <c r="O26" s="414" t="inlineStr">
        <is>
          <t>barang sudah dipindahkan</t>
        </is>
      </c>
    </row>
    <row r="27" ht="18" customHeight="1" s="79">
      <c r="A27" s="398">
        <f>A26+1</f>
        <v/>
      </c>
      <c r="B27" s="615" t="inlineStr">
        <is>
          <t>Kursi Putar</t>
        </is>
      </c>
      <c r="C27" s="592" t="n"/>
      <c r="D27" s="401" t="inlineStr">
        <is>
          <t>Indachi / D 920</t>
        </is>
      </c>
      <c r="E27" s="399" t="n"/>
      <c r="F27" s="399" t="n"/>
      <c r="G27" s="433" t="inlineStr">
        <is>
          <t>Besi Plastik</t>
        </is>
      </c>
      <c r="H27" s="398" t="n">
        <v>2014</v>
      </c>
      <c r="I27" s="398" t="inlineStr">
        <is>
          <t>02.06.02.01.030</t>
        </is>
      </c>
      <c r="J27" s="400" t="n"/>
      <c r="K27" s="434" t="n">
        <v>794179</v>
      </c>
      <c r="L27" s="398" t="inlineStr">
        <is>
          <t>Baik</t>
        </is>
      </c>
      <c r="M27" s="399" t="n"/>
      <c r="N27" s="399" t="n"/>
      <c r="O27" s="399" t="n"/>
    </row>
    <row r="28" ht="36" customHeight="1" s="79">
      <c r="A28" s="398">
        <f>A27+1</f>
        <v/>
      </c>
      <c r="B28" s="615" t="inlineStr">
        <is>
          <t>Kursi Kerja Pejabat Eselon IV</t>
        </is>
      </c>
      <c r="C28" s="592" t="n"/>
      <c r="D28" s="401" t="inlineStr">
        <is>
          <t>Tiger T98 AH / Esselon IV</t>
        </is>
      </c>
      <c r="E28" s="268" t="n"/>
      <c r="F28" s="268" t="n"/>
      <c r="G28" s="398" t="inlineStr">
        <is>
          <t>Besi Plastik</t>
        </is>
      </c>
      <c r="H28" s="398" t="n">
        <v>2011</v>
      </c>
      <c r="I28" s="398" t="inlineStr">
        <is>
          <t>02.06.04.03.006</t>
        </is>
      </c>
      <c r="J28" s="400" t="inlineStr">
        <is>
          <t>0004</t>
        </is>
      </c>
      <c r="K28" s="270" t="n">
        <v>1755000</v>
      </c>
      <c r="L28" s="398" t="inlineStr">
        <is>
          <t>Baik</t>
        </is>
      </c>
      <c r="M28" s="268" t="n"/>
      <c r="N28" s="268" t="n"/>
      <c r="O28" s="268" t="n"/>
    </row>
    <row r="29" ht="54" customHeight="1" s="79">
      <c r="A29" s="398">
        <f>A28+1</f>
        <v/>
      </c>
      <c r="B29" s="615" t="inlineStr">
        <is>
          <t>Kursi Kerja Pejabat Eselon IV</t>
        </is>
      </c>
      <c r="C29" s="592" t="n"/>
      <c r="D29" s="401" t="inlineStr">
        <is>
          <t>BROTHER BG 510 An / Kursi Kerja</t>
        </is>
      </c>
      <c r="E29" s="268" t="n"/>
      <c r="F29" s="268" t="n"/>
      <c r="G29" s="398" t="inlineStr">
        <is>
          <t>Kayu Partikel</t>
        </is>
      </c>
      <c r="H29" s="398" t="n">
        <v>2017</v>
      </c>
      <c r="I29" s="398" t="inlineStr">
        <is>
          <t>02.06.04.03.006</t>
        </is>
      </c>
      <c r="J29" s="400" t="inlineStr">
        <is>
          <t>0009</t>
        </is>
      </c>
      <c r="K29" s="270" t="n">
        <v>1066031</v>
      </c>
      <c r="L29" s="398" t="inlineStr">
        <is>
          <t>Baik</t>
        </is>
      </c>
      <c r="M29" s="268" t="n"/>
      <c r="N29" s="268" t="n"/>
      <c r="O29" s="268" t="n"/>
    </row>
    <row r="30" ht="36" customHeight="1" s="79">
      <c r="A30" s="398">
        <f>A29+1</f>
        <v/>
      </c>
      <c r="B30" s="615" t="inlineStr">
        <is>
          <t>Kursi Rapat Pejabat Lain-lain</t>
        </is>
      </c>
      <c r="C30" s="592" t="n"/>
      <c r="D30" s="401" t="inlineStr">
        <is>
          <t>Matrix KSS-01 /-</t>
        </is>
      </c>
      <c r="E30" s="399" t="n"/>
      <c r="F30" s="399" t="n"/>
      <c r="G30" s="398" t="n"/>
      <c r="H30" s="398" t="n">
        <v>2020</v>
      </c>
      <c r="I30" s="398" t="inlineStr">
        <is>
          <t>02.06.04.04.008</t>
        </is>
      </c>
      <c r="J30" s="400" t="inlineStr">
        <is>
          <t>0001 s/d 0030</t>
        </is>
      </c>
      <c r="K30" s="434" t="n">
        <v>9468480</v>
      </c>
      <c r="L30" s="398" t="inlineStr">
        <is>
          <t>Baik</t>
        </is>
      </c>
      <c r="M30" s="399" t="n"/>
      <c r="N30" s="399" t="n"/>
      <c r="O30" s="399" t="n"/>
    </row>
    <row r="31" ht="36" customHeight="1" s="79">
      <c r="A31" s="417">
        <f>A30+1</f>
        <v/>
      </c>
      <c r="B31" s="515" t="inlineStr">
        <is>
          <t>Proyektor + Attachment</t>
        </is>
      </c>
      <c r="C31" s="592" t="n"/>
      <c r="D31" s="418" t="inlineStr">
        <is>
          <t>INFOCUS / INI24STX</t>
        </is>
      </c>
      <c r="E31" s="419" t="n"/>
      <c r="F31" s="419" t="n"/>
      <c r="G31" s="420" t="inlineStr">
        <is>
          <t>Besi Plastik</t>
        </is>
      </c>
      <c r="H31" s="417" t="n">
        <v>2019</v>
      </c>
      <c r="I31" s="417" t="inlineStr">
        <is>
          <t>02.07.01.01.003</t>
        </is>
      </c>
      <c r="J31" s="421" t="inlineStr">
        <is>
          <t>0002</t>
        </is>
      </c>
      <c r="K31" s="422" t="n">
        <v>15090000</v>
      </c>
      <c r="L31" s="417" t="inlineStr">
        <is>
          <t>Baik</t>
        </is>
      </c>
      <c r="M31" s="417" t="n"/>
      <c r="N31" s="419" t="n"/>
      <c r="O31" s="418" t="inlineStr">
        <is>
          <t>barang dipinjam bidang</t>
        </is>
      </c>
    </row>
    <row r="32" ht="36" customHeight="1" s="79">
      <c r="A32" s="425" t="n">
        <v>21</v>
      </c>
      <c r="B32" s="620" t="inlineStr">
        <is>
          <t>Filling kabinet</t>
        </is>
      </c>
      <c r="C32" s="592" t="n"/>
      <c r="D32" s="423" t="inlineStr">
        <is>
          <t>BROTHER</t>
        </is>
      </c>
      <c r="E32" s="272" t="n"/>
      <c r="F32" s="272" t="n"/>
      <c r="G32" s="340" t="inlineStr">
        <is>
          <t>Besi</t>
        </is>
      </c>
      <c r="H32" s="273" t="n">
        <v>2014</v>
      </c>
      <c r="I32" s="273" t="inlineStr">
        <is>
          <t>02.06.01.04.004</t>
        </is>
      </c>
      <c r="J32" s="424" t="inlineStr">
        <is>
          <t>0013</t>
        </is>
      </c>
      <c r="K32" s="341" t="n"/>
      <c r="L32" s="273" t="inlineStr">
        <is>
          <t>Baik</t>
        </is>
      </c>
      <c r="M32" s="273" t="n"/>
      <c r="N32" s="272" t="n"/>
      <c r="O32" s="271" t="n"/>
    </row>
    <row r="33" ht="18" customHeight="1" s="79">
      <c r="A33" s="214" t="n"/>
      <c r="B33" s="213" t="n"/>
      <c r="C33" s="583" t="inlineStr">
        <is>
          <t>Mengetahui :</t>
        </is>
      </c>
      <c r="D33" s="213" t="n"/>
      <c r="E33" s="213" t="n"/>
      <c r="F33" s="213" t="n"/>
      <c r="G33" s="213" t="n"/>
      <c r="H33" s="213" t="n"/>
      <c r="I33" s="213" t="n"/>
      <c r="J33" s="213" t="n"/>
      <c r="K33" s="213" t="n"/>
      <c r="L33" s="583" t="inlineStr">
        <is>
          <t>Banjarmasin,    Dersember 2025</t>
        </is>
      </c>
      <c r="M33" s="213" t="n"/>
      <c r="N33" s="214" t="n"/>
      <c r="O33" s="214" t="n"/>
    </row>
    <row r="34" ht="18" customHeight="1" s="79">
      <c r="A34" s="214" t="n"/>
      <c r="B34" s="214" t="n"/>
      <c r="C34" s="522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522" t="n"/>
      <c r="M34" s="214" t="n"/>
      <c r="N34" s="214" t="n"/>
      <c r="O34" s="214" t="n"/>
    </row>
    <row r="35" ht="18" customHeight="1" s="79">
      <c r="A35" s="214" t="n"/>
      <c r="B35" s="214" t="n"/>
      <c r="C35" s="5" t="inlineStr">
        <is>
          <t>Kepala Bakesbangpol Kota Banjarmasin,</t>
        </is>
      </c>
      <c r="D35" s="214" t="n"/>
      <c r="E35" s="214" t="n"/>
      <c r="F35" s="214" t="n"/>
      <c r="G35" s="214" t="n"/>
      <c r="H35" s="214" t="n"/>
      <c r="I35" s="214" t="n"/>
      <c r="J35" s="214" t="n"/>
      <c r="K35" s="214" t="n"/>
      <c r="L35" s="5" t="inlineStr">
        <is>
          <t>Pengurus Barang</t>
        </is>
      </c>
      <c r="M35" s="214" t="n"/>
      <c r="N35" s="214" t="n"/>
      <c r="O35" s="214" t="n"/>
    </row>
    <row r="36" ht="18" customHeight="1" s="79">
      <c r="A36" s="214" t="n"/>
      <c r="B36" s="214" t="n"/>
      <c r="C36" s="5" t="n"/>
      <c r="D36" s="214" t="n"/>
      <c r="E36" s="214" t="n"/>
      <c r="F36" s="214" t="n"/>
      <c r="G36" s="214" t="n"/>
      <c r="H36" s="214" t="n"/>
      <c r="I36" s="214" t="n"/>
      <c r="J36" s="214" t="n"/>
      <c r="K36" s="214" t="n"/>
      <c r="L36" s="5" t="n"/>
      <c r="M36" s="214" t="n"/>
      <c r="N36" s="214" t="n"/>
      <c r="O36" s="214" t="n"/>
    </row>
    <row r="37" ht="18" customHeight="1" s="79">
      <c r="A37" s="214" t="n"/>
      <c r="B37" s="214" t="n"/>
      <c r="C37" s="5" t="n"/>
      <c r="D37" s="214" t="n"/>
      <c r="E37" s="214" t="n"/>
      <c r="F37" s="214" t="n"/>
      <c r="G37" s="214" t="n"/>
      <c r="H37" s="214" t="n"/>
      <c r="I37" s="214" t="n"/>
      <c r="J37" s="214" t="n"/>
      <c r="K37" s="214" t="n"/>
      <c r="L37" s="5" t="n"/>
      <c r="M37" s="214" t="n"/>
      <c r="N37" s="214" t="n"/>
      <c r="O37" s="214" t="n"/>
    </row>
    <row r="38" ht="18" customHeight="1" s="79">
      <c r="A38" s="214" t="n"/>
      <c r="B38" s="214" t="n"/>
      <c r="C38" s="5" t="n"/>
      <c r="D38" s="214" t="n"/>
      <c r="E38" s="214" t="n"/>
      <c r="F38" s="214" t="n"/>
      <c r="G38" s="214" t="n"/>
      <c r="H38" s="214" t="n"/>
      <c r="I38" s="214" t="n"/>
      <c r="J38" s="214" t="n"/>
      <c r="K38" s="214" t="n"/>
      <c r="L38" s="5" t="n"/>
      <c r="M38" s="214" t="n"/>
      <c r="N38" s="214" t="n"/>
      <c r="O38" s="214" t="n"/>
    </row>
    <row r="39" ht="18" customHeight="1" s="79">
      <c r="A39" s="214" t="n"/>
      <c r="B39" s="214" t="n"/>
      <c r="C39" s="6" t="inlineStr">
        <is>
          <t>Dr. H. LUKMAN FADLUN, SH, MH</t>
        </is>
      </c>
      <c r="D39" s="214" t="n"/>
      <c r="E39" s="214" t="n"/>
      <c r="F39" s="214" t="n"/>
      <c r="G39" s="214" t="n"/>
      <c r="H39" s="214" t="n"/>
      <c r="I39" s="214" t="n"/>
      <c r="J39" s="214" t="n"/>
      <c r="K39" s="214" t="n"/>
      <c r="L39" s="6" t="inlineStr">
        <is>
          <t>TRISNAWATI M ULYO HAPSARI, SE</t>
        </is>
      </c>
      <c r="M39" s="214" t="n"/>
      <c r="N39" s="214" t="n"/>
      <c r="O39" s="214" t="n"/>
    </row>
    <row r="40" ht="18" customHeight="1" s="79">
      <c r="A40" s="214" t="n"/>
      <c r="B40" s="214" t="n"/>
      <c r="C40" s="5" t="inlineStr">
        <is>
          <t>Pembina Utama Muda</t>
        </is>
      </c>
      <c r="D40" s="214" t="n"/>
      <c r="E40" s="214" t="n"/>
      <c r="F40" s="214" t="n"/>
      <c r="G40" s="214" t="n"/>
      <c r="H40" s="214" t="n"/>
      <c r="I40" s="214" t="n"/>
      <c r="J40" s="214" t="n"/>
      <c r="K40" s="214" t="n"/>
      <c r="L40" s="23">
        <f>'RUANG KASUBBAG KEUANGAN'!L30</f>
        <v/>
      </c>
      <c r="M40" s="214" t="n"/>
      <c r="N40" s="214" t="n"/>
      <c r="O40" s="214" t="n"/>
    </row>
    <row r="41" ht="18" customHeight="1" s="79">
      <c r="A41" s="214" t="n"/>
      <c r="B41" s="214" t="n"/>
      <c r="C41" s="23" t="inlineStr">
        <is>
          <t>NIP. 19691013 200003 1 004</t>
        </is>
      </c>
      <c r="D41" s="214" t="n"/>
      <c r="E41" s="214" t="n"/>
      <c r="F41" s="214" t="n"/>
      <c r="G41" s="214" t="n"/>
      <c r="H41" s="214" t="n"/>
      <c r="I41" s="214" t="n"/>
      <c r="J41" s="214" t="n"/>
      <c r="K41" s="214" t="n"/>
      <c r="L41" s="214" t="n"/>
      <c r="M41" s="214" t="n"/>
      <c r="N41" s="214" t="n"/>
      <c r="O41" s="214" t="n"/>
    </row>
    <row r="42">
      <c r="K42" s="24" t="n"/>
    </row>
    <row r="44">
      <c r="B44" s="22" t="n"/>
    </row>
    <row r="45">
      <c r="B45" s="22" t="n"/>
    </row>
  </sheetData>
  <mergeCells count="35">
    <mergeCell ref="B16:C16"/>
    <mergeCell ref="B25:C25"/>
    <mergeCell ref="B22:C22"/>
    <mergeCell ref="L8:N8"/>
    <mergeCell ref="B31:C31"/>
    <mergeCell ref="B27:C27"/>
    <mergeCell ref="B18:C18"/>
    <mergeCell ref="B9:C10"/>
    <mergeCell ref="B12:C12"/>
    <mergeCell ref="B21:C21"/>
    <mergeCell ref="E9:E10"/>
    <mergeCell ref="B11:C11"/>
    <mergeCell ref="B23:C23"/>
    <mergeCell ref="B14:C14"/>
    <mergeCell ref="B17:C17"/>
    <mergeCell ref="G8:G10"/>
    <mergeCell ref="A3:B3"/>
    <mergeCell ref="B8:C8"/>
    <mergeCell ref="B13:C13"/>
    <mergeCell ref="A2:B2"/>
    <mergeCell ref="D9:D10"/>
    <mergeCell ref="B29:C29"/>
    <mergeCell ref="B19:C19"/>
    <mergeCell ref="A5:B5"/>
    <mergeCell ref="B28:C28"/>
    <mergeCell ref="A4:B4"/>
    <mergeCell ref="B30:C30"/>
    <mergeCell ref="B24:C24"/>
    <mergeCell ref="B15:C15"/>
    <mergeCell ref="A9:A10"/>
    <mergeCell ref="B20:C20"/>
    <mergeCell ref="O9:O10"/>
    <mergeCell ref="B32:C32"/>
    <mergeCell ref="B26:C26"/>
    <mergeCell ref="F8:F10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O40"/>
  <sheetViews>
    <sheetView view="pageBreakPreview" zoomScale="80" zoomScaleNormal="55" zoomScaleSheetLayoutView="80" workbookViewId="0">
      <selection activeCell="V18" sqref="V18"/>
    </sheetView>
  </sheetViews>
  <sheetFormatPr baseColWidth="8" defaultRowHeight="15.75"/>
  <cols>
    <col width="7.125" customWidth="1" style="79" min="1" max="1"/>
    <col width="8" customWidth="1" style="79" min="2" max="2"/>
    <col width="11.125" customWidth="1" style="79" min="3" max="3"/>
    <col width="14.25" customWidth="1" style="79" min="4" max="4"/>
    <col width="9.875" customWidth="1" style="79" min="5" max="5"/>
    <col width="8.875" customWidth="1" style="79" min="6" max="6"/>
    <col width="10.375" customWidth="1" style="79" min="7" max="7"/>
    <col width="18.625" customWidth="1" style="79" min="8" max="8"/>
    <col width="20.75" customWidth="1" style="79" min="9" max="9"/>
    <col width="13.375" customWidth="1" style="79" min="10" max="10"/>
    <col width="16.875" customWidth="1" style="79" min="11" max="11"/>
    <col width="14.875" customWidth="1" style="79" min="13" max="13"/>
    <col width="14.125" customWidth="1" style="79" min="14" max="14"/>
    <col width="14.3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14" t="n"/>
      <c r="B1" s="214" t="n"/>
      <c r="C1" s="214" t="n"/>
      <c r="D1" s="214" t="n"/>
      <c r="E1" s="214" t="n"/>
      <c r="F1" s="214" t="n"/>
      <c r="G1" s="280" t="inlineStr">
        <is>
          <t>KARTU INVENTARIS RUANGAN</t>
        </is>
      </c>
      <c r="H1" s="214" t="n"/>
      <c r="I1" s="214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B3" s="512" t="n"/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B4" s="512" t="n"/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B5" s="512" t="n"/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B6" s="512" t="n"/>
      <c r="C6" s="331" t="inlineStr">
        <is>
          <t>PELAYANAN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24.75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489" t="n"/>
      <c r="G9" s="489" t="n"/>
      <c r="H9" s="500" t="inlineStr">
        <is>
          <t xml:space="preserve">Tahun </t>
        </is>
      </c>
      <c r="I9" s="500" t="inlineStr">
        <is>
          <t xml:space="preserve">No. Kode Barang </t>
        </is>
      </c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0" t="inlineStr">
        <is>
          <t>Urut</t>
        </is>
      </c>
      <c r="B10" s="490" t="inlineStr">
        <is>
          <t>Jenis Barang</t>
        </is>
      </c>
      <c r="C10" s="593" t="n"/>
      <c r="D10" s="490" t="inlineStr">
        <is>
          <t>Model</t>
        </is>
      </c>
      <c r="E10" s="490" t="inlineStr">
        <is>
          <t>Pabrik</t>
        </is>
      </c>
      <c r="F10" s="490" t="inlineStr">
        <is>
          <t>Ukuran</t>
        </is>
      </c>
      <c r="G10" s="490" t="inlineStr">
        <is>
          <t>Bahan</t>
        </is>
      </c>
      <c r="H10" s="504" t="inlineStr">
        <is>
          <t>Pembuatan</t>
        </is>
      </c>
      <c r="I10" s="504" t="n"/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1" t="inlineStr">
        <is>
          <t>Mutasi dll</t>
        </is>
      </c>
    </row>
    <row r="11" ht="18" customHeight="1" s="79">
      <c r="A11" s="491" t="n"/>
      <c r="B11" s="497" t="n"/>
      <c r="C11" s="498" t="n"/>
      <c r="D11" s="491" t="n"/>
      <c r="E11" s="491" t="n"/>
      <c r="F11" s="491" t="n"/>
      <c r="G11" s="491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482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530" t="inlineStr">
        <is>
          <t>Kursi Besi / Metal</t>
        </is>
      </c>
      <c r="C13" s="591" t="n"/>
      <c r="D13" s="584" t="inlineStr">
        <is>
          <t>-/Warna Cream</t>
        </is>
      </c>
      <c r="E13" s="263" t="n"/>
      <c r="F13" s="585" t="n"/>
      <c r="G13" s="398" t="inlineStr">
        <is>
          <t>Besi</t>
        </is>
      </c>
      <c r="H13" s="400" t="inlineStr">
        <is>
          <t>1997</t>
        </is>
      </c>
      <c r="I13" s="398" t="inlineStr">
        <is>
          <t>02.06.02.01.005</t>
        </is>
      </c>
      <c r="J13" s="400" t="inlineStr">
        <is>
          <t>0002</t>
        </is>
      </c>
      <c r="K13" s="291" t="n">
        <v>148648.5</v>
      </c>
      <c r="L13" s="398" t="inlineStr">
        <is>
          <t>Baik</t>
        </is>
      </c>
      <c r="M13" s="494" t="n"/>
      <c r="N13" s="494" t="n"/>
      <c r="O13" s="263" t="n"/>
    </row>
    <row r="14" ht="36" customHeight="1" s="79">
      <c r="A14" s="398">
        <f>A13+1</f>
        <v/>
      </c>
      <c r="B14" s="371" t="inlineStr">
        <is>
          <t>Meja Panjang</t>
        </is>
      </c>
      <c r="C14" s="371" t="n"/>
      <c r="D14" s="338" t="inlineStr">
        <is>
          <t>Lokal / Handmade</t>
        </is>
      </c>
      <c r="E14" s="399" t="n"/>
      <c r="F14" s="399" t="n"/>
      <c r="G14" s="398" t="inlineStr">
        <is>
          <t>Kayu</t>
        </is>
      </c>
      <c r="H14" s="398" t="n">
        <v>2020</v>
      </c>
      <c r="I14" s="398" t="inlineStr">
        <is>
          <t>02.06.02.01.009</t>
        </is>
      </c>
      <c r="J14" s="400" t="inlineStr">
        <is>
          <t>0001</t>
        </is>
      </c>
      <c r="K14" s="291" t="n">
        <v>5860000</v>
      </c>
      <c r="L14" s="398" t="inlineStr">
        <is>
          <t>Baik</t>
        </is>
      </c>
      <c r="M14" s="399" t="n"/>
      <c r="N14" s="399" t="n"/>
      <c r="O14" s="399" t="n"/>
    </row>
    <row r="15" ht="36" customHeight="1" s="79">
      <c r="A15" s="398">
        <f>A14+1</f>
        <v/>
      </c>
      <c r="B15" s="371" t="inlineStr">
        <is>
          <t>Meja Reception</t>
        </is>
      </c>
      <c r="C15" s="371" t="n"/>
      <c r="D15" s="338" t="inlineStr">
        <is>
          <t>Lokal / Handmade</t>
        </is>
      </c>
      <c r="E15" s="399" t="n"/>
      <c r="F15" s="399" t="n"/>
      <c r="G15" s="336" t="inlineStr">
        <is>
          <t>Kayu / Plywood</t>
        </is>
      </c>
      <c r="H15" s="398" t="n">
        <v>2020</v>
      </c>
      <c r="I15" s="398" t="inlineStr">
        <is>
          <t>02.06.02.01.017</t>
        </is>
      </c>
      <c r="J15" s="400" t="inlineStr">
        <is>
          <t>0001</t>
        </is>
      </c>
      <c r="K15" s="291" t="n">
        <v>24337500</v>
      </c>
      <c r="L15" s="398" t="inlineStr">
        <is>
          <t>Baik</t>
        </is>
      </c>
      <c r="M15" s="399" t="n"/>
      <c r="N15" s="399" t="n"/>
      <c r="O15" s="399" t="n"/>
    </row>
    <row r="16" ht="36" customHeight="1" s="79">
      <c r="A16" s="398">
        <f>A15+1</f>
        <v/>
      </c>
      <c r="B16" s="530" t="inlineStr">
        <is>
          <t>Kursi Tamu</t>
        </is>
      </c>
      <c r="C16" s="591" t="n"/>
      <c r="D16" s="338" t="inlineStr">
        <is>
          <t>Lokal / Handmade</t>
        </is>
      </c>
      <c r="E16" s="399" t="n"/>
      <c r="F16" s="399" t="n"/>
      <c r="G16" s="433" t="inlineStr">
        <is>
          <t>Kayu</t>
        </is>
      </c>
      <c r="H16" s="398" t="n">
        <v>2020</v>
      </c>
      <c r="I16" s="398" t="inlineStr">
        <is>
          <t>02.06.02.01.019</t>
        </is>
      </c>
      <c r="J16" s="400" t="inlineStr">
        <is>
          <t>0003</t>
        </is>
      </c>
      <c r="K16" s="291" t="n">
        <v>15628800</v>
      </c>
      <c r="L16" s="398" t="inlineStr">
        <is>
          <t>Baik</t>
        </is>
      </c>
      <c r="M16" s="399" t="n"/>
      <c r="N16" s="399" t="n"/>
      <c r="O16" s="399" t="n"/>
    </row>
    <row r="17" ht="57.75" customHeight="1" s="79">
      <c r="A17" s="374">
        <f>A16+1</f>
        <v/>
      </c>
      <c r="B17" s="509" t="inlineStr">
        <is>
          <t>Kursi rapat</t>
        </is>
      </c>
      <c r="C17" s="591" t="n"/>
      <c r="D17" s="414" t="inlineStr">
        <is>
          <t>Indachi / D910</t>
        </is>
      </c>
      <c r="E17" s="379" t="n"/>
      <c r="F17" s="379" t="n"/>
      <c r="G17" s="380" t="inlineStr">
        <is>
          <t>Besi dan Plastik</t>
        </is>
      </c>
      <c r="H17" s="377" t="inlineStr">
        <is>
          <t>2014</t>
        </is>
      </c>
      <c r="I17" s="374" t="inlineStr">
        <is>
          <t>02.06.02.01.027</t>
        </is>
      </c>
      <c r="J17" s="377" t="inlineStr">
        <is>
          <t>0011</t>
        </is>
      </c>
      <c r="K17" s="586" t="n">
        <v>743915</v>
      </c>
      <c r="L17" s="374" t="inlineStr">
        <is>
          <t>Baik</t>
        </is>
      </c>
      <c r="M17" s="379" t="n"/>
      <c r="N17" s="379" t="n"/>
      <c r="O17" s="414" t="inlineStr">
        <is>
          <t>Barang sudah dipindahkan</t>
        </is>
      </c>
    </row>
    <row r="18" ht="36" customHeight="1" s="79">
      <c r="A18" s="398">
        <f>A17+1</f>
        <v/>
      </c>
      <c r="B18" s="530" t="inlineStr">
        <is>
          <t>Kursi Putar</t>
        </is>
      </c>
      <c r="C18" s="591" t="n"/>
      <c r="D18" s="338" t="inlineStr">
        <is>
          <t>Indachi / D920</t>
        </is>
      </c>
      <c r="E18" s="399" t="n"/>
      <c r="F18" s="399" t="n"/>
      <c r="G18" s="336" t="inlineStr">
        <is>
          <t>Besi Plastik</t>
        </is>
      </c>
      <c r="H18" s="400" t="inlineStr">
        <is>
          <t>2014</t>
        </is>
      </c>
      <c r="I18" s="398" t="inlineStr">
        <is>
          <t>02.06.02.01.030</t>
        </is>
      </c>
      <c r="J18" s="400" t="inlineStr">
        <is>
          <t>0037</t>
        </is>
      </c>
      <c r="K18" s="291" t="n">
        <v>794180</v>
      </c>
      <c r="L18" s="398" t="inlineStr">
        <is>
          <t>Baik</t>
        </is>
      </c>
      <c r="M18" s="399" t="n"/>
      <c r="N18" s="399" t="n"/>
      <c r="O18" s="399" t="n"/>
    </row>
    <row r="19" ht="36" customHeight="1" s="79">
      <c r="A19" s="398">
        <f>A18+1</f>
        <v/>
      </c>
      <c r="B19" s="371" t="inlineStr">
        <is>
          <t>AC Unit</t>
        </is>
      </c>
      <c r="C19" s="371" t="n"/>
      <c r="D19" s="338" t="inlineStr">
        <is>
          <t>Daikin / FTV25CXV</t>
        </is>
      </c>
      <c r="E19" s="399" t="n"/>
      <c r="F19" s="399" t="n"/>
      <c r="G19" s="587" t="n"/>
      <c r="H19" s="398" t="n">
        <v>2020</v>
      </c>
      <c r="I19" s="398" t="inlineStr">
        <is>
          <t>02.06.02.04.003</t>
        </is>
      </c>
      <c r="J19" s="400" t="inlineStr">
        <is>
          <t>0017</t>
        </is>
      </c>
      <c r="K19" s="291" t="n">
        <v>8165927.5</v>
      </c>
      <c r="L19" s="398" t="inlineStr">
        <is>
          <t>Baik</t>
        </is>
      </c>
      <c r="M19" s="399" t="n"/>
      <c r="N19" s="399" t="n"/>
      <c r="O19" s="399" t="n"/>
    </row>
    <row r="20" ht="36" customHeight="1" s="79">
      <c r="A20" s="398">
        <f>A19+1</f>
        <v/>
      </c>
      <c r="B20" s="371" t="inlineStr">
        <is>
          <t>Televisi</t>
        </is>
      </c>
      <c r="C20" s="371" t="n"/>
      <c r="D20" s="338" t="inlineStr">
        <is>
          <t>Samsung./ 43n5001</t>
        </is>
      </c>
      <c r="E20" s="399" t="n"/>
      <c r="F20" s="399" t="n"/>
      <c r="G20" s="587" t="n"/>
      <c r="H20" s="398" t="n">
        <v>2020</v>
      </c>
      <c r="I20" s="398" t="inlineStr">
        <is>
          <t>02.06.02.06.003</t>
        </is>
      </c>
      <c r="J20" s="588" t="inlineStr">
        <is>
          <t>0006</t>
        </is>
      </c>
      <c r="K20" s="291" t="n">
        <v>5510746.67</v>
      </c>
      <c r="L20" s="398" t="inlineStr">
        <is>
          <t>Baik</t>
        </is>
      </c>
      <c r="M20" s="399" t="n"/>
      <c r="N20" s="399" t="n"/>
      <c r="O20" s="399" t="n"/>
    </row>
    <row r="21" ht="36" customHeight="1" s="79">
      <c r="A21" s="398">
        <f>A20+1</f>
        <v/>
      </c>
      <c r="B21" s="530" t="inlineStr">
        <is>
          <t>Dispenser</t>
        </is>
      </c>
      <c r="C21" s="591" t="n"/>
      <c r="D21" s="338" t="inlineStr">
        <is>
          <t>Toshiba / RWFW1830</t>
        </is>
      </c>
      <c r="E21" s="399" t="n"/>
      <c r="F21" s="399" t="n"/>
      <c r="G21" s="587" t="n"/>
      <c r="H21" s="398" t="n">
        <v>2020</v>
      </c>
      <c r="I21" s="398" t="inlineStr">
        <is>
          <t>02.06.02.06.039</t>
        </is>
      </c>
      <c r="J21" s="400" t="inlineStr">
        <is>
          <t>0003</t>
        </is>
      </c>
      <c r="K21" s="291" t="n">
        <v>4458695</v>
      </c>
      <c r="L21" s="398" t="inlineStr">
        <is>
          <t>Baik</t>
        </is>
      </c>
      <c r="M21" s="399" t="n"/>
      <c r="N21" s="399" t="n"/>
      <c r="O21" s="399" t="n"/>
    </row>
    <row r="22" ht="36" customHeight="1" s="79">
      <c r="A22" s="398">
        <f>A21+1</f>
        <v/>
      </c>
      <c r="B22" s="530" t="inlineStr">
        <is>
          <t>PC Unit</t>
        </is>
      </c>
      <c r="C22" s="591" t="n"/>
      <c r="D22" s="338" t="inlineStr">
        <is>
          <t>Lenovo / C260</t>
        </is>
      </c>
      <c r="E22" s="399" t="n"/>
      <c r="F22" s="399" t="n"/>
      <c r="G22" s="336" t="inlineStr">
        <is>
          <t>Besi Plastik</t>
        </is>
      </c>
      <c r="H22" s="400" t="inlineStr">
        <is>
          <t>2017</t>
        </is>
      </c>
      <c r="I22" s="398" t="inlineStr">
        <is>
          <t>02.06.03.02.001</t>
        </is>
      </c>
      <c r="J22" s="400" t="inlineStr">
        <is>
          <t>0016</t>
        </is>
      </c>
      <c r="K22" s="291" t="n">
        <v>6976243</v>
      </c>
      <c r="L22" s="398" t="inlineStr">
        <is>
          <t>Baik</t>
        </is>
      </c>
      <c r="M22" s="399" t="n"/>
      <c r="N22" s="399" t="n"/>
      <c r="O22" s="399" t="n"/>
    </row>
    <row r="23" ht="36" customHeight="1" s="79">
      <c r="A23" s="398">
        <f>A22+1</f>
        <v/>
      </c>
      <c r="B23" s="530" t="inlineStr">
        <is>
          <t>Printer</t>
        </is>
      </c>
      <c r="C23" s="591" t="n"/>
      <c r="D23" s="338" t="inlineStr">
        <is>
          <t>EPSON / L120</t>
        </is>
      </c>
      <c r="E23" s="399" t="n"/>
      <c r="F23" s="399" t="n"/>
      <c r="G23" s="587" t="n"/>
      <c r="H23" s="398" t="inlineStr">
        <is>
          <t>;2017</t>
        </is>
      </c>
      <c r="I23" s="398" t="inlineStr">
        <is>
          <t>02.06.03.05.003</t>
        </is>
      </c>
      <c r="J23" s="400" t="inlineStr">
        <is>
          <t>0026</t>
        </is>
      </c>
      <c r="K23" s="291" t="n">
        <v>2173757</v>
      </c>
      <c r="L23" s="398" t="inlineStr">
        <is>
          <t>Baik</t>
        </is>
      </c>
      <c r="M23" s="399" t="n"/>
      <c r="N23" s="399" t="n"/>
      <c r="O23" s="399" t="n"/>
    </row>
    <row r="24" ht="18" customHeight="1" s="79">
      <c r="A24" s="370" t="n"/>
      <c r="B24" s="214" t="n"/>
      <c r="C24" s="214" t="n"/>
      <c r="D24" s="214" t="n"/>
      <c r="E24" s="214" t="n"/>
      <c r="F24" s="214" t="n"/>
      <c r="G24" s="214" t="n"/>
      <c r="H24" s="522" t="n"/>
      <c r="I24" s="522" t="n"/>
      <c r="J24" s="214" t="n"/>
      <c r="K24" s="214" t="n"/>
      <c r="L24" s="214" t="n"/>
      <c r="M24" s="214" t="n"/>
      <c r="N24" s="214" t="n"/>
      <c r="O24" s="214" t="n"/>
    </row>
    <row r="25" ht="18" customHeight="1" s="79">
      <c r="A25" s="398" t="n"/>
      <c r="B25" s="214" t="n"/>
      <c r="C25" s="214" t="n"/>
      <c r="D25" s="214" t="n"/>
      <c r="E25" s="214" t="n"/>
      <c r="F25" s="214" t="n"/>
      <c r="G25" s="214" t="n"/>
      <c r="H25" s="214" t="n"/>
      <c r="I25" s="522" t="n"/>
      <c r="J25" s="214" t="n"/>
      <c r="K25" s="214" t="n"/>
      <c r="L25" s="214" t="n"/>
      <c r="M25" s="214" t="n"/>
      <c r="N25" s="214" t="n"/>
      <c r="O25" s="214" t="n"/>
    </row>
    <row r="26" ht="18" customHeight="1" s="79">
      <c r="A26" s="398" t="n"/>
      <c r="B26" s="214" t="n"/>
      <c r="C26" s="214" t="inlineStr">
        <is>
          <t>Mengetahui :</t>
        </is>
      </c>
      <c r="D26" s="214" t="n"/>
      <c r="E26" s="214" t="n"/>
      <c r="F26" s="214" t="n"/>
      <c r="G26" s="214" t="n"/>
      <c r="H26" s="214" t="n"/>
      <c r="I26" s="214" t="n"/>
      <c r="J26" s="214" t="n"/>
      <c r="K26" s="522" t="inlineStr">
        <is>
          <t>Banjarmasin, 1  Juli 2021</t>
        </is>
      </c>
      <c r="N26" s="214" t="n"/>
      <c r="O26" s="214" t="n"/>
    </row>
    <row r="27" ht="18" customHeight="1" s="79">
      <c r="A27" s="214" t="n"/>
      <c r="B27" s="214" t="n"/>
      <c r="C27" s="214" t="n"/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214" t="n"/>
      <c r="M27" s="214" t="n"/>
      <c r="N27" s="214" t="n"/>
      <c r="O27" s="214" t="n"/>
    </row>
    <row r="28" ht="18" customHeight="1" s="79">
      <c r="A28" s="214" t="n"/>
      <c r="B28" s="214" t="n"/>
      <c r="C28" s="5" t="inlineStr">
        <is>
          <t>Kepala Bakesbangpol Kota Banjarmasin,</t>
        </is>
      </c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5" t="inlineStr">
        <is>
          <t>Pengurus Barang</t>
        </is>
      </c>
      <c r="M28" s="214" t="n"/>
      <c r="N28" s="214" t="n"/>
      <c r="O28" s="214" t="n"/>
    </row>
    <row r="29" ht="18" customHeight="1" s="79">
      <c r="A29" s="214" t="n"/>
      <c r="B29" s="214" t="n"/>
      <c r="C29" s="5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5" t="n"/>
      <c r="M29" s="214" t="n"/>
      <c r="N29" s="214" t="n"/>
      <c r="O29" s="214" t="n"/>
    </row>
    <row r="30" ht="18" customHeight="1" s="79">
      <c r="A30" s="214" t="n"/>
      <c r="B30" s="214" t="n"/>
      <c r="C30" s="5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5" t="n"/>
      <c r="M30" s="214" t="n"/>
      <c r="N30" s="214" t="n"/>
      <c r="O30" s="214" t="n"/>
    </row>
    <row r="31" ht="18" customHeight="1" s="79">
      <c r="A31" s="214" t="n"/>
      <c r="B31" s="214" t="n"/>
      <c r="C31" s="5" t="n"/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5" t="n"/>
      <c r="M31" s="214" t="n"/>
      <c r="N31" s="214" t="n"/>
      <c r="O31" s="214" t="n"/>
    </row>
    <row r="32" ht="18" customHeight="1" s="79">
      <c r="A32" s="214" t="n"/>
      <c r="B32" s="214" t="n"/>
      <c r="C32" s="6" t="inlineStr">
        <is>
          <t>Dr. H. LUKMAN FADLUN, SH, MH</t>
        </is>
      </c>
      <c r="D32" s="214" t="n"/>
      <c r="E32" s="214" t="n"/>
      <c r="F32" s="214" t="n"/>
      <c r="G32" s="214" t="n"/>
      <c r="H32" s="214" t="n"/>
      <c r="I32" s="214" t="n"/>
      <c r="J32" s="214" t="n"/>
      <c r="K32" s="214" t="n"/>
      <c r="L32" s="6" t="inlineStr">
        <is>
          <t>TRISNAWATI M ULYO HAPSARI, SE</t>
        </is>
      </c>
      <c r="M32" s="214" t="n"/>
      <c r="N32" s="214" t="n"/>
      <c r="O32" s="214" t="n"/>
    </row>
    <row r="33" ht="18" customHeight="1" s="79">
      <c r="A33" s="214" t="n"/>
      <c r="B33" s="214" t="n"/>
      <c r="C33" s="5" t="inlineStr">
        <is>
          <t>Pembina Utama Muda</t>
        </is>
      </c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3">
        <f>'RUANG KASUBBAG SUNRAM'!L28</f>
        <v/>
      </c>
      <c r="M33" s="214" t="n"/>
      <c r="N33" s="214" t="n"/>
      <c r="O33" s="214" t="n"/>
    </row>
    <row r="34" ht="18" customHeight="1" s="79">
      <c r="A34" s="214" t="n"/>
      <c r="B34" s="214" t="n"/>
      <c r="C34" s="23" t="inlineStr">
        <is>
          <t>NIP. 19691013 200003 1 004</t>
        </is>
      </c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78" t="n"/>
      <c r="M34" s="214" t="n"/>
      <c r="N34" s="214" t="n"/>
      <c r="O34" s="214" t="n"/>
    </row>
    <row r="35" ht="18" customHeight="1" s="79">
      <c r="A35" s="214" t="n"/>
      <c r="B35" s="214" t="n"/>
      <c r="C35" s="522" t="n"/>
      <c r="D35" s="214" t="n"/>
      <c r="E35" s="214" t="n"/>
      <c r="F35" s="214" t="n"/>
      <c r="G35" s="214" t="n"/>
      <c r="H35" s="214" t="n"/>
      <c r="I35" s="214" t="n"/>
      <c r="J35" s="214" t="n"/>
      <c r="K35" s="214" t="n"/>
      <c r="L35" s="522" t="n"/>
      <c r="M35" s="214" t="n"/>
      <c r="N35" s="214" t="n"/>
      <c r="O35" s="214" t="n"/>
    </row>
    <row r="36" ht="18" customHeight="1" s="79">
      <c r="A36" s="214" t="n"/>
      <c r="B36" s="214" t="n"/>
      <c r="C36" s="522" t="n"/>
      <c r="D36" s="214" t="n"/>
      <c r="E36" s="214" t="n"/>
      <c r="F36" s="214" t="n"/>
      <c r="G36" s="214" t="n"/>
      <c r="H36" s="214" t="n"/>
      <c r="I36" s="214" t="n"/>
      <c r="J36" s="214" t="n"/>
      <c r="K36" s="214" t="n"/>
      <c r="L36" s="214" t="n"/>
      <c r="M36" s="214" t="n"/>
      <c r="N36" s="214" t="n"/>
      <c r="O36" s="214" t="n"/>
    </row>
    <row r="37">
      <c r="K37" s="24" t="n"/>
    </row>
    <row r="38">
      <c r="B38" s="21" t="n"/>
      <c r="K38" s="25" t="n"/>
    </row>
    <row r="39">
      <c r="B39" s="22" t="n"/>
    </row>
    <row r="40">
      <c r="B40" s="22" t="n"/>
    </row>
  </sheetData>
  <mergeCells count="12">
    <mergeCell ref="B13:C13"/>
    <mergeCell ref="B21:C21"/>
    <mergeCell ref="B16:C16"/>
    <mergeCell ref="B10:C10"/>
    <mergeCell ref="B23:C23"/>
    <mergeCell ref="L9:N9"/>
    <mergeCell ref="B22:C22"/>
    <mergeCell ref="K26:M26"/>
    <mergeCell ref="B9:C9"/>
    <mergeCell ref="B18:C18"/>
    <mergeCell ref="B17:C17"/>
    <mergeCell ref="B12:C12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360"/>
  <headerFooter alignWithMargins="0">
    <oddHeader/>
    <oddFooter>&amp;L&amp;9 &amp;F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O37"/>
  <sheetViews>
    <sheetView view="pageBreakPreview" zoomScaleNormal="55" workbookViewId="0">
      <selection activeCell="R16" sqref="R16"/>
    </sheetView>
  </sheetViews>
  <sheetFormatPr baseColWidth="8" defaultRowHeight="15.75"/>
  <cols>
    <col width="5.875" customWidth="1" style="79" min="1" max="1"/>
    <col width="7" customWidth="1" style="79" min="2" max="2"/>
    <col width="12.875" customWidth="1" style="79" min="3" max="3"/>
    <col width="17.875" customWidth="1" style="79" min="4" max="4"/>
    <col width="9.75" customWidth="1" style="79" min="5" max="5"/>
    <col width="9.625" customWidth="1" style="79" min="6" max="6"/>
    <col width="11.625" customWidth="1" style="79" min="7" max="7"/>
    <col width="18.5" customWidth="1" style="79" min="8" max="8"/>
    <col width="20.375" customWidth="1" style="79" min="9" max="9"/>
    <col width="13.125" customWidth="1" style="79" min="10" max="10"/>
    <col width="16.875" customWidth="1" style="79" min="11" max="11"/>
    <col width="14.625" customWidth="1" style="79" min="13" max="13"/>
    <col width="15.375" customWidth="1" style="79" min="14" max="14"/>
    <col width="16.3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DAPUR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33" t="n">
        <v>1</v>
      </c>
      <c r="B13" s="615" t="inlineStr">
        <is>
          <t>Lemari Kayu</t>
        </is>
      </c>
      <c r="C13" s="592" t="n"/>
      <c r="D13" s="401" t="inlineStr">
        <is>
          <t>Lokal /                 Hand Made</t>
        </is>
      </c>
      <c r="E13" s="399" t="n"/>
      <c r="F13" s="399" t="n"/>
      <c r="G13" s="433" t="inlineStr">
        <is>
          <t>Kayu/ Playwood</t>
        </is>
      </c>
      <c r="H13" s="398" t="n">
        <v>2020</v>
      </c>
      <c r="I13" s="398" t="inlineStr">
        <is>
          <t>02.06.02.01.001</t>
        </is>
      </c>
      <c r="J13" s="400" t="inlineStr">
        <is>
          <t>0002</t>
        </is>
      </c>
      <c r="K13" s="434" t="n">
        <v>3959900</v>
      </c>
      <c r="L13" s="398" t="inlineStr">
        <is>
          <t>Baik</t>
        </is>
      </c>
      <c r="M13" s="399" t="n"/>
      <c r="N13" s="399" t="n"/>
      <c r="O13" s="399" t="n"/>
    </row>
    <row r="14" ht="18" customHeight="1" s="79">
      <c r="A14" s="398">
        <f>A13+1</f>
        <v/>
      </c>
      <c r="B14" s="615" t="inlineStr">
        <is>
          <t>Lemari ES</t>
        </is>
      </c>
      <c r="C14" s="592" t="n"/>
      <c r="D14" s="401" t="inlineStr">
        <is>
          <t>LG / GR602JLC</t>
        </is>
      </c>
      <c r="E14" s="399" t="n"/>
      <c r="F14" s="399" t="n"/>
      <c r="G14" s="433" t="inlineStr">
        <is>
          <t>Besi</t>
        </is>
      </c>
      <c r="H14" s="398" t="n">
        <v>2011</v>
      </c>
      <c r="I14" s="398" t="inlineStr">
        <is>
          <t>02.06.02.04.001</t>
        </is>
      </c>
      <c r="J14" s="400" t="inlineStr">
        <is>
          <t>0003</t>
        </is>
      </c>
      <c r="K14" s="434" t="n">
        <v>14700000</v>
      </c>
      <c r="L14" s="398" t="inlineStr">
        <is>
          <t>Baik</t>
        </is>
      </c>
      <c r="M14" s="399" t="n"/>
      <c r="N14" s="399" t="n"/>
      <c r="O14" s="399" t="n"/>
    </row>
    <row r="15" ht="18" customHeight="1" s="79">
      <c r="A15" s="398">
        <f>A14+1</f>
        <v/>
      </c>
      <c r="B15" s="615" t="inlineStr">
        <is>
          <t>Meja Komputer</t>
        </is>
      </c>
      <c r="C15" s="592" t="n"/>
      <c r="D15" s="401" t="inlineStr">
        <is>
          <t>Indachi</t>
        </is>
      </c>
      <c r="E15" s="399" t="n"/>
      <c r="F15" s="399" t="n"/>
      <c r="G15" s="433" t="inlineStr">
        <is>
          <t>Kayu</t>
        </is>
      </c>
      <c r="H15" s="398" t="n">
        <v>2013</v>
      </c>
      <c r="I15" s="398" t="inlineStr">
        <is>
          <t>02.06.03.01.037</t>
        </is>
      </c>
      <c r="J15" s="392" t="inlineStr">
        <is>
          <t>0001</t>
        </is>
      </c>
      <c r="K15" s="434" t="n"/>
      <c r="L15" s="398" t="inlineStr">
        <is>
          <t>Baik</t>
        </is>
      </c>
      <c r="M15" s="399" t="n"/>
      <c r="N15" s="399" t="n"/>
      <c r="O15" s="399" t="n"/>
    </row>
    <row r="16" ht="36" customHeight="1" s="79">
      <c r="A16" s="383">
        <f>A15+1</f>
        <v/>
      </c>
      <c r="B16" s="621" t="inlineStr">
        <is>
          <t xml:space="preserve">Lemari Kayu </t>
        </is>
      </c>
      <c r="C16" s="592" t="n"/>
      <c r="D16" s="391" t="inlineStr">
        <is>
          <t xml:space="preserve">Buatan Lokal / - </t>
        </is>
      </c>
      <c r="E16" s="385" t="n"/>
      <c r="F16" s="385" t="n"/>
      <c r="G16" s="386" t="inlineStr">
        <is>
          <t>Kayu Kaca</t>
        </is>
      </c>
      <c r="H16" s="383" t="n">
        <v>2000</v>
      </c>
      <c r="I16" s="383" t="inlineStr">
        <is>
          <t>02.06.01.04.014</t>
        </is>
      </c>
      <c r="J16" s="387" t="inlineStr">
        <is>
          <t>0012</t>
        </is>
      </c>
      <c r="K16" s="388" t="n">
        <v>350000</v>
      </c>
      <c r="L16" s="383" t="inlineStr">
        <is>
          <t>Baik</t>
        </is>
      </c>
      <c r="M16" s="389" t="inlineStr">
        <is>
          <t>Kurang Baik</t>
        </is>
      </c>
      <c r="N16" s="385" t="n"/>
      <c r="O16" s="390" t="inlineStr">
        <is>
          <t>Usul Penghapusan</t>
        </is>
      </c>
    </row>
    <row r="17" ht="36" customHeight="1" s="79">
      <c r="A17" s="383">
        <f>A16+1</f>
        <v/>
      </c>
      <c r="B17" s="621" t="inlineStr">
        <is>
          <t>Kursi Besi / Metal</t>
        </is>
      </c>
      <c r="C17" s="592" t="n"/>
      <c r="D17" s="384" t="inlineStr">
        <is>
          <t>- / Warna Cream</t>
        </is>
      </c>
      <c r="E17" s="385" t="n"/>
      <c r="F17" s="385" t="n"/>
      <c r="G17" s="386" t="inlineStr">
        <is>
          <t>Basi</t>
        </is>
      </c>
      <c r="H17" s="383" t="n">
        <v>1997</v>
      </c>
      <c r="I17" s="383" t="inlineStr">
        <is>
          <t>02.06.02.01.005</t>
        </is>
      </c>
      <c r="J17" s="387" t="inlineStr">
        <is>
          <t>0001</t>
        </is>
      </c>
      <c r="K17" s="388" t="n">
        <v>148648.5</v>
      </c>
      <c r="L17" s="386" t="n"/>
      <c r="M17" s="389" t="inlineStr">
        <is>
          <t>Kurang Baik</t>
        </is>
      </c>
      <c r="N17" s="385" t="n"/>
      <c r="O17" s="390" t="inlineStr">
        <is>
          <t>Usul Penghapusan</t>
        </is>
      </c>
    </row>
    <row r="18" ht="36" customHeight="1" s="79">
      <c r="A18" s="383">
        <f>A17+1</f>
        <v/>
      </c>
      <c r="B18" s="621" t="inlineStr">
        <is>
          <t>Kursi Besi / Metal</t>
        </is>
      </c>
      <c r="C18" s="592" t="n"/>
      <c r="D18" s="384" t="inlineStr">
        <is>
          <t>- / Warna Cream</t>
        </is>
      </c>
      <c r="E18" s="385" t="n"/>
      <c r="F18" s="385" t="n"/>
      <c r="G18" s="386" t="inlineStr">
        <is>
          <t>Basi</t>
        </is>
      </c>
      <c r="H18" s="383" t="n">
        <v>1997</v>
      </c>
      <c r="I18" s="383" t="inlineStr">
        <is>
          <t>02.06.02.01.005</t>
        </is>
      </c>
      <c r="J18" s="387" t="inlineStr">
        <is>
          <t>0009</t>
        </is>
      </c>
      <c r="K18" s="388" t="n">
        <v>148648.5</v>
      </c>
      <c r="L18" s="386" t="n"/>
      <c r="M18" s="389" t="inlineStr">
        <is>
          <t>Kurang Baik</t>
        </is>
      </c>
      <c r="N18" s="385" t="n"/>
      <c r="O18" s="390" t="inlineStr">
        <is>
          <t>Usul Penghapusan</t>
        </is>
      </c>
    </row>
    <row r="19" ht="36" customHeight="1" s="79">
      <c r="A19" s="383">
        <f>A18+1</f>
        <v/>
      </c>
      <c r="B19" s="621" t="inlineStr">
        <is>
          <t>Kursi Besi / Metal</t>
        </is>
      </c>
      <c r="C19" s="592" t="n"/>
      <c r="D19" s="384" t="inlineStr">
        <is>
          <t>- / Warna Cream</t>
        </is>
      </c>
      <c r="E19" s="385" t="n"/>
      <c r="F19" s="385" t="n"/>
      <c r="G19" s="386" t="inlineStr">
        <is>
          <t>Basi</t>
        </is>
      </c>
      <c r="H19" s="383" t="n">
        <v>1997</v>
      </c>
      <c r="I19" s="383" t="inlineStr">
        <is>
          <t>02.06.02.01.005</t>
        </is>
      </c>
      <c r="J19" s="387" t="inlineStr">
        <is>
          <t>0012</t>
        </is>
      </c>
      <c r="K19" s="388" t="n">
        <v>148648.5</v>
      </c>
      <c r="L19" s="386" t="n"/>
      <c r="M19" s="389" t="inlineStr">
        <is>
          <t>Kurang Baik</t>
        </is>
      </c>
      <c r="N19" s="385" t="n"/>
      <c r="O19" s="390" t="inlineStr">
        <is>
          <t>Usul Penghapusan</t>
        </is>
      </c>
    </row>
    <row r="20" ht="36" customHeight="1" s="79">
      <c r="A20" s="383">
        <f>A19+1</f>
        <v/>
      </c>
      <c r="B20" s="621" t="inlineStr">
        <is>
          <t>Kursi Besi / Metal</t>
        </is>
      </c>
      <c r="C20" s="592" t="n"/>
      <c r="D20" s="384" t="inlineStr">
        <is>
          <t>- / Warna Cream</t>
        </is>
      </c>
      <c r="E20" s="385" t="n"/>
      <c r="F20" s="385" t="n"/>
      <c r="G20" s="386" t="inlineStr">
        <is>
          <t>Basi</t>
        </is>
      </c>
      <c r="H20" s="383" t="n">
        <v>1997</v>
      </c>
      <c r="I20" s="383" t="inlineStr">
        <is>
          <t>02.06.02.01.005</t>
        </is>
      </c>
      <c r="J20" s="387" t="inlineStr">
        <is>
          <t>0015</t>
        </is>
      </c>
      <c r="K20" s="388" t="n">
        <v>148648.5</v>
      </c>
      <c r="L20" s="386" t="n"/>
      <c r="M20" s="389" t="inlineStr">
        <is>
          <t>Kurang Baik</t>
        </is>
      </c>
      <c r="N20" s="385" t="n"/>
      <c r="O20" s="390" t="inlineStr">
        <is>
          <t>Usul Penghapusan</t>
        </is>
      </c>
    </row>
    <row r="21" ht="36" customHeight="1" s="79">
      <c r="A21" s="383">
        <f>A20+1</f>
        <v/>
      </c>
      <c r="B21" s="621" t="inlineStr">
        <is>
          <t>Kursi Besi / Metal</t>
        </is>
      </c>
      <c r="C21" s="592" t="n"/>
      <c r="D21" s="384" t="inlineStr">
        <is>
          <t>- / Warna Cream</t>
        </is>
      </c>
      <c r="E21" s="385" t="n"/>
      <c r="F21" s="385" t="n"/>
      <c r="G21" s="386" t="inlineStr">
        <is>
          <t>Basi</t>
        </is>
      </c>
      <c r="H21" s="383" t="n">
        <v>1997</v>
      </c>
      <c r="I21" s="383" t="inlineStr">
        <is>
          <t>02.06.02.01.005</t>
        </is>
      </c>
      <c r="J21" s="387" t="n"/>
      <c r="K21" s="388" t="n">
        <v>148648.5</v>
      </c>
      <c r="L21" s="386" t="n"/>
      <c r="M21" s="389" t="inlineStr">
        <is>
          <t>Kurang Baik</t>
        </is>
      </c>
      <c r="N21" s="385" t="n"/>
      <c r="O21" s="390" t="inlineStr">
        <is>
          <t>Usul Penghapusan</t>
        </is>
      </c>
    </row>
    <row r="22" ht="18" customHeight="1" s="79">
      <c r="A22" s="383">
        <f>A21+1</f>
        <v/>
      </c>
      <c r="B22" s="621" t="inlineStr">
        <is>
          <t>Kursi Rapat</t>
        </is>
      </c>
      <c r="C22" s="592" t="n"/>
      <c r="D22" s="391" t="inlineStr">
        <is>
          <t>Indachi / D 910</t>
        </is>
      </c>
      <c r="E22" s="385" t="n"/>
      <c r="F22" s="385" t="n"/>
      <c r="G22" s="386" t="inlineStr">
        <is>
          <t>Besi dan Plastik</t>
        </is>
      </c>
      <c r="H22" s="383" t="n">
        <v>2014</v>
      </c>
      <c r="I22" s="383" t="inlineStr">
        <is>
          <t>02.06.02.01.027</t>
        </is>
      </c>
      <c r="J22" s="387" t="inlineStr">
        <is>
          <t>0009</t>
        </is>
      </c>
      <c r="K22" s="388" t="n">
        <v>743915</v>
      </c>
      <c r="L22" s="383" t="inlineStr">
        <is>
          <t>Baik</t>
        </is>
      </c>
      <c r="M22" s="389" t="inlineStr">
        <is>
          <t>Kurang Baik</t>
        </is>
      </c>
      <c r="N22" s="385" t="n"/>
      <c r="O22" s="390" t="inlineStr">
        <is>
          <t>Usul Penghapusan</t>
        </is>
      </c>
    </row>
    <row r="23" ht="36" customHeight="1" s="79">
      <c r="A23" s="383">
        <f>A22+1</f>
        <v/>
      </c>
      <c r="B23" s="621" t="inlineStr">
        <is>
          <t>Kursi Putar</t>
        </is>
      </c>
      <c r="C23" s="592" t="n"/>
      <c r="D23" s="391" t="inlineStr">
        <is>
          <t>USHUTO / Kursi Kerja 6033</t>
        </is>
      </c>
      <c r="E23" s="385" t="n"/>
      <c r="F23" s="385" t="n"/>
      <c r="G23" s="386" t="inlineStr">
        <is>
          <t>Besi Plastik</t>
        </is>
      </c>
      <c r="H23" s="383" t="n">
        <v>2013</v>
      </c>
      <c r="I23" s="383" t="inlineStr">
        <is>
          <t>02.06.02.01.030</t>
        </is>
      </c>
      <c r="J23" s="387" t="inlineStr">
        <is>
          <t>0024</t>
        </is>
      </c>
      <c r="K23" s="388" t="n">
        <v>486971.68</v>
      </c>
      <c r="L23" s="383" t="inlineStr">
        <is>
          <t>Baik</t>
        </is>
      </c>
      <c r="M23" s="389" t="inlineStr">
        <is>
          <t>Kurang Baik</t>
        </is>
      </c>
      <c r="N23" s="385" t="n"/>
      <c r="O23" s="390" t="inlineStr">
        <is>
          <t>Usul Penghapusan</t>
        </is>
      </c>
    </row>
    <row r="24" ht="18" customHeight="1" s="79">
      <c r="A24" s="383">
        <f>A23+1</f>
        <v/>
      </c>
      <c r="B24" s="621" t="inlineStr">
        <is>
          <t>Kursi Putar</t>
        </is>
      </c>
      <c r="C24" s="592" t="n"/>
      <c r="D24" s="391" t="inlineStr">
        <is>
          <t>Indhaci / D 920</t>
        </is>
      </c>
      <c r="E24" s="385" t="n"/>
      <c r="F24" s="385" t="n"/>
      <c r="G24" s="386" t="inlineStr">
        <is>
          <t>Besi Plastik</t>
        </is>
      </c>
      <c r="H24" s="383" t="n">
        <v>2014</v>
      </c>
      <c r="I24" s="383" t="inlineStr">
        <is>
          <t>02.06.02.01.030</t>
        </is>
      </c>
      <c r="J24" s="387" t="inlineStr">
        <is>
          <t>0035</t>
        </is>
      </c>
      <c r="K24" s="388" t="n">
        <v>794180</v>
      </c>
      <c r="L24" s="383" t="inlineStr">
        <is>
          <t>Baik</t>
        </is>
      </c>
      <c r="M24" s="389" t="inlineStr">
        <is>
          <t>Kurang Baik</t>
        </is>
      </c>
      <c r="N24" s="385" t="n"/>
      <c r="O24" s="390" t="inlineStr">
        <is>
          <t>Usul Penghapusan</t>
        </is>
      </c>
    </row>
    <row r="25" ht="18" customHeight="1" s="79">
      <c r="A25" s="214" t="n"/>
      <c r="B25" s="214" t="n"/>
      <c r="C25" s="214" t="n"/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214" t="n"/>
      <c r="M25" s="214" t="n"/>
      <c r="N25" s="214" t="n"/>
      <c r="O25" s="214" t="n"/>
    </row>
    <row r="26" ht="18" customHeight="1" s="79">
      <c r="A26" s="214" t="n"/>
      <c r="B26" s="214" t="n"/>
      <c r="C26" s="522" t="inlineStr">
        <is>
          <t>Mengetahui :</t>
        </is>
      </c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22" t="inlineStr">
        <is>
          <t>Banjarmasin,    Desember 2025</t>
        </is>
      </c>
      <c r="M26" s="214" t="n"/>
      <c r="N26" s="214" t="n"/>
      <c r="O26" s="214" t="n"/>
    </row>
    <row r="27" ht="18" customHeight="1" s="79">
      <c r="A27" s="214" t="n"/>
      <c r="B27" s="214" t="n"/>
      <c r="C27" s="5" t="inlineStr">
        <is>
          <t>Kepala Bakesbangpol Kota Banjarmasin,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5" t="inlineStr">
        <is>
          <t>Pengurus Barang,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5" t="n"/>
      <c r="M28" s="214" t="n"/>
      <c r="N28" s="214" t="n"/>
      <c r="O28" s="214" t="n"/>
    </row>
    <row r="29" ht="18" customHeight="1" s="79">
      <c r="A29" s="214" t="n"/>
      <c r="B29" s="214" t="n"/>
      <c r="C29" s="5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5" t="n"/>
      <c r="M29" s="214" t="n"/>
      <c r="N29" s="214" t="n"/>
      <c r="O29" s="214" t="n"/>
    </row>
    <row r="30" ht="18" customHeight="1" s="79">
      <c r="A30" s="214" t="n"/>
      <c r="B30" s="214" t="n"/>
      <c r="C30" s="5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5" t="n"/>
      <c r="M30" s="214" t="n"/>
      <c r="N30" s="214" t="n"/>
      <c r="O30" s="214" t="n"/>
    </row>
    <row r="31" ht="18" customHeight="1" s="79">
      <c r="A31" s="214" t="n"/>
      <c r="B31" s="214" t="n"/>
      <c r="C31" s="6" t="inlineStr">
        <is>
          <t>Dr. H. LUKMAN FADLUN, SH, MH</t>
        </is>
      </c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6" t="inlineStr">
        <is>
          <t>TRISNAWATI M ULYO HAPSARI, SE</t>
        </is>
      </c>
      <c r="M31" s="214" t="n"/>
      <c r="N31" s="214" t="n"/>
      <c r="O31" s="214" t="n"/>
    </row>
    <row r="32" ht="18" customHeight="1" s="79">
      <c r="A32" s="214" t="n"/>
      <c r="B32" s="214" t="n"/>
      <c r="C32" s="5" t="inlineStr">
        <is>
          <t>Pembina Utama Muda</t>
        </is>
      </c>
      <c r="D32" s="214" t="n"/>
      <c r="E32" s="214" t="n"/>
      <c r="F32" s="214" t="n"/>
      <c r="G32" s="214" t="n"/>
      <c r="H32" s="214" t="n"/>
      <c r="I32" s="214" t="n"/>
      <c r="J32" s="214" t="n"/>
      <c r="K32" s="214" t="n"/>
      <c r="L32" s="23">
        <f>'RUANG PELAYANAN'!L33</f>
        <v/>
      </c>
      <c r="M32" s="214" t="n"/>
      <c r="N32" s="214" t="n"/>
      <c r="O32" s="214" t="n"/>
    </row>
    <row r="33" ht="18" customHeight="1" s="79">
      <c r="A33" s="214" t="n"/>
      <c r="B33" s="214" t="n"/>
      <c r="C33" s="23" t="inlineStr">
        <is>
          <t>NIP. 19691013 200003 1 004</t>
        </is>
      </c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</row>
    <row r="34">
      <c r="K34" s="24" t="n"/>
    </row>
    <row r="35">
      <c r="B35" s="21" t="n"/>
      <c r="K35" s="25" t="n"/>
    </row>
    <row r="36">
      <c r="B36" s="22" t="n"/>
    </row>
    <row r="37">
      <c r="B37" s="22" t="n"/>
    </row>
  </sheetData>
  <mergeCells count="26">
    <mergeCell ref="B16:C16"/>
    <mergeCell ref="B10:C11"/>
    <mergeCell ref="B22:C22"/>
    <mergeCell ref="B18:C18"/>
    <mergeCell ref="E10:E11"/>
    <mergeCell ref="A6:B6"/>
    <mergeCell ref="B12:C12"/>
    <mergeCell ref="F9:F11"/>
    <mergeCell ref="B21:C21"/>
    <mergeCell ref="G9:G11"/>
    <mergeCell ref="B23:C23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B24:C2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O35"/>
  <sheetViews>
    <sheetView view="pageBreakPreview" zoomScaleNormal="55" workbookViewId="0">
      <selection activeCell="N30" sqref="N30"/>
    </sheetView>
  </sheetViews>
  <sheetFormatPr baseColWidth="8" defaultRowHeight="15.75"/>
  <cols>
    <col width="7" customWidth="1" style="79" min="2" max="2"/>
    <col width="24.375" customWidth="1" style="79" min="3" max="3"/>
    <col width="10.875" customWidth="1" style="79" min="4" max="4"/>
    <col width="10.75" customWidth="1" style="79" min="5" max="5"/>
    <col width="9.5" customWidth="1" style="79" min="6" max="6"/>
    <col width="14.625" customWidth="1" style="79" min="7" max="7"/>
    <col width="18.875" customWidth="1" style="79" min="8" max="8"/>
    <col width="20.625" customWidth="1" style="79" min="9" max="9"/>
    <col width="13.875" customWidth="1" style="79" min="10" max="10"/>
    <col width="13" customWidth="1" style="79" min="11" max="11"/>
    <col width="15.375" customWidth="1" style="79" min="13" max="13"/>
    <col width="15" customWidth="1" style="79" min="14" max="14"/>
    <col width="15.3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79" t="n"/>
      <c r="B1" s="279" t="n"/>
      <c r="C1" s="279" t="n"/>
      <c r="D1" s="279" t="n"/>
      <c r="E1" s="279" t="n"/>
      <c r="F1" s="279" t="n"/>
      <c r="G1" s="280" t="inlineStr">
        <is>
          <t>KARTU INVENTARIS RUANGAN</t>
        </is>
      </c>
      <c r="H1" s="279" t="n"/>
      <c r="I1" s="279" t="n"/>
      <c r="J1" s="279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Kabid Ideologi dan Wawasan Kebangsaan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18" customHeight="1" s="79">
      <c r="A13" s="398" t="n">
        <v>1</v>
      </c>
      <c r="B13" s="615" t="inlineStr">
        <is>
          <t>Lemari Besi</t>
        </is>
      </c>
      <c r="C13" s="592" t="n"/>
      <c r="D13" s="338" t="inlineStr">
        <is>
          <t>Brother / -</t>
        </is>
      </c>
      <c r="E13" s="399" t="n"/>
      <c r="F13" s="399" t="n"/>
      <c r="G13" s="398" t="inlineStr">
        <is>
          <t>Besi</t>
        </is>
      </c>
      <c r="H13" s="398" t="n">
        <v>2008</v>
      </c>
      <c r="I13" s="398" t="inlineStr">
        <is>
          <t>02.06.01.04.001</t>
        </is>
      </c>
      <c r="J13" s="400" t="inlineStr">
        <is>
          <t>0007</t>
        </is>
      </c>
      <c r="K13" s="343" t="n">
        <v>1730000</v>
      </c>
      <c r="L13" s="398" t="inlineStr">
        <is>
          <t>Baik</t>
        </is>
      </c>
      <c r="M13" s="399" t="n"/>
      <c r="N13" s="399" t="n"/>
      <c r="O13" s="399" t="n"/>
    </row>
    <row r="14" ht="36" customHeight="1" s="79">
      <c r="A14" s="374">
        <f>A13+1</f>
        <v/>
      </c>
      <c r="B14" s="619" t="inlineStr">
        <is>
          <t>Kursi Besi / Metal</t>
        </is>
      </c>
      <c r="C14" s="592" t="n"/>
      <c r="D14" s="402" t="inlineStr">
        <is>
          <t>- / Warna Crean</t>
        </is>
      </c>
      <c r="E14" s="379" t="n"/>
      <c r="F14" s="379" t="n"/>
      <c r="G14" s="374" t="inlineStr">
        <is>
          <t>Besi</t>
        </is>
      </c>
      <c r="H14" s="374" t="n">
        <v>1997</v>
      </c>
      <c r="I14" s="374" t="inlineStr">
        <is>
          <t>02.06.02.01.005</t>
        </is>
      </c>
      <c r="J14" s="377" t="inlineStr">
        <is>
          <t>0005</t>
        </is>
      </c>
      <c r="K14" s="403" t="inlineStr">
        <is>
          <t>148648.50</t>
        </is>
      </c>
      <c r="L14" s="374" t="inlineStr">
        <is>
          <t>Baik</t>
        </is>
      </c>
      <c r="M14" s="379" t="n"/>
      <c r="N14" s="379" t="n"/>
      <c r="O14" s="375" t="inlineStr">
        <is>
          <t>barang sudah pindah</t>
        </is>
      </c>
    </row>
    <row r="15" ht="36" customHeight="1" s="79">
      <c r="A15" s="374">
        <f>A14+1</f>
        <v/>
      </c>
      <c r="B15" s="619" t="inlineStr">
        <is>
          <t>Kursi Besi / Metal</t>
        </is>
      </c>
      <c r="C15" s="592" t="n"/>
      <c r="D15" s="402" t="inlineStr">
        <is>
          <t>- / Warna Crean</t>
        </is>
      </c>
      <c r="E15" s="379" t="n"/>
      <c r="F15" s="379" t="n"/>
      <c r="G15" s="374" t="inlineStr">
        <is>
          <t>Besi</t>
        </is>
      </c>
      <c r="H15" s="374" t="n">
        <v>1997</v>
      </c>
      <c r="I15" s="374" t="inlineStr">
        <is>
          <t>02.06.02.01.005</t>
        </is>
      </c>
      <c r="J15" s="377" t="inlineStr">
        <is>
          <t>0013</t>
        </is>
      </c>
      <c r="K15" s="403" t="inlineStr">
        <is>
          <t>148648.50</t>
        </is>
      </c>
      <c r="L15" s="374" t="inlineStr">
        <is>
          <t>Baik</t>
        </is>
      </c>
      <c r="M15" s="379" t="n"/>
      <c r="N15" s="379" t="n"/>
      <c r="O15" s="375" t="inlineStr">
        <is>
          <t>barang sudah pindah</t>
        </is>
      </c>
    </row>
    <row r="16" ht="54" customFormat="1" customHeight="1" s="430">
      <c r="A16" s="407">
        <f>A15+1</f>
        <v/>
      </c>
      <c r="B16" s="618" t="inlineStr">
        <is>
          <t>PC Unit</t>
        </is>
      </c>
      <c r="C16" s="592" t="n"/>
      <c r="D16" s="427" t="inlineStr">
        <is>
          <t>LENOVO / AIO 330 (A6)</t>
        </is>
      </c>
      <c r="E16" s="428" t="n"/>
      <c r="F16" s="428" t="n"/>
      <c r="G16" s="407" t="inlineStr">
        <is>
          <t>Campuran</t>
        </is>
      </c>
      <c r="H16" s="407" t="n">
        <v>2020</v>
      </c>
      <c r="I16" s="407" t="inlineStr">
        <is>
          <t>02.06.03.02.001</t>
        </is>
      </c>
      <c r="J16" s="412" t="inlineStr">
        <is>
          <t>0022</t>
        </is>
      </c>
      <c r="K16" s="429" t="n">
        <v>6996010</v>
      </c>
      <c r="L16" s="407" t="inlineStr">
        <is>
          <t>Baik</t>
        </is>
      </c>
      <c r="M16" s="428" t="n"/>
      <c r="N16" s="428" t="n"/>
      <c r="O16" s="408" t="inlineStr">
        <is>
          <t>Barang di pinjamkan ke staf</t>
        </is>
      </c>
    </row>
    <row r="17" ht="54" customFormat="1" customHeight="1" s="430">
      <c r="A17" s="407">
        <f>A16+1</f>
        <v/>
      </c>
      <c r="B17" s="618" t="inlineStr">
        <is>
          <t>Printer</t>
        </is>
      </c>
      <c r="C17" s="592" t="n"/>
      <c r="D17" s="427" t="inlineStr">
        <is>
          <t>EPSON /L360</t>
        </is>
      </c>
      <c r="E17" s="428" t="n"/>
      <c r="F17" s="428" t="n"/>
      <c r="G17" s="407" t="n"/>
      <c r="H17" s="407" t="n">
        <v>2018</v>
      </c>
      <c r="I17" s="407" t="inlineStr">
        <is>
          <t>02.06.03.05.003</t>
        </is>
      </c>
      <c r="J17" s="412" t="inlineStr">
        <is>
          <t>0028</t>
        </is>
      </c>
      <c r="K17" s="429" t="n">
        <v>2428691</v>
      </c>
      <c r="L17" s="407" t="inlineStr">
        <is>
          <t>Baik</t>
        </is>
      </c>
      <c r="M17" s="428" t="n"/>
      <c r="N17" s="428" t="n"/>
      <c r="O17" s="408" t="inlineStr">
        <is>
          <t>Barang di pinjamkan ke staf</t>
        </is>
      </c>
    </row>
    <row r="18" ht="36" customHeight="1" s="79">
      <c r="A18" s="398">
        <f>A17+1</f>
        <v/>
      </c>
      <c r="B18" s="615" t="inlineStr">
        <is>
          <t>Meja Kerja Pejabat Eselon III</t>
        </is>
      </c>
      <c r="C18" s="592" t="n"/>
      <c r="D18" s="401" t="inlineStr">
        <is>
          <t>ZETTA / MT2015</t>
        </is>
      </c>
      <c r="E18" s="399" t="n"/>
      <c r="F18" s="399" t="n"/>
      <c r="G18" s="398" t="n"/>
      <c r="H18" s="398" t="n">
        <v>2018</v>
      </c>
      <c r="I18" s="398" t="inlineStr">
        <is>
          <t>02.06.04.01.005</t>
        </is>
      </c>
      <c r="J18" s="400" t="inlineStr">
        <is>
          <t>0007</t>
        </is>
      </c>
      <c r="K18" s="343" t="n">
        <v>3433301</v>
      </c>
      <c r="L18" s="398" t="inlineStr">
        <is>
          <t>Baik</t>
        </is>
      </c>
      <c r="M18" s="399" t="n"/>
      <c r="N18" s="399" t="n"/>
      <c r="O18" s="401" t="n"/>
    </row>
    <row r="19" ht="54" customHeight="1" s="79">
      <c r="A19" s="393">
        <f>A18+1</f>
        <v/>
      </c>
      <c r="B19" s="622" t="inlineStr">
        <is>
          <t>Meja Kerja Pejabat Eselon IV</t>
        </is>
      </c>
      <c r="C19" s="592" t="n"/>
      <c r="D19" s="394" t="inlineStr">
        <is>
          <t>Active / Meja Kerja Staf</t>
        </is>
      </c>
      <c r="E19" s="395" t="n"/>
      <c r="F19" s="395" t="n"/>
      <c r="G19" s="393" t="inlineStr">
        <is>
          <t>Kayu Partikel</t>
        </is>
      </c>
      <c r="H19" s="393" t="n">
        <v>2008</v>
      </c>
      <c r="I19" s="393" t="inlineStr">
        <is>
          <t>02.06.04.01.006</t>
        </is>
      </c>
      <c r="J19" s="396" t="inlineStr">
        <is>
          <t>0030</t>
        </is>
      </c>
      <c r="K19" s="397" t="n">
        <v>562500</v>
      </c>
      <c r="L19" s="393" t="inlineStr">
        <is>
          <t>Baik</t>
        </is>
      </c>
      <c r="M19" s="395" t="n"/>
      <c r="N19" s="395" t="n"/>
      <c r="O19" s="394" t="inlineStr">
        <is>
          <t>usulan penghapusan</t>
        </is>
      </c>
    </row>
    <row r="20" ht="28.5" customHeight="1" s="79">
      <c r="A20" s="398">
        <f>A19+1</f>
        <v/>
      </c>
      <c r="B20" s="615" t="inlineStr">
        <is>
          <t>Kursi Kerja Pejabat Eselon III</t>
        </is>
      </c>
      <c r="C20" s="592" t="n"/>
      <c r="D20" s="338" t="n"/>
      <c r="E20" s="399" t="n"/>
      <c r="F20" s="399" t="n"/>
      <c r="G20" s="398" t="inlineStr">
        <is>
          <t>Besi Plastik</t>
        </is>
      </c>
      <c r="H20" s="398" t="n">
        <v>1997</v>
      </c>
      <c r="I20" s="398" t="inlineStr">
        <is>
          <t>02.06.04.03.005</t>
        </is>
      </c>
      <c r="J20" s="400" t="inlineStr">
        <is>
          <t>0011</t>
        </is>
      </c>
      <c r="K20" s="343" t="n">
        <v>539000</v>
      </c>
      <c r="L20" s="398" t="inlineStr">
        <is>
          <t>Baik</t>
        </is>
      </c>
      <c r="M20" s="399" t="n"/>
      <c r="N20" s="399" t="n"/>
      <c r="O20" s="399" t="n"/>
    </row>
    <row r="21" ht="28.5" customHeight="1" s="79">
      <c r="A21" s="398" t="n">
        <v>9</v>
      </c>
      <c r="B21" s="623" t="inlineStr">
        <is>
          <t>Filing Kabinet</t>
        </is>
      </c>
      <c r="C21" s="592" t="n"/>
      <c r="D21" s="436" t="inlineStr">
        <is>
          <t>Brother / -</t>
        </is>
      </c>
      <c r="E21" s="432" t="n"/>
      <c r="F21" s="432" t="n"/>
      <c r="G21" s="406" t="inlineStr">
        <is>
          <t>Besi</t>
        </is>
      </c>
      <c r="H21" s="398" t="n">
        <v>2006</v>
      </c>
      <c r="I21" s="398" t="inlineStr">
        <is>
          <t>02.06.01.04.004</t>
        </is>
      </c>
      <c r="J21" s="400" t="inlineStr">
        <is>
          <t>0001</t>
        </is>
      </c>
      <c r="K21" s="343" t="n"/>
      <c r="L21" s="398" t="inlineStr">
        <is>
          <t>Baik</t>
        </is>
      </c>
      <c r="M21" s="399" t="n"/>
      <c r="N21" s="399" t="n"/>
      <c r="O21" s="399" t="n"/>
    </row>
    <row r="22" ht="18" customHeight="1" s="79">
      <c r="A22" s="214" t="n"/>
      <c r="B22" s="214" t="n"/>
      <c r="C22" s="214" t="n"/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</row>
    <row r="23" ht="18" customHeight="1" s="79">
      <c r="A23" s="214" t="n"/>
      <c r="B23" s="214" t="n"/>
      <c r="C23" s="214" t="n"/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</row>
    <row r="24" ht="18" customHeight="1" s="79">
      <c r="A24" s="214" t="n"/>
      <c r="B24" s="214" t="n"/>
      <c r="C24" s="522" t="inlineStr">
        <is>
          <t>Mengetahui :</t>
        </is>
      </c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522" t="inlineStr">
        <is>
          <t>Banjarmasin,       Desember 2025</t>
        </is>
      </c>
      <c r="M24" s="214" t="n"/>
      <c r="N24" s="214" t="n"/>
      <c r="O24" s="214" t="n"/>
    </row>
    <row r="25" ht="18" customHeight="1" s="79">
      <c r="A25" s="214" t="n"/>
      <c r="B25" s="214" t="n"/>
      <c r="C25" s="5" t="inlineStr">
        <is>
          <t>Kepala Bakesbangpol Kota Banjarmasin,</t>
        </is>
      </c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5" t="inlineStr">
        <is>
          <t>Pengurus Barang,</t>
        </is>
      </c>
      <c r="M25" s="214" t="n"/>
      <c r="N25" s="214" t="n"/>
      <c r="O25" s="214" t="n"/>
    </row>
    <row r="26" ht="18" customHeight="1" s="79">
      <c r="A26" s="214" t="n"/>
      <c r="B26" s="214" t="n"/>
      <c r="C26" s="5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" t="n"/>
      <c r="M26" s="214" t="n"/>
      <c r="N26" s="214" t="n"/>
      <c r="O26" s="214" t="n"/>
    </row>
    <row r="27" ht="18" customHeight="1" s="79">
      <c r="A27" s="214" t="n"/>
      <c r="B27" s="214" t="n"/>
      <c r="C27" s="5" t="n"/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5" t="n"/>
      <c r="M27" s="214" t="n"/>
      <c r="N27" s="214" t="n"/>
      <c r="O27" s="214" t="n"/>
    </row>
    <row r="28" ht="18" customHeight="1" s="79">
      <c r="A28" s="214" t="n"/>
      <c r="B28" s="214" t="n"/>
      <c r="C28" s="5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5" t="n"/>
      <c r="M28" s="214" t="n"/>
      <c r="N28" s="214" t="n"/>
      <c r="O28" s="214" t="n"/>
    </row>
    <row r="29" ht="18" customHeight="1" s="79">
      <c r="A29" s="214" t="n"/>
      <c r="B29" s="214" t="n"/>
      <c r="C29" s="6" t="inlineStr">
        <is>
          <t>Dr. H. LUKMAN FADLUN, SH, MH</t>
        </is>
      </c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6" t="inlineStr">
        <is>
          <t>TRISNAWATI M ULYO HAPSARI, SE</t>
        </is>
      </c>
      <c r="M29" s="214" t="n"/>
      <c r="N29" s="214" t="n"/>
      <c r="O29" s="214" t="n"/>
    </row>
    <row r="30" ht="18" customHeight="1" s="79">
      <c r="A30" s="214" t="n"/>
      <c r="B30" s="214" t="n"/>
      <c r="C30" s="5" t="inlineStr">
        <is>
          <t>Pembina Utama Muda</t>
        </is>
      </c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23">
        <f>'RUANG DAPUR'!L32</f>
        <v/>
      </c>
      <c r="M30" s="214" t="n"/>
      <c r="N30" s="214" t="n"/>
      <c r="O30" s="214" t="n"/>
    </row>
    <row r="31" ht="18" customHeight="1" s="79">
      <c r="A31" s="214" t="n"/>
      <c r="B31" s="214" t="n"/>
      <c r="C31" s="23" t="inlineStr">
        <is>
          <t>NIP. 19691013 200003 1 004</t>
        </is>
      </c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214" t="n"/>
      <c r="M31" s="214" t="n"/>
      <c r="N31" s="214" t="n"/>
      <c r="O31" s="214" t="n"/>
    </row>
    <row r="32">
      <c r="K32" s="24" t="n"/>
    </row>
    <row r="33">
      <c r="B33" s="21" t="n"/>
      <c r="K33" s="25" t="n"/>
    </row>
    <row r="34">
      <c r="B34" s="22" t="n"/>
    </row>
    <row r="35">
      <c r="B35" s="22" t="n"/>
    </row>
  </sheetData>
  <mergeCells count="23">
    <mergeCell ref="B16:C16"/>
    <mergeCell ref="B10:C11"/>
    <mergeCell ref="B18:C18"/>
    <mergeCell ref="E10:E11"/>
    <mergeCell ref="A6:B6"/>
    <mergeCell ref="B12:C12"/>
    <mergeCell ref="F9:F11"/>
    <mergeCell ref="B21:C2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R20" sqref="R20"/>
    </sheetView>
  </sheetViews>
  <sheetFormatPr baseColWidth="8" defaultRowHeight="15.7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7"/>
  <sheetViews>
    <sheetView view="pageBreakPreview" topLeftCell="A16" zoomScaleNormal="55" workbookViewId="0">
      <selection activeCell="G29" sqref="G29"/>
    </sheetView>
  </sheetViews>
  <sheetFormatPr baseColWidth="8" defaultRowHeight="15.75"/>
  <cols>
    <col width="5.375" customWidth="1" style="79" min="1" max="1"/>
    <col width="7" customWidth="1" style="79" min="2" max="2"/>
    <col width="24.875" customWidth="1" style="79" min="3" max="3"/>
    <col width="18" customWidth="1" style="79" min="4" max="4"/>
    <col width="9.625" customWidth="1" style="79" min="5" max="5"/>
    <col width="8.875" customWidth="1" style="79" min="6" max="6"/>
    <col width="14.875" customWidth="1" style="79" min="7" max="7"/>
    <col width="18.625" customWidth="1" style="79" min="8" max="8"/>
    <col width="19.75" customWidth="1" style="79" min="9" max="9"/>
    <col width="13" customWidth="1" style="79" min="10" max="10"/>
    <col width="15.875" customWidth="1" style="79" min="11" max="11"/>
    <col width="6.875" customWidth="1" style="79" min="12" max="12"/>
    <col width="15.375" customWidth="1" style="79" min="13" max="13"/>
    <col width="14" customWidth="1" style="79" min="14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14" t="n"/>
      <c r="B1" s="214" t="n"/>
      <c r="C1" s="214" t="n"/>
      <c r="D1" s="214" t="n"/>
      <c r="E1" s="214" t="n"/>
      <c r="F1" s="214" t="n"/>
      <c r="G1" s="280" t="inlineStr">
        <is>
          <t>KARTU INVENTARIS RUANGAN</t>
        </is>
      </c>
      <c r="H1" s="214" t="n"/>
      <c r="I1" s="214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Kabid Ketahanan Seni, Budaya, Agama, Kemasyarakatan dan Ekonomi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6" t="inlineStr">
        <is>
          <t>Lemari Besi</t>
        </is>
      </c>
      <c r="C13" s="592" t="n"/>
      <c r="D13" s="346" t="inlineStr">
        <is>
          <t>Brother /             B 203</t>
        </is>
      </c>
      <c r="E13" s="347" t="n"/>
      <c r="F13" s="347" t="n"/>
      <c r="G13" s="273" t="inlineStr">
        <is>
          <t>Besi</t>
        </is>
      </c>
      <c r="H13" s="273" t="n">
        <v>2014</v>
      </c>
      <c r="I13" s="273" t="inlineStr">
        <is>
          <t>02.06.01.04.001</t>
        </is>
      </c>
      <c r="J13" s="274" t="inlineStr">
        <is>
          <t>0017</t>
        </is>
      </c>
      <c r="K13" s="341" t="n">
        <v>3669674</v>
      </c>
      <c r="L13" s="273" t="inlineStr">
        <is>
          <t>Baik</t>
        </is>
      </c>
      <c r="M13" s="347" t="n"/>
      <c r="N13" s="347" t="n"/>
      <c r="O13" s="347" t="n"/>
    </row>
    <row r="14" ht="36" customHeight="1" s="79">
      <c r="A14" s="398">
        <f>A13+1</f>
        <v/>
      </c>
      <c r="B14" s="616" t="inlineStr">
        <is>
          <t>Filling Besi / Metal</t>
        </is>
      </c>
      <c r="C14" s="592" t="n"/>
      <c r="D14" s="271" t="inlineStr">
        <is>
          <t>BROTHER / BS - 102</t>
        </is>
      </c>
      <c r="E14" s="347" t="n"/>
      <c r="F14" s="347" t="n"/>
      <c r="G14" s="340" t="inlineStr">
        <is>
          <t>Besi</t>
        </is>
      </c>
      <c r="H14" s="273" t="n">
        <v>2014</v>
      </c>
      <c r="I14" s="273" t="inlineStr">
        <is>
          <t>02.06.01.04.004</t>
        </is>
      </c>
      <c r="J14" s="274" t="inlineStr">
        <is>
          <t>0014</t>
        </is>
      </c>
      <c r="K14" s="341" t="n">
        <v>3292652</v>
      </c>
      <c r="L14" s="273" t="inlineStr">
        <is>
          <t>Baik</t>
        </is>
      </c>
      <c r="M14" s="347" t="n"/>
      <c r="N14" s="348" t="n"/>
      <c r="O14" s="347" t="n"/>
    </row>
    <row r="15" ht="56.25" customHeight="1" s="79">
      <c r="A15" s="374">
        <f>A14+1</f>
        <v/>
      </c>
      <c r="B15" s="619" t="inlineStr">
        <is>
          <t>Kursi Lipat</t>
        </is>
      </c>
      <c r="C15" s="592" t="n"/>
      <c r="D15" s="402" t="inlineStr">
        <is>
          <t>MATRIX / -</t>
        </is>
      </c>
      <c r="E15" s="379" t="n"/>
      <c r="F15" s="379" t="n"/>
      <c r="G15" s="374" t="n"/>
      <c r="H15" s="374" t="n">
        <v>2018</v>
      </c>
      <c r="I15" s="374" t="inlineStr">
        <is>
          <t>02.06.02.01.034</t>
        </is>
      </c>
      <c r="J15" s="377" t="inlineStr">
        <is>
          <t>0005</t>
        </is>
      </c>
      <c r="K15" s="382" t="n">
        <v>333232</v>
      </c>
      <c r="L15" s="374" t="inlineStr">
        <is>
          <t>Baik</t>
        </is>
      </c>
      <c r="M15" s="379" t="n"/>
      <c r="N15" s="379" t="n"/>
      <c r="O15" s="414" t="inlineStr">
        <is>
          <t>Barang sudah dipindahkan</t>
        </is>
      </c>
    </row>
    <row r="16" ht="36" customHeight="1" s="79">
      <c r="A16" s="426">
        <f>A15+1</f>
        <v/>
      </c>
      <c r="B16" s="624" t="inlineStr">
        <is>
          <t>AC Unit</t>
        </is>
      </c>
      <c r="C16" s="592" t="n"/>
      <c r="D16" s="437" t="inlineStr">
        <is>
          <t>Samsung / AS09TSMNXEA</t>
        </is>
      </c>
      <c r="E16" s="438" t="n"/>
      <c r="F16" s="438" t="n"/>
      <c r="G16" s="426" t="inlineStr">
        <is>
          <t>Besi Plastik</t>
        </is>
      </c>
      <c r="H16" s="426" t="n">
        <v>2013</v>
      </c>
      <c r="I16" s="426" t="inlineStr">
        <is>
          <t>02.06.02.04.003</t>
        </is>
      </c>
      <c r="J16" s="439" t="inlineStr">
        <is>
          <t>0007</t>
        </is>
      </c>
      <c r="K16" s="440" t="n">
        <v>4150000</v>
      </c>
      <c r="L16" s="426" t="inlineStr">
        <is>
          <t>Baik</t>
        </is>
      </c>
      <c r="M16" s="438" t="n"/>
      <c r="N16" s="438" t="n"/>
      <c r="O16" s="441" t="inlineStr">
        <is>
          <t>Barang Baru</t>
        </is>
      </c>
    </row>
    <row r="17" ht="18" customHeight="1" s="79">
      <c r="A17" s="398">
        <f>A16+1</f>
        <v/>
      </c>
      <c r="B17" s="616" t="inlineStr">
        <is>
          <t>Kursi Putar</t>
        </is>
      </c>
      <c r="C17" s="592" t="n"/>
      <c r="D17" s="349" t="inlineStr">
        <is>
          <t>Isabel 325 T / -</t>
        </is>
      </c>
      <c r="E17" s="347" t="n"/>
      <c r="F17" s="347" t="n"/>
      <c r="G17" s="273" t="inlineStr">
        <is>
          <t>Besi Plastik</t>
        </is>
      </c>
      <c r="H17" s="273" t="n">
        <v>2010</v>
      </c>
      <c r="I17" s="273" t="inlineStr">
        <is>
          <t>02.06.02.01.030</t>
        </is>
      </c>
      <c r="J17" s="274" t="inlineStr">
        <is>
          <t>0021</t>
        </is>
      </c>
      <c r="K17" s="341" t="n">
        <v>320000</v>
      </c>
      <c r="L17" s="273" t="inlineStr">
        <is>
          <t>Baik</t>
        </is>
      </c>
      <c r="M17" s="350" t="n"/>
      <c r="N17" s="347" t="n"/>
      <c r="O17" s="347" t="n"/>
    </row>
    <row r="18" ht="55.5" customHeight="1" s="79">
      <c r="A18" s="398">
        <f>A17+1</f>
        <v/>
      </c>
      <c r="B18" s="615" t="inlineStr">
        <is>
          <t>PC Unit</t>
        </is>
      </c>
      <c r="C18" s="592" t="n"/>
      <c r="D18" s="401" t="inlineStr">
        <is>
          <t>Lenovo / C260</t>
        </is>
      </c>
      <c r="E18" s="399" t="n"/>
      <c r="F18" s="399" t="n"/>
      <c r="G18" s="433" t="inlineStr">
        <is>
          <t>Besi Plastik</t>
        </is>
      </c>
      <c r="H18" s="398" t="n">
        <v>2015</v>
      </c>
      <c r="I18" s="398" t="inlineStr">
        <is>
          <t>02.06.03.02.001</t>
        </is>
      </c>
      <c r="J18" s="400" t="inlineStr">
        <is>
          <t>0015</t>
        </is>
      </c>
      <c r="K18" s="434" t="n">
        <v>6026316</v>
      </c>
      <c r="L18" s="398" t="inlineStr">
        <is>
          <t>Baik</t>
        </is>
      </c>
      <c r="M18" s="399" t="n"/>
      <c r="N18" s="435" t="n"/>
      <c r="O18" s="436" t="inlineStr">
        <is>
          <t>barang dipinjamkan ke staf</t>
        </is>
      </c>
    </row>
    <row r="19" ht="18" customHeight="1" s="79">
      <c r="A19" s="398">
        <f>A18+1</f>
        <v/>
      </c>
      <c r="B19" s="616" t="inlineStr">
        <is>
          <t>Printer</t>
        </is>
      </c>
      <c r="C19" s="592" t="n"/>
      <c r="D19" s="346" t="inlineStr">
        <is>
          <t>EPSON /L360</t>
        </is>
      </c>
      <c r="E19" s="347" t="n"/>
      <c r="F19" s="347" t="n"/>
      <c r="G19" s="273" t="inlineStr">
        <is>
          <t>Besi Plastik</t>
        </is>
      </c>
      <c r="H19" s="273" t="n">
        <v>2016</v>
      </c>
      <c r="I19" s="273" t="inlineStr">
        <is>
          <t>02.06.03.05.003</t>
        </is>
      </c>
      <c r="J19" s="274" t="inlineStr">
        <is>
          <t>0023</t>
        </is>
      </c>
      <c r="K19" s="341" t="n">
        <v>3142612</v>
      </c>
      <c r="L19" s="273" t="inlineStr">
        <is>
          <t>Baik</t>
        </is>
      </c>
      <c r="M19" s="347" t="n"/>
      <c r="N19" s="347" t="n"/>
      <c r="O19" s="347" t="n"/>
    </row>
    <row r="20" ht="54" customHeight="1" s="79">
      <c r="A20" s="398">
        <f>A19+1</f>
        <v/>
      </c>
      <c r="B20" s="616" t="inlineStr">
        <is>
          <t>Meja Kerja Pejabat Eselon III</t>
        </is>
      </c>
      <c r="C20" s="592" t="n"/>
      <c r="D20" s="271" t="inlineStr">
        <is>
          <t>ZETTA / MT201S / Esselon III</t>
        </is>
      </c>
      <c r="E20" s="347" t="n"/>
      <c r="F20" s="347" t="n"/>
      <c r="G20" s="273" t="inlineStr">
        <is>
          <t>Kayu Pertikel</t>
        </is>
      </c>
      <c r="H20" s="273" t="n">
        <v>2014</v>
      </c>
      <c r="I20" s="273" t="inlineStr">
        <is>
          <t>02.06.04.01.005</t>
        </is>
      </c>
      <c r="J20" s="274" t="inlineStr">
        <is>
          <t>0003</t>
        </is>
      </c>
      <c r="K20" s="341" t="n">
        <v>5126984</v>
      </c>
      <c r="L20" s="273" t="inlineStr">
        <is>
          <t>Baik</t>
        </is>
      </c>
      <c r="M20" s="347" t="n"/>
      <c r="N20" s="347" t="n"/>
      <c r="O20" s="271" t="n"/>
    </row>
    <row r="21" ht="36" customHeight="1" s="79">
      <c r="A21" s="398">
        <f>A20+1</f>
        <v/>
      </c>
      <c r="B21" s="616" t="inlineStr">
        <is>
          <t>Kursi Kerja Pejabat Eselon IV</t>
        </is>
      </c>
      <c r="C21" s="592" t="n"/>
      <c r="D21" s="346" t="inlineStr">
        <is>
          <t>Indachi D 800 / Esselon IV</t>
        </is>
      </c>
      <c r="E21" s="347" t="n"/>
      <c r="F21" s="347" t="n"/>
      <c r="G21" s="273" t="inlineStr">
        <is>
          <t>Besi Plastik</t>
        </is>
      </c>
      <c r="H21" s="273" t="n">
        <v>2010</v>
      </c>
      <c r="I21" s="273" t="inlineStr">
        <is>
          <t>02.06.04.03.006</t>
        </is>
      </c>
      <c r="J21" s="274" t="inlineStr">
        <is>
          <t>0006</t>
        </is>
      </c>
      <c r="K21" s="341" t="n">
        <v>942500</v>
      </c>
      <c r="L21" s="273" t="inlineStr">
        <is>
          <t>Baik</t>
        </is>
      </c>
      <c r="M21" s="347" t="n"/>
      <c r="N21" s="347" t="n"/>
      <c r="O21" s="347" t="n"/>
    </row>
    <row r="22" ht="36" customHeight="1" s="79">
      <c r="A22" s="398" t="n">
        <v>10</v>
      </c>
      <c r="B22" s="487" t="inlineStr">
        <is>
          <t>Kursi Rapat</t>
        </is>
      </c>
      <c r="C22" s="488" t="n"/>
      <c r="D22" s="423" t="inlineStr">
        <is>
          <t>MATRIX / -</t>
        </is>
      </c>
      <c r="E22" s="347" t="n"/>
      <c r="F22" s="347" t="n"/>
      <c r="G22" s="273" t="inlineStr">
        <is>
          <t>Besi</t>
        </is>
      </c>
      <c r="H22" s="273" t="n">
        <v>2020</v>
      </c>
      <c r="I22" s="273" t="inlineStr">
        <is>
          <t>02.06.04.04.008</t>
        </is>
      </c>
      <c r="J22" s="274" t="inlineStr">
        <is>
          <t>0001</t>
        </is>
      </c>
      <c r="K22" s="341" t="n">
        <v>315616</v>
      </c>
      <c r="L22" s="273" t="inlineStr">
        <is>
          <t>Baik</t>
        </is>
      </c>
      <c r="M22" s="347" t="n"/>
      <c r="N22" s="347" t="n"/>
      <c r="O22" s="347" t="n"/>
    </row>
    <row r="23" ht="36" customHeight="1" s="79">
      <c r="A23" s="398" t="n">
        <v>10</v>
      </c>
      <c r="B23" s="487" t="inlineStr">
        <is>
          <t>Kursi Rapat</t>
        </is>
      </c>
      <c r="C23" s="488" t="n"/>
      <c r="D23" s="423" t="inlineStr">
        <is>
          <t>MATRIX / -</t>
        </is>
      </c>
      <c r="E23" s="347" t="n"/>
      <c r="F23" s="347" t="n"/>
      <c r="G23" s="273" t="inlineStr">
        <is>
          <t>Besi</t>
        </is>
      </c>
      <c r="H23" s="273" t="n">
        <v>2020</v>
      </c>
      <c r="I23" s="273" t="inlineStr">
        <is>
          <t>02.06.04.04.008</t>
        </is>
      </c>
      <c r="J23" s="274" t="inlineStr">
        <is>
          <t>0026</t>
        </is>
      </c>
      <c r="K23" s="341" t="n">
        <v>315616</v>
      </c>
      <c r="L23" s="273" t="inlineStr">
        <is>
          <t>Baik</t>
        </is>
      </c>
      <c r="M23" s="347" t="n"/>
      <c r="N23" s="347" t="n"/>
      <c r="O23" s="347" t="n"/>
    </row>
    <row r="24" ht="36" customHeight="1" s="79">
      <c r="A24" s="398" t="n">
        <v>11</v>
      </c>
      <c r="B24" s="616" t="inlineStr">
        <is>
          <t>Laptop</t>
        </is>
      </c>
      <c r="C24" s="592" t="n"/>
      <c r="D24" s="346" t="n"/>
      <c r="E24" s="347" t="n"/>
      <c r="F24" s="347" t="n"/>
      <c r="G24" s="273" t="n"/>
      <c r="H24" s="273" t="n"/>
      <c r="I24" s="273" t="n"/>
      <c r="J24" s="274" t="n"/>
      <c r="K24" s="341" t="n"/>
      <c r="L24" s="273" t="n"/>
      <c r="M24" s="347" t="n"/>
      <c r="N24" s="347" t="n"/>
      <c r="O24" s="347" t="n"/>
    </row>
    <row r="25" ht="18" customHeight="1" s="79">
      <c r="A25" s="351" t="n"/>
      <c r="B25" s="352" t="n"/>
      <c r="C25" s="352" t="n"/>
      <c r="D25" s="352" t="n"/>
      <c r="E25" s="352" t="n"/>
      <c r="F25" s="352" t="n"/>
      <c r="G25" s="352" t="n"/>
      <c r="H25" s="352" t="n"/>
      <c r="I25" s="352" t="n"/>
      <c r="J25" s="352" t="n"/>
      <c r="K25" s="352" t="n"/>
      <c r="L25" s="352" t="n"/>
      <c r="M25" s="352" t="n"/>
      <c r="N25" s="352" t="n"/>
      <c r="O25" s="352" t="n"/>
    </row>
    <row r="26" ht="18" customHeight="1" s="79">
      <c r="A26" s="214" t="n"/>
      <c r="B26" s="214" t="n"/>
      <c r="C26" s="522" t="inlineStr">
        <is>
          <t>Mengetahui :</t>
        </is>
      </c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22" t="inlineStr">
        <is>
          <t>Banjarmasin,    Desember 2025</t>
        </is>
      </c>
      <c r="M26" s="214" t="n"/>
      <c r="N26" s="214" t="n"/>
      <c r="O26" s="214" t="n"/>
    </row>
    <row r="27" ht="18" customHeight="1" s="79">
      <c r="A27" s="214" t="n"/>
      <c r="B27" s="214" t="n"/>
      <c r="C27" s="5" t="inlineStr">
        <is>
          <t>Kepala Bakesbangpol Kota Banjarmasin,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5" t="inlineStr">
        <is>
          <t>Pengurus Barang,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5" t="n"/>
      <c r="M28" s="214" t="n"/>
      <c r="N28" s="214" t="n"/>
      <c r="O28" s="214" t="n"/>
    </row>
    <row r="29" ht="18" customHeight="1" s="79">
      <c r="A29" s="214" t="n"/>
      <c r="B29" s="214" t="n"/>
      <c r="C29" s="5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5" t="n"/>
      <c r="M29" s="214" t="n"/>
      <c r="N29" s="214" t="n"/>
      <c r="O29" s="214" t="n"/>
    </row>
    <row r="30" ht="18" customHeight="1" s="79">
      <c r="A30" s="214" t="n"/>
      <c r="B30" s="214" t="n"/>
      <c r="C30" s="5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5" t="n"/>
      <c r="M30" s="214" t="n"/>
      <c r="N30" s="214" t="n"/>
      <c r="O30" s="214" t="n"/>
    </row>
    <row r="31" ht="18" customHeight="1" s="79">
      <c r="A31" s="214" t="n"/>
      <c r="B31" s="214" t="n"/>
      <c r="C31" s="6" t="inlineStr">
        <is>
          <t>Dr. H. LUKMAN FADLUN, SH, MH</t>
        </is>
      </c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6" t="inlineStr">
        <is>
          <t>TRISNAWATI M ULYO HAPSARI, SE</t>
        </is>
      </c>
      <c r="M31" s="214" t="n"/>
      <c r="N31" s="214" t="n"/>
      <c r="O31" s="214" t="n"/>
    </row>
    <row r="32" ht="18" customHeight="1" s="79">
      <c r="A32" s="214" t="n"/>
      <c r="B32" s="214" t="n"/>
      <c r="C32" s="5" t="inlineStr">
        <is>
          <t>Pembina Utama Muda</t>
        </is>
      </c>
      <c r="D32" s="214" t="n"/>
      <c r="E32" s="214" t="n"/>
      <c r="F32" s="214" t="n"/>
      <c r="G32" s="214" t="n"/>
      <c r="H32" s="214" t="n"/>
      <c r="I32" s="214" t="n"/>
      <c r="J32" s="214" t="n"/>
      <c r="K32" s="214" t="n"/>
      <c r="L32" s="23">
        <f>'RUANG KABID IDEOLOGI'!L30</f>
        <v/>
      </c>
      <c r="M32" s="214" t="n"/>
      <c r="N32" s="214" t="n"/>
      <c r="O32" s="214" t="n"/>
    </row>
    <row r="33" ht="18" customHeight="1" s="79">
      <c r="A33" s="214" t="n"/>
      <c r="B33" s="214" t="n"/>
      <c r="C33" s="23" t="inlineStr">
        <is>
          <t>NIP. 19691013 200003 1 004</t>
        </is>
      </c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</row>
    <row r="34">
      <c r="K34" s="24" t="n"/>
    </row>
    <row r="35">
      <c r="B35" s="21" t="n"/>
      <c r="K35" s="25" t="n"/>
    </row>
    <row r="36">
      <c r="B36" s="22" t="n"/>
    </row>
    <row r="37">
      <c r="B37" s="22" t="n"/>
    </row>
  </sheetData>
  <mergeCells count="24">
    <mergeCell ref="B16:C16"/>
    <mergeCell ref="B10:C11"/>
    <mergeCell ref="B18:C18"/>
    <mergeCell ref="E10:E11"/>
    <mergeCell ref="A6:B6"/>
    <mergeCell ref="B12:C12"/>
    <mergeCell ref="F9:F11"/>
    <mergeCell ref="B21:C2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B24:C24"/>
    <mergeCell ref="O10:O11"/>
    <mergeCell ref="D10:D11"/>
    <mergeCell ref="B15:C15"/>
    <mergeCell ref="B20:C20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3"/>
  <sheetViews>
    <sheetView view="pageBreakPreview" topLeftCell="A14" zoomScaleNormal="55" workbookViewId="0">
      <selection activeCell="N32" sqref="N32"/>
    </sheetView>
  </sheetViews>
  <sheetFormatPr baseColWidth="8" defaultRowHeight="15.75"/>
  <cols>
    <col width="5.875" customWidth="1" style="79" min="1" max="1"/>
    <col width="7" customWidth="1" style="79" min="2" max="2"/>
    <col width="24.5" customWidth="1" style="79" min="3" max="3"/>
    <col width="13.25" customWidth="1" style="79" min="4" max="4"/>
    <col width="9.625" customWidth="1" style="79" min="5" max="5"/>
    <col width="11.5" customWidth="1" style="79" min="6" max="6"/>
    <col width="15.5" customWidth="1" style="79" min="7" max="7"/>
    <col width="18.125" customWidth="1" style="79" min="8" max="8"/>
    <col width="20.125" customWidth="1" style="79" min="9" max="9"/>
    <col width="13.375" customWidth="1" style="79" min="10" max="10"/>
    <col width="14.25" customWidth="1" style="79" min="11" max="11"/>
    <col width="6.625" customWidth="1" style="79" min="12" max="12"/>
    <col width="14.5" customWidth="1" style="79" min="13" max="13"/>
    <col width="14.875" customWidth="1" style="79" min="14" max="14"/>
    <col width="13.37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14" t="n"/>
      <c r="B1" s="214" t="n"/>
      <c r="C1" s="214" t="n"/>
      <c r="D1" s="214" t="n"/>
      <c r="E1" s="214" t="n"/>
      <c r="F1" s="214" t="n"/>
      <c r="G1" s="280" t="inlineStr">
        <is>
          <t>KARTU INVENTARIS RUANGAN</t>
        </is>
      </c>
      <c r="H1" s="214" t="n"/>
      <c r="I1" s="214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Kabid Politik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54" customHeight="1" s="79">
      <c r="A13" s="398" t="n">
        <v>1</v>
      </c>
      <c r="B13" s="615" t="inlineStr">
        <is>
          <t>Lemari Besi</t>
        </is>
      </c>
      <c r="C13" s="592" t="n"/>
      <c r="D13" s="338" t="inlineStr">
        <is>
          <t>KRISBROW / KW17-195</t>
        </is>
      </c>
      <c r="E13" s="399" t="n"/>
      <c r="F13" s="399" t="n"/>
      <c r="G13" s="398" t="inlineStr">
        <is>
          <t>Besi</t>
        </is>
      </c>
      <c r="H13" s="398" t="n">
        <v>2012</v>
      </c>
      <c r="I13" s="398" t="inlineStr">
        <is>
          <t>02.06.01.04.001</t>
        </is>
      </c>
      <c r="J13" s="400" t="inlineStr">
        <is>
          <t>0012</t>
        </is>
      </c>
      <c r="K13" s="343" t="n">
        <v>3400000</v>
      </c>
      <c r="L13" s="398" t="inlineStr">
        <is>
          <t>Baik</t>
        </is>
      </c>
      <c r="M13" s="399" t="n"/>
      <c r="N13" s="399" t="n"/>
      <c r="O13" s="399" t="n"/>
    </row>
    <row r="14" ht="36" customHeight="1" s="79">
      <c r="A14" s="398">
        <f>A13+1</f>
        <v/>
      </c>
      <c r="B14" s="615" t="inlineStr">
        <is>
          <t>Filling Besi / Metal</t>
        </is>
      </c>
      <c r="C14" s="592" t="n"/>
      <c r="D14" s="401" t="inlineStr">
        <is>
          <t>BROTHER / BS - 102</t>
        </is>
      </c>
      <c r="E14" s="399" t="n"/>
      <c r="F14" s="399" t="n"/>
      <c r="G14" s="433" t="inlineStr">
        <is>
          <t>Besi</t>
        </is>
      </c>
      <c r="H14" s="398" t="n">
        <v>2014</v>
      </c>
      <c r="I14" s="398" t="inlineStr">
        <is>
          <t>02.06.01.04.004</t>
        </is>
      </c>
      <c r="J14" s="400" t="inlineStr">
        <is>
          <t>0012</t>
        </is>
      </c>
      <c r="K14" s="343" t="n">
        <v>3292653</v>
      </c>
      <c r="L14" s="398" t="inlineStr">
        <is>
          <t>Baik</t>
        </is>
      </c>
      <c r="M14" s="399" t="n"/>
      <c r="N14" s="399" t="n"/>
      <c r="O14" s="399" t="n"/>
    </row>
    <row r="15" ht="36" customHeight="1" s="79">
      <c r="A15" s="398">
        <f>A14+1</f>
        <v/>
      </c>
      <c r="B15" s="615" t="inlineStr">
        <is>
          <t>Kursi Besi/Metal</t>
        </is>
      </c>
      <c r="C15" s="592" t="n"/>
      <c r="D15" s="345" t="inlineStr">
        <is>
          <t>- / Warna Cream</t>
        </is>
      </c>
      <c r="E15" s="399" t="n"/>
      <c r="F15" s="399" t="n"/>
      <c r="G15" s="263" t="inlineStr">
        <is>
          <t>Besi</t>
        </is>
      </c>
      <c r="H15" s="398" t="n">
        <v>1997</v>
      </c>
      <c r="I15" s="398" t="inlineStr">
        <is>
          <t>02.06.02.01.005</t>
        </is>
      </c>
      <c r="J15" s="400" t="inlineStr">
        <is>
          <t>0003</t>
        </is>
      </c>
      <c r="K15" s="343" t="inlineStr">
        <is>
          <t>148648.50</t>
        </is>
      </c>
      <c r="L15" s="398" t="n"/>
      <c r="M15" s="268" t="inlineStr">
        <is>
          <t>Kurang Baik</t>
        </is>
      </c>
      <c r="N15" s="399" t="n"/>
      <c r="O15" s="401" t="n"/>
    </row>
    <row r="16" ht="36" customHeight="1" s="79">
      <c r="A16" s="398">
        <f>A15+1</f>
        <v/>
      </c>
      <c r="B16" s="615" t="inlineStr">
        <is>
          <t>Kursi Besi/Metal</t>
        </is>
      </c>
      <c r="C16" s="592" t="n"/>
      <c r="D16" s="345" t="inlineStr">
        <is>
          <t>- / Warna Cream</t>
        </is>
      </c>
      <c r="E16" s="399" t="n"/>
      <c r="F16" s="399" t="n"/>
      <c r="G16" s="398" t="inlineStr">
        <is>
          <t>Besi</t>
        </is>
      </c>
      <c r="H16" s="398" t="n">
        <v>1997</v>
      </c>
      <c r="I16" s="398" t="inlineStr">
        <is>
          <t>02.06.02.01.005</t>
        </is>
      </c>
      <c r="J16" s="400" t="inlineStr">
        <is>
          <t>0006</t>
        </is>
      </c>
      <c r="K16" s="343" t="inlineStr">
        <is>
          <t>148648.50</t>
        </is>
      </c>
      <c r="L16" s="398" t="n"/>
      <c r="M16" s="268" t="inlineStr">
        <is>
          <t>Kurang Baik</t>
        </is>
      </c>
      <c r="N16" s="399" t="n"/>
      <c r="O16" s="401" t="n"/>
    </row>
    <row r="17" ht="36" customHeight="1" s="79">
      <c r="A17" s="398">
        <f>A16+1</f>
        <v/>
      </c>
      <c r="B17" s="615" t="inlineStr">
        <is>
          <t>Meja Komputer</t>
        </is>
      </c>
      <c r="C17" s="592" t="n"/>
      <c r="D17" s="401" t="inlineStr">
        <is>
          <t>AZTEC / CD 800 P</t>
        </is>
      </c>
      <c r="E17" s="399" t="n"/>
      <c r="F17" s="399" t="n"/>
      <c r="G17" s="433" t="inlineStr">
        <is>
          <t>Serbuk Kayu</t>
        </is>
      </c>
      <c r="H17" s="398" t="n">
        <v>2013</v>
      </c>
      <c r="I17" s="398" t="inlineStr">
        <is>
          <t>02.06.02.01.037</t>
        </is>
      </c>
      <c r="J17" s="400" t="inlineStr">
        <is>
          <t>0002</t>
        </is>
      </c>
      <c r="K17" s="343" t="inlineStr">
        <is>
          <t>588424.11</t>
        </is>
      </c>
      <c r="L17" s="398" t="inlineStr">
        <is>
          <t>Baik</t>
        </is>
      </c>
      <c r="M17" s="399" t="n"/>
      <c r="N17" s="399" t="n"/>
      <c r="O17" s="399" t="n"/>
    </row>
    <row r="18" ht="36" customHeight="1" s="79">
      <c r="A18" s="398">
        <f>A17+1</f>
        <v/>
      </c>
      <c r="B18" s="615" t="inlineStr">
        <is>
          <t>Meja Kerja Pejabat Eselon III</t>
        </is>
      </c>
      <c r="C18" s="592" t="n"/>
      <c r="D18" s="401" t="inlineStr">
        <is>
          <t>ZETTA / MT 201 / Esselon III</t>
        </is>
      </c>
      <c r="E18" s="399" t="n"/>
      <c r="F18" s="399" t="n"/>
      <c r="G18" s="398" t="inlineStr">
        <is>
          <t>Kayu Pertikel</t>
        </is>
      </c>
      <c r="H18" s="398" t="n">
        <v>2017</v>
      </c>
      <c r="I18" s="398" t="inlineStr">
        <is>
          <t>02.06.04.01.005</t>
        </is>
      </c>
      <c r="J18" s="400" t="inlineStr">
        <is>
          <t>0005</t>
        </is>
      </c>
      <c r="K18" s="343" t="n">
        <v>2284351</v>
      </c>
      <c r="L18" s="398" t="inlineStr">
        <is>
          <t>Baik</t>
        </is>
      </c>
      <c r="M18" s="399" t="n"/>
      <c r="N18" s="399" t="n"/>
      <c r="O18" s="401" t="n"/>
    </row>
    <row r="19" ht="36" customHeight="1" s="79">
      <c r="A19" s="398">
        <f>A18+1</f>
        <v/>
      </c>
      <c r="B19" s="615" t="inlineStr">
        <is>
          <t>Kursi Kerja Pejabat Eselon IV</t>
        </is>
      </c>
      <c r="C19" s="592" t="n"/>
      <c r="D19" s="338" t="inlineStr">
        <is>
          <t xml:space="preserve">Indachi D 821 CR/ Kursi Kerja Staf </t>
        </is>
      </c>
      <c r="E19" s="399" t="n"/>
      <c r="F19" s="399" t="n"/>
      <c r="G19" s="398" t="inlineStr">
        <is>
          <t>Kayu Pertikel</t>
        </is>
      </c>
      <c r="H19" s="398" t="n">
        <v>2015</v>
      </c>
      <c r="I19" s="398" t="inlineStr">
        <is>
          <t>02.06.04.03.006</t>
        </is>
      </c>
      <c r="J19" s="400" t="inlineStr">
        <is>
          <t>0007</t>
        </is>
      </c>
      <c r="K19" s="343" t="n">
        <v>2181159</v>
      </c>
      <c r="L19" s="398" t="inlineStr">
        <is>
          <t>Baik</t>
        </is>
      </c>
      <c r="M19" s="399" t="n"/>
      <c r="N19" s="399" t="n"/>
      <c r="O19" s="399" t="n"/>
    </row>
    <row r="20" ht="18" customHeight="1" s="79">
      <c r="A20" s="214" t="n"/>
      <c r="B20" s="214" t="n"/>
      <c r="C20" s="214" t="n"/>
      <c r="D20" s="214" t="n"/>
      <c r="E20" s="214" t="n"/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</row>
    <row r="21" ht="18" customHeight="1" s="79">
      <c r="A21" s="214" t="n"/>
      <c r="B21" s="214" t="n"/>
      <c r="C21" s="214" t="n"/>
      <c r="D21" s="214" t="n"/>
      <c r="E21" s="214" t="n"/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</row>
    <row r="22" ht="18" customHeight="1" s="79">
      <c r="A22" s="214" t="n"/>
      <c r="B22" s="214" t="n"/>
      <c r="C22" s="522" t="inlineStr">
        <is>
          <t>Mengetahui :</t>
        </is>
      </c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522" t="inlineStr">
        <is>
          <t>Banjarmasin,     Desember 2025</t>
        </is>
      </c>
      <c r="M22" s="214" t="n"/>
      <c r="N22" s="214" t="n"/>
      <c r="O22" s="214" t="n"/>
    </row>
    <row r="23" ht="18" customHeight="1" s="79">
      <c r="A23" s="214" t="n"/>
      <c r="B23" s="214" t="n"/>
      <c r="C23" s="5" t="inlineStr">
        <is>
          <t>Kepala Bakesbangpol Kota Banjarmasin,</t>
        </is>
      </c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5" t="inlineStr">
        <is>
          <t>Pengurus Barang,</t>
        </is>
      </c>
      <c r="M23" s="214" t="n"/>
      <c r="N23" s="214" t="n"/>
      <c r="O23" s="214" t="n"/>
    </row>
    <row r="24" ht="18" customHeight="1" s="79">
      <c r="A24" s="214" t="n"/>
      <c r="B24" s="214" t="n"/>
      <c r="C24" s="5" t="n"/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5" t="n"/>
      <c r="M24" s="214" t="n"/>
      <c r="N24" s="214" t="n"/>
      <c r="O24" s="214" t="n"/>
    </row>
    <row r="25" ht="18" customHeight="1" s="79">
      <c r="A25" s="214" t="n"/>
      <c r="B25" s="214" t="n"/>
      <c r="C25" s="5" t="n"/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5" t="n"/>
      <c r="M25" s="214" t="n"/>
      <c r="N25" s="214" t="n"/>
      <c r="O25" s="214" t="n"/>
    </row>
    <row r="26" ht="18" customHeight="1" s="79">
      <c r="A26" s="214" t="n"/>
      <c r="B26" s="214" t="n"/>
      <c r="C26" s="5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" t="n"/>
      <c r="M26" s="214" t="n"/>
      <c r="N26" s="214" t="n"/>
      <c r="O26" s="214" t="n"/>
    </row>
    <row r="27" ht="18" customHeight="1" s="79">
      <c r="A27" s="214" t="n"/>
      <c r="B27" s="214" t="n"/>
      <c r="C27" s="6" t="inlineStr">
        <is>
          <t>Dr. H. LUKMAN FADLUN, SH, MH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6" t="inlineStr">
        <is>
          <t>TRISNAWATI M ULYO HAPSARI, SE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inlineStr">
        <is>
          <t>Pembina Utama Muda</t>
        </is>
      </c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23">
        <f>'RUANG KABID HANSENIBUD'!L32</f>
        <v/>
      </c>
      <c r="M28" s="214" t="n"/>
      <c r="N28" s="214" t="n"/>
      <c r="O28" s="214" t="n"/>
    </row>
    <row r="29" ht="18" customHeight="1" s="79">
      <c r="A29" s="214" t="n"/>
      <c r="B29" s="214" t="n"/>
      <c r="C29" s="23" t="inlineStr">
        <is>
          <t>NIP. 19691013 200003 1 004</t>
        </is>
      </c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</row>
    <row r="30">
      <c r="K30" s="24" t="n"/>
    </row>
    <row r="31">
      <c r="B31" s="21" t="n"/>
      <c r="K31" s="25" t="n"/>
    </row>
    <row r="32">
      <c r="B32" s="22" t="n"/>
    </row>
    <row r="33">
      <c r="B33" s="22" t="n"/>
    </row>
  </sheetData>
  <mergeCells count="21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3"/>
  <sheetViews>
    <sheetView view="pageBreakPreview" topLeftCell="A10" zoomScaleNormal="55" workbookViewId="0">
      <selection activeCell="N27" sqref="N27"/>
    </sheetView>
  </sheetViews>
  <sheetFormatPr baseColWidth="8" defaultRowHeight="15.75"/>
  <cols>
    <col width="6.125" customWidth="1" style="79" min="1" max="1"/>
    <col width="7" customWidth="1" style="79" min="2" max="2"/>
    <col width="24" customWidth="1" style="79" min="3" max="3"/>
    <col width="14" customWidth="1" style="79" min="4" max="4"/>
    <col width="9.375" customWidth="1" style="79" min="5" max="5"/>
    <col width="9.25" customWidth="1" style="79" min="6" max="6"/>
    <col width="14.875" customWidth="1" style="79" min="7" max="7"/>
    <col width="18.625" customWidth="1" style="79" min="8" max="8"/>
    <col width="19.75" customWidth="1" style="79" min="9" max="9"/>
    <col width="13.375" customWidth="1" style="79" min="10" max="10"/>
    <col width="15.125" customWidth="1" style="79" min="11" max="11"/>
    <col width="6.125" customWidth="1" style="79" min="12" max="12"/>
    <col width="14.125" customWidth="1" style="79" min="13" max="13"/>
    <col width="14.375" customWidth="1" style="79" min="14" max="14"/>
    <col width="13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20.25" customHeight="1" s="79">
      <c r="A1" s="214" t="n"/>
      <c r="B1" s="214" t="n"/>
      <c r="C1" s="214" t="n"/>
      <c r="D1" s="214" t="n"/>
      <c r="E1" s="214" t="n"/>
      <c r="F1" s="214" t="n"/>
      <c r="G1" s="280" t="inlineStr">
        <is>
          <t>KARTU INVENTARIS RUANGAN</t>
        </is>
      </c>
      <c r="H1" s="214" t="n"/>
      <c r="I1" s="214" t="n"/>
      <c r="J1" s="214" t="n"/>
      <c r="K1" s="214" t="n"/>
      <c r="L1" s="214" t="n"/>
      <c r="M1" s="214" t="n"/>
      <c r="N1" s="214" t="inlineStr">
        <is>
          <t>MODEL INV. 6</t>
        </is>
      </c>
      <c r="O1" s="214" t="n"/>
    </row>
    <row r="2" ht="18" customHeight="1" s="79">
      <c r="A2" s="214" t="n"/>
      <c r="B2" s="214" t="n"/>
      <c r="C2" s="214" t="n"/>
      <c r="D2" s="214" t="n"/>
      <c r="E2" s="214" t="n"/>
      <c r="F2" s="214" t="n"/>
      <c r="G2" s="331" t="n"/>
      <c r="H2" s="214" t="n"/>
      <c r="I2" s="214" t="n"/>
      <c r="J2" s="214" t="n"/>
      <c r="K2" s="214" t="n"/>
      <c r="L2" s="214" t="n"/>
      <c r="M2" s="214" t="n"/>
      <c r="N2" s="214" t="n"/>
      <c r="O2" s="214" t="n"/>
    </row>
    <row r="3" ht="18" customHeight="1" s="79">
      <c r="A3" s="512" t="inlineStr">
        <is>
          <t>Kab/Kota</t>
        </is>
      </c>
      <c r="C3" s="331" t="inlineStr">
        <is>
          <t>Kota Banjarmasin</t>
        </is>
      </c>
      <c r="D3" s="214" t="n"/>
      <c r="E3" s="214" t="n"/>
      <c r="F3" s="214" t="n"/>
      <c r="G3" s="331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18" customHeight="1" s="79">
      <c r="A4" s="512" t="inlineStr">
        <is>
          <t>Propinsi</t>
        </is>
      </c>
      <c r="C4" s="331" t="inlineStr">
        <is>
          <t>Kalimantan Selatan</t>
        </is>
      </c>
      <c r="D4" s="214" t="n"/>
      <c r="E4" s="214" t="n"/>
      <c r="F4" s="214" t="n"/>
      <c r="G4" s="331" t="n"/>
      <c r="H4" s="214" t="n"/>
      <c r="I4" s="214" t="n"/>
      <c r="J4" s="214" t="n"/>
      <c r="K4" s="214" t="n"/>
      <c r="L4" s="214" t="n"/>
      <c r="M4" s="214" t="n"/>
      <c r="N4" s="214" t="n"/>
      <c r="O4" s="214" t="n"/>
    </row>
    <row r="5" ht="18" customHeight="1" s="79">
      <c r="A5" s="512" t="inlineStr">
        <is>
          <t>Satuan Kerja</t>
        </is>
      </c>
      <c r="C5" s="331" t="inlineStr">
        <is>
          <t>Badan Kesatuan Bangsa dan Politik Kota Banjarmasin</t>
        </is>
      </c>
      <c r="D5" s="214" t="n"/>
      <c r="E5" s="214" t="n"/>
      <c r="F5" s="214" t="n"/>
      <c r="G5" s="331" t="n"/>
      <c r="H5" s="214" t="n"/>
      <c r="I5" s="214" t="n"/>
      <c r="J5" s="214" t="n"/>
      <c r="K5" s="214" t="n"/>
      <c r="L5" s="214" t="n"/>
      <c r="M5" s="214" t="n"/>
      <c r="N5" s="214" t="n"/>
      <c r="O5" s="214" t="n"/>
    </row>
    <row r="6" ht="18" customHeight="1" s="79">
      <c r="A6" s="512" t="inlineStr">
        <is>
          <t>Ruangan</t>
        </is>
      </c>
      <c r="C6" s="331" t="inlineStr">
        <is>
          <t>Kabid Kewaspadaan Nasional</t>
        </is>
      </c>
      <c r="D6" s="214" t="n"/>
      <c r="E6" s="214" t="n"/>
      <c r="F6" s="214" t="n"/>
      <c r="G6" s="331" t="n"/>
      <c r="H6" s="214" t="n"/>
      <c r="I6" s="214" t="n"/>
      <c r="J6" s="214" t="n"/>
      <c r="K6" s="214" t="n"/>
      <c r="L6" s="214" t="n"/>
      <c r="M6" s="214" t="n"/>
      <c r="N6" s="214" t="n"/>
      <c r="O6" s="214" t="n"/>
    </row>
    <row r="7" ht="18" customHeight="1" s="79">
      <c r="A7" s="331" t="n"/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18" customHeight="1" s="79">
      <c r="A8" s="331" t="inlineStr">
        <is>
          <t xml:space="preserve">NO.KODE LOKASI : </t>
        </is>
      </c>
      <c r="B8" s="331" t="n"/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</row>
    <row r="9" ht="18" customHeight="1" s="79">
      <c r="A9" s="500" t="inlineStr">
        <is>
          <t>No.</t>
        </is>
      </c>
      <c r="B9" s="500" t="inlineStr">
        <is>
          <t>Nama Barang</t>
        </is>
      </c>
      <c r="C9" s="589" t="n"/>
      <c r="D9" s="500" t="inlineStr">
        <is>
          <t>Merk/</t>
        </is>
      </c>
      <c r="E9" s="500" t="inlineStr">
        <is>
          <t>No. Seri</t>
        </is>
      </c>
      <c r="F9" s="585" t="inlineStr">
        <is>
          <t>Ukuran</t>
        </is>
      </c>
      <c r="G9" s="585" t="inlineStr">
        <is>
          <t>Bahan</t>
        </is>
      </c>
      <c r="H9" s="500" t="inlineStr">
        <is>
          <t xml:space="preserve">Tahun </t>
        </is>
      </c>
      <c r="I9" s="500" t="n"/>
      <c r="J9" s="500" t="inlineStr">
        <is>
          <t xml:space="preserve">Jumlah </t>
        </is>
      </c>
      <c r="K9" s="500" t="inlineStr">
        <is>
          <t xml:space="preserve">Harga </t>
        </is>
      </c>
      <c r="L9" s="494" t="inlineStr">
        <is>
          <t xml:space="preserve">Keadaan Barang </t>
        </is>
      </c>
      <c r="M9" s="591" t="n"/>
      <c r="N9" s="592" t="n"/>
      <c r="O9" s="500" t="inlineStr">
        <is>
          <t>Keterangan</t>
        </is>
      </c>
    </row>
    <row r="10" ht="18" customHeight="1" s="79">
      <c r="A10" s="491" t="inlineStr">
        <is>
          <t>Urut</t>
        </is>
      </c>
      <c r="B10" s="491" t="inlineStr">
        <is>
          <t>Jenis Barang</t>
        </is>
      </c>
      <c r="C10" s="593" t="n"/>
      <c r="D10" s="491" t="inlineStr">
        <is>
          <t>Model</t>
        </is>
      </c>
      <c r="E10" s="491" t="inlineStr">
        <is>
          <t>Pabrik</t>
        </is>
      </c>
      <c r="F10" s="594" t="n"/>
      <c r="G10" s="594" t="n"/>
      <c r="H10" s="504" t="inlineStr">
        <is>
          <t>Pembuatan</t>
        </is>
      </c>
      <c r="I10" s="504" t="inlineStr">
        <is>
          <t xml:space="preserve">No. Kode Barang </t>
        </is>
      </c>
      <c r="J10" s="504" t="inlineStr">
        <is>
          <t>Barang</t>
        </is>
      </c>
      <c r="K10" s="504" t="inlineStr">
        <is>
          <t>Beli/</t>
        </is>
      </c>
      <c r="L10" s="504" t="inlineStr">
        <is>
          <t>Baik</t>
        </is>
      </c>
      <c r="M10" s="504" t="inlineStr">
        <is>
          <t>Kurang Baik</t>
        </is>
      </c>
      <c r="N10" s="504" t="inlineStr">
        <is>
          <t>Rusak Berat</t>
        </is>
      </c>
      <c r="O10" s="482" t="inlineStr">
        <is>
          <t>Mutasi dll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501" t="inlineStr">
        <is>
          <t>Atau Pembelian</t>
        </is>
      </c>
      <c r="I11" s="501" t="n"/>
      <c r="J11" s="501" t="inlineStr">
        <is>
          <t>Register x)</t>
        </is>
      </c>
      <c r="K11" s="501" t="inlineStr">
        <is>
          <t>Perolehan</t>
        </is>
      </c>
      <c r="L11" s="501" t="inlineStr">
        <is>
          <t>(B)</t>
        </is>
      </c>
      <c r="M11" s="501" t="inlineStr">
        <is>
          <t>(KB)</t>
        </is>
      </c>
      <c r="N11" s="501" t="inlineStr">
        <is>
          <t>(RB)</t>
        </is>
      </c>
      <c r="O11" s="595" t="n"/>
    </row>
    <row r="12" ht="18" customHeight="1" s="79">
      <c r="A12" s="263" t="n">
        <v>1</v>
      </c>
      <c r="B12" s="263" t="n">
        <v>2</v>
      </c>
      <c r="C12" s="592" t="n"/>
      <c r="D12" s="481" t="n">
        <v>3</v>
      </c>
      <c r="E12" s="481" t="n">
        <v>4</v>
      </c>
      <c r="F12" s="490" t="n">
        <v>5</v>
      </c>
      <c r="G12" s="490" t="n">
        <v>6</v>
      </c>
      <c r="H12" s="504" t="n">
        <v>7</v>
      </c>
      <c r="I12" s="504" t="n">
        <v>8</v>
      </c>
      <c r="J12" s="504" t="n">
        <v>9</v>
      </c>
      <c r="K12" s="504" t="n">
        <v>10</v>
      </c>
      <c r="L12" s="504" t="n">
        <v>11</v>
      </c>
      <c r="M12" s="504" t="n">
        <v>12</v>
      </c>
      <c r="N12" s="504" t="n">
        <v>13</v>
      </c>
      <c r="O12" s="481" t="n">
        <v>14</v>
      </c>
    </row>
    <row r="13" ht="36" customHeight="1" s="79">
      <c r="A13" s="398" t="n">
        <v>1</v>
      </c>
      <c r="B13" s="616" t="inlineStr">
        <is>
          <t>Lemari Besi</t>
        </is>
      </c>
      <c r="C13" s="592" t="n"/>
      <c r="D13" s="346" t="inlineStr">
        <is>
          <t>LION / L 33 Swing Door</t>
        </is>
      </c>
      <c r="E13" s="347" t="n"/>
      <c r="F13" s="347" t="n"/>
      <c r="G13" s="273" t="inlineStr">
        <is>
          <t>Besi</t>
        </is>
      </c>
      <c r="H13" s="273" t="n">
        <v>2013</v>
      </c>
      <c r="I13" s="273" t="inlineStr">
        <is>
          <t>02.06.01.04.001</t>
        </is>
      </c>
      <c r="J13" s="274" t="inlineStr">
        <is>
          <t>0013</t>
        </is>
      </c>
      <c r="K13" s="354" t="n">
        <v>2820699</v>
      </c>
      <c r="L13" s="273" t="inlineStr">
        <is>
          <t>Baik</t>
        </is>
      </c>
      <c r="M13" s="347" t="n"/>
      <c r="N13" s="347" t="n"/>
      <c r="O13" s="347" t="n"/>
    </row>
    <row r="14" ht="36" customHeight="1" s="79">
      <c r="A14" s="398">
        <f>A13+1</f>
        <v/>
      </c>
      <c r="B14" s="616" t="inlineStr">
        <is>
          <t>Filling Besi / Metal</t>
        </is>
      </c>
      <c r="C14" s="592" t="n"/>
      <c r="D14" s="271" t="inlineStr">
        <is>
          <t>BROTHER / B - 104</t>
        </is>
      </c>
      <c r="E14" s="347" t="n"/>
      <c r="F14" s="347" t="n"/>
      <c r="G14" s="340" t="inlineStr">
        <is>
          <t>Besi</t>
        </is>
      </c>
      <c r="H14" s="273" t="n">
        <v>2017</v>
      </c>
      <c r="I14" s="273" t="inlineStr">
        <is>
          <t>02.06.01.04.004</t>
        </is>
      </c>
      <c r="J14" s="274" t="inlineStr">
        <is>
          <t>0015</t>
        </is>
      </c>
      <c r="K14" s="354" t="n">
        <v>2081257</v>
      </c>
      <c r="L14" s="273" t="inlineStr">
        <is>
          <t>Baik</t>
        </is>
      </c>
      <c r="M14" s="347" t="n"/>
      <c r="N14" s="347" t="n"/>
      <c r="O14" s="347" t="n"/>
    </row>
    <row r="15" ht="36" customHeight="1" s="79">
      <c r="A15" s="398">
        <f>A14+1</f>
        <v/>
      </c>
      <c r="B15" s="616" t="inlineStr">
        <is>
          <t>Filling Besi / Metal</t>
        </is>
      </c>
      <c r="C15" s="592" t="n"/>
      <c r="D15" s="271" t="inlineStr">
        <is>
          <t>BROTHER / B - 104</t>
        </is>
      </c>
      <c r="E15" s="347" t="n"/>
      <c r="F15" s="347" t="n"/>
      <c r="G15" s="340" t="n"/>
      <c r="H15" s="273" t="n">
        <v>2018</v>
      </c>
      <c r="I15" s="273" t="inlineStr">
        <is>
          <t>02.06.01.04.004</t>
        </is>
      </c>
      <c r="J15" s="274" t="inlineStr">
        <is>
          <t>0017</t>
        </is>
      </c>
      <c r="K15" s="354" t="n">
        <v>2095323</v>
      </c>
      <c r="L15" s="273" t="inlineStr">
        <is>
          <t>Baik</t>
        </is>
      </c>
      <c r="M15" s="347" t="n"/>
      <c r="N15" s="347" t="n"/>
      <c r="O15" s="347" t="n"/>
    </row>
    <row r="16" ht="36" customHeight="1" s="79">
      <c r="A16" s="398">
        <f>A15+1</f>
        <v/>
      </c>
      <c r="B16" s="615" t="inlineStr">
        <is>
          <t>Kursi Besi / Metal</t>
        </is>
      </c>
      <c r="C16" s="592" t="n"/>
      <c r="D16" s="344" t="inlineStr">
        <is>
          <t>- / Warna Cream</t>
        </is>
      </c>
      <c r="E16" s="399" t="n"/>
      <c r="F16" s="399" t="n"/>
      <c r="G16" s="433" t="inlineStr">
        <is>
          <t>Basi</t>
        </is>
      </c>
      <c r="H16" s="398" t="n">
        <v>1997</v>
      </c>
      <c r="I16" s="398" t="inlineStr">
        <is>
          <t>02.06.02.01.005</t>
        </is>
      </c>
      <c r="J16" s="400" t="inlineStr">
        <is>
          <t>0008</t>
        </is>
      </c>
      <c r="K16" s="291" t="n">
        <v>148648.5</v>
      </c>
      <c r="L16" s="433" t="n"/>
      <c r="M16" s="399" t="inlineStr">
        <is>
          <t>Kurang Baik</t>
        </is>
      </c>
      <c r="N16" s="399" t="n"/>
      <c r="O16" s="338" t="n"/>
    </row>
    <row r="17" ht="36" customHeight="1" s="79">
      <c r="A17" s="398">
        <f>A16+1</f>
        <v/>
      </c>
      <c r="B17" s="616" t="inlineStr">
        <is>
          <t>AC Unit</t>
        </is>
      </c>
      <c r="C17" s="592" t="n"/>
      <c r="D17" s="346" t="inlineStr">
        <is>
          <t>Daikin/FTV25CXV</t>
        </is>
      </c>
      <c r="E17" s="347" t="n"/>
      <c r="F17" s="347" t="n"/>
      <c r="G17" s="353" t="n"/>
      <c r="H17" s="273" t="n">
        <v>2020</v>
      </c>
      <c r="I17" s="273" t="inlineStr">
        <is>
          <t>02.06.02.04.003</t>
        </is>
      </c>
      <c r="J17" s="274" t="inlineStr">
        <is>
          <t>0018</t>
        </is>
      </c>
      <c r="K17" s="355" t="n">
        <v>8165750</v>
      </c>
      <c r="L17" s="273" t="inlineStr">
        <is>
          <t>Baik</t>
        </is>
      </c>
      <c r="M17" s="347" t="n"/>
      <c r="N17" s="347" t="n"/>
      <c r="O17" s="347" t="n"/>
    </row>
    <row r="18" ht="54" customHeight="1" s="79">
      <c r="A18" s="398">
        <f>A17+1</f>
        <v/>
      </c>
      <c r="B18" s="616" t="inlineStr">
        <is>
          <t>Meja Kerja Pejabat Eselon III</t>
        </is>
      </c>
      <c r="C18" s="592" t="n"/>
      <c r="D18" s="271" t="inlineStr">
        <is>
          <t>ZETTA / MT-301 / Esselon III</t>
        </is>
      </c>
      <c r="E18" s="347" t="n"/>
      <c r="F18" s="347" t="n"/>
      <c r="G18" s="273" t="inlineStr">
        <is>
          <t>Kayu Pertikel</t>
        </is>
      </c>
      <c r="H18" s="273" t="n">
        <v>2015</v>
      </c>
      <c r="I18" s="273" t="inlineStr">
        <is>
          <t>02.06.04.01.005</t>
        </is>
      </c>
      <c r="J18" s="274" t="inlineStr">
        <is>
          <t>0004</t>
        </is>
      </c>
      <c r="K18" s="354" t="n">
        <v>3600000</v>
      </c>
      <c r="L18" s="273" t="inlineStr">
        <is>
          <t>Baik</t>
        </is>
      </c>
      <c r="M18" s="347" t="n"/>
      <c r="N18" s="347" t="n"/>
      <c r="O18" s="347" t="n"/>
    </row>
    <row r="19" ht="36" customHeight="1" s="79">
      <c r="A19" s="398">
        <f>A18+1</f>
        <v/>
      </c>
      <c r="B19" s="616" t="inlineStr">
        <is>
          <t>Kursi Kerja Pejabat Eselon III</t>
        </is>
      </c>
      <c r="C19" s="592" t="n"/>
      <c r="D19" s="346" t="inlineStr">
        <is>
          <t>INDACHI/ 741 CR</t>
        </is>
      </c>
      <c r="E19" s="347" t="n"/>
      <c r="F19" s="347" t="n"/>
      <c r="G19" s="273" t="inlineStr">
        <is>
          <t>Besi Plastik</t>
        </is>
      </c>
      <c r="H19" s="273" t="n">
        <v>2018</v>
      </c>
      <c r="I19" s="273" t="inlineStr">
        <is>
          <t>02.06.04.03.005</t>
        </is>
      </c>
      <c r="J19" s="274" t="inlineStr">
        <is>
          <t>0015</t>
        </is>
      </c>
      <c r="K19" s="355" t="n">
        <v>1969099</v>
      </c>
      <c r="L19" s="273" t="inlineStr">
        <is>
          <t>Baik</t>
        </is>
      </c>
      <c r="M19" s="347" t="n"/>
      <c r="N19" s="347" t="n"/>
      <c r="O19" s="347" t="n"/>
    </row>
    <row r="20" ht="18" customHeight="1" s="79">
      <c r="A20" s="214" t="n"/>
      <c r="B20" s="214" t="n"/>
      <c r="C20" s="214" t="n"/>
      <c r="D20" s="214" t="n"/>
      <c r="E20" s="214" t="n"/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</row>
    <row r="21" ht="18" customHeight="1" s="79">
      <c r="A21" s="214" t="n"/>
      <c r="B21" s="214" t="n"/>
      <c r="C21" s="522" t="inlineStr">
        <is>
          <t>Mengetahui :</t>
        </is>
      </c>
      <c r="D21" s="214" t="n"/>
      <c r="E21" s="214" t="n"/>
      <c r="F21" s="214" t="n"/>
      <c r="G21" s="214" t="n"/>
      <c r="H21" s="214" t="n"/>
      <c r="I21" s="214" t="n"/>
      <c r="J21" s="214" t="n"/>
      <c r="K21" s="214" t="n"/>
      <c r="L21" s="522" t="inlineStr">
        <is>
          <t>Banjarmasin,   Desember 2025</t>
        </is>
      </c>
      <c r="M21" s="214" t="n"/>
      <c r="N21" s="214" t="n"/>
      <c r="O21" s="214" t="n"/>
    </row>
    <row r="22" ht="18" customHeight="1" s="79">
      <c r="A22" s="214" t="n"/>
      <c r="B22" s="214" t="n"/>
      <c r="C22" s="522" t="n"/>
      <c r="D22" s="214" t="n"/>
      <c r="E22" s="214" t="n"/>
      <c r="F22" s="214" t="n"/>
      <c r="G22" s="214" t="n"/>
      <c r="H22" s="214" t="n"/>
      <c r="I22" s="214" t="n"/>
      <c r="J22" s="214" t="n"/>
      <c r="K22" s="214" t="n"/>
      <c r="L22" s="522" t="n"/>
      <c r="M22" s="214" t="n"/>
      <c r="N22" s="214" t="n"/>
      <c r="O22" s="214" t="n"/>
    </row>
    <row r="23" ht="18" customHeight="1" s="79">
      <c r="A23" s="214" t="n"/>
      <c r="B23" s="214" t="n"/>
      <c r="C23" s="5" t="inlineStr">
        <is>
          <t>Kepala Bakesbangpol Kota Banjarmasin,</t>
        </is>
      </c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5" t="inlineStr">
        <is>
          <t>Pengurus Barang</t>
        </is>
      </c>
      <c r="M23" s="214" t="n"/>
      <c r="N23" s="214" t="n"/>
      <c r="O23" s="214" t="n"/>
    </row>
    <row r="24" ht="18" customHeight="1" s="79">
      <c r="A24" s="214" t="n"/>
      <c r="B24" s="214" t="n"/>
      <c r="C24" s="5" t="n"/>
      <c r="D24" s="214" t="n"/>
      <c r="E24" s="214" t="n"/>
      <c r="F24" s="214" t="n"/>
      <c r="G24" s="214" t="n"/>
      <c r="H24" s="214" t="n"/>
      <c r="I24" s="214" t="n"/>
      <c r="J24" s="214" t="n"/>
      <c r="K24" s="214" t="n"/>
      <c r="L24" s="5" t="n"/>
      <c r="M24" s="214" t="n"/>
      <c r="N24" s="214" t="n"/>
      <c r="O24" s="214" t="n"/>
    </row>
    <row r="25" ht="18" customHeight="1" s="79">
      <c r="A25" s="214" t="n"/>
      <c r="B25" s="214" t="n"/>
      <c r="C25" s="5" t="n"/>
      <c r="D25" s="214" t="n"/>
      <c r="E25" s="214" t="n"/>
      <c r="F25" s="214" t="n"/>
      <c r="G25" s="214" t="n"/>
      <c r="H25" s="214" t="n"/>
      <c r="I25" s="214" t="n"/>
      <c r="J25" s="214" t="n"/>
      <c r="K25" s="214" t="n"/>
      <c r="L25" s="5" t="n"/>
      <c r="M25" s="214" t="n"/>
      <c r="N25" s="214" t="n"/>
      <c r="O25" s="214" t="n"/>
    </row>
    <row r="26" ht="18" customHeight="1" s="79">
      <c r="A26" s="214" t="n"/>
      <c r="B26" s="214" t="n"/>
      <c r="C26" s="5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5" t="n"/>
      <c r="M26" s="214" t="n"/>
      <c r="N26" s="214" t="n"/>
      <c r="O26" s="214" t="n"/>
    </row>
    <row r="27" ht="18" customHeight="1" s="79">
      <c r="A27" s="214" t="n"/>
      <c r="B27" s="214" t="n"/>
      <c r="C27" s="6" t="inlineStr">
        <is>
          <t>Dr. H. LUKMAN FADLUN, SH, MH</t>
        </is>
      </c>
      <c r="D27" s="214" t="n"/>
      <c r="E27" s="214" t="n"/>
      <c r="F27" s="214" t="n"/>
      <c r="G27" s="214" t="n"/>
      <c r="H27" s="214" t="n"/>
      <c r="I27" s="214" t="n"/>
      <c r="J27" s="214" t="n"/>
      <c r="K27" s="214" t="n"/>
      <c r="L27" s="6" t="inlineStr">
        <is>
          <t>TRISNAWATI M ULYO HAPSARI, SE</t>
        </is>
      </c>
      <c r="M27" s="214" t="n"/>
      <c r="N27" s="214" t="n"/>
      <c r="O27" s="214" t="n"/>
    </row>
    <row r="28" ht="18" customHeight="1" s="79">
      <c r="A28" s="214" t="n"/>
      <c r="B28" s="214" t="n"/>
      <c r="C28" s="5" t="inlineStr">
        <is>
          <t>Pembina Utama Muda</t>
        </is>
      </c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23">
        <f>'RUANG KABID POLITIK'!L28</f>
        <v/>
      </c>
      <c r="M28" s="214" t="n"/>
      <c r="N28" s="214" t="n"/>
      <c r="O28" s="214" t="n"/>
    </row>
    <row r="29" ht="18" customHeight="1" s="79">
      <c r="A29" s="214" t="n"/>
      <c r="B29" s="214" t="n"/>
      <c r="C29" s="23" t="inlineStr">
        <is>
          <t>NIP. 19691013 200003 1 004</t>
        </is>
      </c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</row>
    <row r="30">
      <c r="K30" s="24" t="n"/>
    </row>
    <row r="31">
      <c r="B31" s="21" t="n"/>
      <c r="K31" s="25" t="n"/>
    </row>
    <row r="32">
      <c r="B32" s="22" t="n"/>
    </row>
    <row r="33">
      <c r="B33" s="22" t="n"/>
    </row>
  </sheetData>
  <mergeCells count="21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</mergeCells>
  <printOptions horizontalCentered="1"/>
  <pageMargins left="0.1181102362204725" right="0.3543307086614174" top="0.1968503937007874" bottom="0.1574803149606299" header="0" footer="0"/>
  <pageSetup orientation="landscape" paperSize="5" scale="70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85"/>
  <sheetViews>
    <sheetView view="pageBreakPreview" topLeftCell="A52" zoomScale="50" zoomScaleNormal="55" zoomScaleSheetLayoutView="50" workbookViewId="0">
      <selection activeCell="R88" sqref="R88"/>
    </sheetView>
  </sheetViews>
  <sheetFormatPr baseColWidth="8" defaultRowHeight="15.75"/>
  <cols>
    <col width="6.125" customWidth="1" style="79" min="2" max="2"/>
    <col width="7" customWidth="1" style="79" min="3" max="3"/>
    <col width="24.625" customWidth="1" style="79" min="4" max="4"/>
    <col width="15.75" customWidth="1" style="79" min="5" max="5"/>
    <col width="10.375" customWidth="1" style="79" min="6" max="6"/>
    <col width="9.125" customWidth="1" style="79" min="7" max="7"/>
    <col width="12.75" customWidth="1" style="79" min="8" max="8"/>
    <col width="19" customWidth="1" style="79" min="9" max="9"/>
    <col width="20.125" customWidth="1" style="79" min="10" max="10"/>
    <col width="13.875" customWidth="1" style="79" min="11" max="11"/>
    <col width="15.125" customWidth="1" style="79" min="12" max="12"/>
    <col width="14.875" customWidth="1" style="79" min="14" max="14"/>
    <col width="14.375" customWidth="1" style="79" min="15" max="15"/>
    <col width="14.125" customWidth="1" style="79" min="16" max="16"/>
    <col width="7" customWidth="1" style="79" min="259" max="259"/>
    <col width="17.75" customWidth="1" style="79" min="260" max="260"/>
    <col width="10.875" customWidth="1" style="79" min="261" max="261"/>
    <col width="11.25" customWidth="1" style="79" min="262" max="262"/>
    <col width="11.5" customWidth="1" style="79" min="263" max="263"/>
    <col width="11.625" customWidth="1" style="79" min="264" max="264"/>
    <col width="15.5" customWidth="1" style="79" min="265" max="265"/>
    <col width="18.75" customWidth="1" style="79" min="266" max="266"/>
    <col width="15.375" customWidth="1" style="79" min="267" max="267"/>
    <col width="15.125" customWidth="1" style="79" min="268" max="268"/>
    <col width="11" customWidth="1" style="79" min="270" max="270"/>
    <col width="10.625" customWidth="1" style="79" min="271" max="271"/>
    <col width="9.625" customWidth="1" style="79" min="272" max="272"/>
    <col width="7" customWidth="1" style="79" min="515" max="515"/>
    <col width="17.75" customWidth="1" style="79" min="516" max="516"/>
    <col width="10.875" customWidth="1" style="79" min="517" max="517"/>
    <col width="11.25" customWidth="1" style="79" min="518" max="518"/>
    <col width="11.5" customWidth="1" style="79" min="519" max="519"/>
    <col width="11.625" customWidth="1" style="79" min="520" max="520"/>
    <col width="15.5" customWidth="1" style="79" min="521" max="521"/>
    <col width="18.75" customWidth="1" style="79" min="522" max="522"/>
    <col width="15.375" customWidth="1" style="79" min="523" max="523"/>
    <col width="15.125" customWidth="1" style="79" min="524" max="524"/>
    <col width="11" customWidth="1" style="79" min="526" max="526"/>
    <col width="10.625" customWidth="1" style="79" min="527" max="527"/>
    <col width="9.625" customWidth="1" style="79" min="528" max="528"/>
    <col width="7" customWidth="1" style="79" min="771" max="771"/>
    <col width="17.75" customWidth="1" style="79" min="772" max="772"/>
    <col width="10.875" customWidth="1" style="79" min="773" max="773"/>
    <col width="11.25" customWidth="1" style="79" min="774" max="774"/>
    <col width="11.5" customWidth="1" style="79" min="775" max="775"/>
    <col width="11.625" customWidth="1" style="79" min="776" max="776"/>
    <col width="15.5" customWidth="1" style="79" min="777" max="777"/>
    <col width="18.75" customWidth="1" style="79" min="778" max="778"/>
    <col width="15.375" customWidth="1" style="79" min="779" max="779"/>
    <col width="15.125" customWidth="1" style="79" min="780" max="780"/>
    <col width="11" customWidth="1" style="79" min="782" max="782"/>
    <col width="10.625" customWidth="1" style="79" min="783" max="783"/>
    <col width="9.625" customWidth="1" style="79" min="784" max="784"/>
    <col width="7" customWidth="1" style="79" min="1027" max="1027"/>
    <col width="17.75" customWidth="1" style="79" min="1028" max="1028"/>
    <col width="10.875" customWidth="1" style="79" min="1029" max="1029"/>
    <col width="11.25" customWidth="1" style="79" min="1030" max="1030"/>
    <col width="11.5" customWidth="1" style="79" min="1031" max="1031"/>
    <col width="11.625" customWidth="1" style="79" min="1032" max="1032"/>
    <col width="15.5" customWidth="1" style="79" min="1033" max="1033"/>
    <col width="18.75" customWidth="1" style="79" min="1034" max="1034"/>
    <col width="15.375" customWidth="1" style="79" min="1035" max="1035"/>
    <col width="15.125" customWidth="1" style="79" min="1036" max="1036"/>
    <col width="11" customWidth="1" style="79" min="1038" max="1038"/>
    <col width="10.625" customWidth="1" style="79" min="1039" max="1039"/>
    <col width="9.625" customWidth="1" style="79" min="1040" max="1040"/>
    <col width="7" customWidth="1" style="79" min="1283" max="1283"/>
    <col width="17.75" customWidth="1" style="79" min="1284" max="1284"/>
    <col width="10.875" customWidth="1" style="79" min="1285" max="1285"/>
    <col width="11.25" customWidth="1" style="79" min="1286" max="1286"/>
    <col width="11.5" customWidth="1" style="79" min="1287" max="1287"/>
    <col width="11.625" customWidth="1" style="79" min="1288" max="1288"/>
    <col width="15.5" customWidth="1" style="79" min="1289" max="1289"/>
    <col width="18.75" customWidth="1" style="79" min="1290" max="1290"/>
    <col width="15.375" customWidth="1" style="79" min="1291" max="1291"/>
    <col width="15.125" customWidth="1" style="79" min="1292" max="1292"/>
    <col width="11" customWidth="1" style="79" min="1294" max="1294"/>
    <col width="10.625" customWidth="1" style="79" min="1295" max="1295"/>
    <col width="9.625" customWidth="1" style="79" min="1296" max="1296"/>
    <col width="7" customWidth="1" style="79" min="1539" max="1539"/>
    <col width="17.75" customWidth="1" style="79" min="1540" max="1540"/>
    <col width="10.875" customWidth="1" style="79" min="1541" max="1541"/>
    <col width="11.25" customWidth="1" style="79" min="1542" max="1542"/>
    <col width="11.5" customWidth="1" style="79" min="1543" max="1543"/>
    <col width="11.625" customWidth="1" style="79" min="1544" max="1544"/>
    <col width="15.5" customWidth="1" style="79" min="1545" max="1545"/>
    <col width="18.75" customWidth="1" style="79" min="1546" max="1546"/>
    <col width="15.375" customWidth="1" style="79" min="1547" max="1547"/>
    <col width="15.125" customWidth="1" style="79" min="1548" max="1548"/>
    <col width="11" customWidth="1" style="79" min="1550" max="1550"/>
    <col width="10.625" customWidth="1" style="79" min="1551" max="1551"/>
    <col width="9.625" customWidth="1" style="79" min="1552" max="1552"/>
    <col width="7" customWidth="1" style="79" min="1795" max="1795"/>
    <col width="17.75" customWidth="1" style="79" min="1796" max="1796"/>
    <col width="10.875" customWidth="1" style="79" min="1797" max="1797"/>
    <col width="11.25" customWidth="1" style="79" min="1798" max="1798"/>
    <col width="11.5" customWidth="1" style="79" min="1799" max="1799"/>
    <col width="11.625" customWidth="1" style="79" min="1800" max="1800"/>
    <col width="15.5" customWidth="1" style="79" min="1801" max="1801"/>
    <col width="18.75" customWidth="1" style="79" min="1802" max="1802"/>
    <col width="15.375" customWidth="1" style="79" min="1803" max="1803"/>
    <col width="15.125" customWidth="1" style="79" min="1804" max="1804"/>
    <col width="11" customWidth="1" style="79" min="1806" max="1806"/>
    <col width="10.625" customWidth="1" style="79" min="1807" max="1807"/>
    <col width="9.625" customWidth="1" style="79" min="1808" max="1808"/>
    <col width="7" customWidth="1" style="79" min="2051" max="2051"/>
    <col width="17.75" customWidth="1" style="79" min="2052" max="2052"/>
    <col width="10.875" customWidth="1" style="79" min="2053" max="2053"/>
    <col width="11.25" customWidth="1" style="79" min="2054" max="2054"/>
    <col width="11.5" customWidth="1" style="79" min="2055" max="2055"/>
    <col width="11.625" customWidth="1" style="79" min="2056" max="2056"/>
    <col width="15.5" customWidth="1" style="79" min="2057" max="2057"/>
    <col width="18.75" customWidth="1" style="79" min="2058" max="2058"/>
    <col width="15.375" customWidth="1" style="79" min="2059" max="2059"/>
    <col width="15.125" customWidth="1" style="79" min="2060" max="2060"/>
    <col width="11" customWidth="1" style="79" min="2062" max="2062"/>
    <col width="10.625" customWidth="1" style="79" min="2063" max="2063"/>
    <col width="9.625" customWidth="1" style="79" min="2064" max="2064"/>
    <col width="7" customWidth="1" style="79" min="2307" max="2307"/>
    <col width="17.75" customWidth="1" style="79" min="2308" max="2308"/>
    <col width="10.875" customWidth="1" style="79" min="2309" max="2309"/>
    <col width="11.25" customWidth="1" style="79" min="2310" max="2310"/>
    <col width="11.5" customWidth="1" style="79" min="2311" max="2311"/>
    <col width="11.625" customWidth="1" style="79" min="2312" max="2312"/>
    <col width="15.5" customWidth="1" style="79" min="2313" max="2313"/>
    <col width="18.75" customWidth="1" style="79" min="2314" max="2314"/>
    <col width="15.375" customWidth="1" style="79" min="2315" max="2315"/>
    <col width="15.125" customWidth="1" style="79" min="2316" max="2316"/>
    <col width="11" customWidth="1" style="79" min="2318" max="2318"/>
    <col width="10.625" customWidth="1" style="79" min="2319" max="2319"/>
    <col width="9.625" customWidth="1" style="79" min="2320" max="2320"/>
    <col width="7" customWidth="1" style="79" min="2563" max="2563"/>
    <col width="17.75" customWidth="1" style="79" min="2564" max="2564"/>
    <col width="10.875" customWidth="1" style="79" min="2565" max="2565"/>
    <col width="11.25" customWidth="1" style="79" min="2566" max="2566"/>
    <col width="11.5" customWidth="1" style="79" min="2567" max="2567"/>
    <col width="11.625" customWidth="1" style="79" min="2568" max="2568"/>
    <col width="15.5" customWidth="1" style="79" min="2569" max="2569"/>
    <col width="18.75" customWidth="1" style="79" min="2570" max="2570"/>
    <col width="15.375" customWidth="1" style="79" min="2571" max="2571"/>
    <col width="15.125" customWidth="1" style="79" min="2572" max="2572"/>
    <col width="11" customWidth="1" style="79" min="2574" max="2574"/>
    <col width="10.625" customWidth="1" style="79" min="2575" max="2575"/>
    <col width="9.625" customWidth="1" style="79" min="2576" max="2576"/>
    <col width="7" customWidth="1" style="79" min="2819" max="2819"/>
    <col width="17.75" customWidth="1" style="79" min="2820" max="2820"/>
    <col width="10.875" customWidth="1" style="79" min="2821" max="2821"/>
    <col width="11.25" customWidth="1" style="79" min="2822" max="2822"/>
    <col width="11.5" customWidth="1" style="79" min="2823" max="2823"/>
    <col width="11.625" customWidth="1" style="79" min="2824" max="2824"/>
    <col width="15.5" customWidth="1" style="79" min="2825" max="2825"/>
    <col width="18.75" customWidth="1" style="79" min="2826" max="2826"/>
    <col width="15.375" customWidth="1" style="79" min="2827" max="2827"/>
    <col width="15.125" customWidth="1" style="79" min="2828" max="2828"/>
    <col width="11" customWidth="1" style="79" min="2830" max="2830"/>
    <col width="10.625" customWidth="1" style="79" min="2831" max="2831"/>
    <col width="9.625" customWidth="1" style="79" min="2832" max="2832"/>
    <col width="7" customWidth="1" style="79" min="3075" max="3075"/>
    <col width="17.75" customWidth="1" style="79" min="3076" max="3076"/>
    <col width="10.875" customWidth="1" style="79" min="3077" max="3077"/>
    <col width="11.25" customWidth="1" style="79" min="3078" max="3078"/>
    <col width="11.5" customWidth="1" style="79" min="3079" max="3079"/>
    <col width="11.625" customWidth="1" style="79" min="3080" max="3080"/>
    <col width="15.5" customWidth="1" style="79" min="3081" max="3081"/>
    <col width="18.75" customWidth="1" style="79" min="3082" max="3082"/>
    <col width="15.375" customWidth="1" style="79" min="3083" max="3083"/>
    <col width="15.125" customWidth="1" style="79" min="3084" max="3084"/>
    <col width="11" customWidth="1" style="79" min="3086" max="3086"/>
    <col width="10.625" customWidth="1" style="79" min="3087" max="3087"/>
    <col width="9.625" customWidth="1" style="79" min="3088" max="3088"/>
    <col width="7" customWidth="1" style="79" min="3331" max="3331"/>
    <col width="17.75" customWidth="1" style="79" min="3332" max="3332"/>
    <col width="10.875" customWidth="1" style="79" min="3333" max="3333"/>
    <col width="11.25" customWidth="1" style="79" min="3334" max="3334"/>
    <col width="11.5" customWidth="1" style="79" min="3335" max="3335"/>
    <col width="11.625" customWidth="1" style="79" min="3336" max="3336"/>
    <col width="15.5" customWidth="1" style="79" min="3337" max="3337"/>
    <col width="18.75" customWidth="1" style="79" min="3338" max="3338"/>
    <col width="15.375" customWidth="1" style="79" min="3339" max="3339"/>
    <col width="15.125" customWidth="1" style="79" min="3340" max="3340"/>
    <col width="11" customWidth="1" style="79" min="3342" max="3342"/>
    <col width="10.625" customWidth="1" style="79" min="3343" max="3343"/>
    <col width="9.625" customWidth="1" style="79" min="3344" max="3344"/>
    <col width="7" customWidth="1" style="79" min="3587" max="3587"/>
    <col width="17.75" customWidth="1" style="79" min="3588" max="3588"/>
    <col width="10.875" customWidth="1" style="79" min="3589" max="3589"/>
    <col width="11.25" customWidth="1" style="79" min="3590" max="3590"/>
    <col width="11.5" customWidth="1" style="79" min="3591" max="3591"/>
    <col width="11.625" customWidth="1" style="79" min="3592" max="3592"/>
    <col width="15.5" customWidth="1" style="79" min="3593" max="3593"/>
    <col width="18.75" customWidth="1" style="79" min="3594" max="3594"/>
    <col width="15.375" customWidth="1" style="79" min="3595" max="3595"/>
    <col width="15.125" customWidth="1" style="79" min="3596" max="3596"/>
    <col width="11" customWidth="1" style="79" min="3598" max="3598"/>
    <col width="10.625" customWidth="1" style="79" min="3599" max="3599"/>
    <col width="9.625" customWidth="1" style="79" min="3600" max="3600"/>
    <col width="7" customWidth="1" style="79" min="3843" max="3843"/>
    <col width="17.75" customWidth="1" style="79" min="3844" max="3844"/>
    <col width="10.875" customWidth="1" style="79" min="3845" max="3845"/>
    <col width="11.25" customWidth="1" style="79" min="3846" max="3846"/>
    <col width="11.5" customWidth="1" style="79" min="3847" max="3847"/>
    <col width="11.625" customWidth="1" style="79" min="3848" max="3848"/>
    <col width="15.5" customWidth="1" style="79" min="3849" max="3849"/>
    <col width="18.75" customWidth="1" style="79" min="3850" max="3850"/>
    <col width="15.375" customWidth="1" style="79" min="3851" max="3851"/>
    <col width="15.125" customWidth="1" style="79" min="3852" max="3852"/>
    <col width="11" customWidth="1" style="79" min="3854" max="3854"/>
    <col width="10.625" customWidth="1" style="79" min="3855" max="3855"/>
    <col width="9.625" customWidth="1" style="79" min="3856" max="3856"/>
    <col width="7" customWidth="1" style="79" min="4099" max="4099"/>
    <col width="17.75" customWidth="1" style="79" min="4100" max="4100"/>
    <col width="10.875" customWidth="1" style="79" min="4101" max="4101"/>
    <col width="11.25" customWidth="1" style="79" min="4102" max="4102"/>
    <col width="11.5" customWidth="1" style="79" min="4103" max="4103"/>
    <col width="11.625" customWidth="1" style="79" min="4104" max="4104"/>
    <col width="15.5" customWidth="1" style="79" min="4105" max="4105"/>
    <col width="18.75" customWidth="1" style="79" min="4106" max="4106"/>
    <col width="15.375" customWidth="1" style="79" min="4107" max="4107"/>
    <col width="15.125" customWidth="1" style="79" min="4108" max="4108"/>
    <col width="11" customWidth="1" style="79" min="4110" max="4110"/>
    <col width="10.625" customWidth="1" style="79" min="4111" max="4111"/>
    <col width="9.625" customWidth="1" style="79" min="4112" max="4112"/>
    <col width="7" customWidth="1" style="79" min="4355" max="4355"/>
    <col width="17.75" customWidth="1" style="79" min="4356" max="4356"/>
    <col width="10.875" customWidth="1" style="79" min="4357" max="4357"/>
    <col width="11.25" customWidth="1" style="79" min="4358" max="4358"/>
    <col width="11.5" customWidth="1" style="79" min="4359" max="4359"/>
    <col width="11.625" customWidth="1" style="79" min="4360" max="4360"/>
    <col width="15.5" customWidth="1" style="79" min="4361" max="4361"/>
    <col width="18.75" customWidth="1" style="79" min="4362" max="4362"/>
    <col width="15.375" customWidth="1" style="79" min="4363" max="4363"/>
    <col width="15.125" customWidth="1" style="79" min="4364" max="4364"/>
    <col width="11" customWidth="1" style="79" min="4366" max="4366"/>
    <col width="10.625" customWidth="1" style="79" min="4367" max="4367"/>
    <col width="9.625" customWidth="1" style="79" min="4368" max="4368"/>
    <col width="7" customWidth="1" style="79" min="4611" max="4611"/>
    <col width="17.75" customWidth="1" style="79" min="4612" max="4612"/>
    <col width="10.875" customWidth="1" style="79" min="4613" max="4613"/>
    <col width="11.25" customWidth="1" style="79" min="4614" max="4614"/>
    <col width="11.5" customWidth="1" style="79" min="4615" max="4615"/>
    <col width="11.625" customWidth="1" style="79" min="4616" max="4616"/>
    <col width="15.5" customWidth="1" style="79" min="4617" max="4617"/>
    <col width="18.75" customWidth="1" style="79" min="4618" max="4618"/>
    <col width="15.375" customWidth="1" style="79" min="4619" max="4619"/>
    <col width="15.125" customWidth="1" style="79" min="4620" max="4620"/>
    <col width="11" customWidth="1" style="79" min="4622" max="4622"/>
    <col width="10.625" customWidth="1" style="79" min="4623" max="4623"/>
    <col width="9.625" customWidth="1" style="79" min="4624" max="4624"/>
    <col width="7" customWidth="1" style="79" min="4867" max="4867"/>
    <col width="17.75" customWidth="1" style="79" min="4868" max="4868"/>
    <col width="10.875" customWidth="1" style="79" min="4869" max="4869"/>
    <col width="11.25" customWidth="1" style="79" min="4870" max="4870"/>
    <col width="11.5" customWidth="1" style="79" min="4871" max="4871"/>
    <col width="11.625" customWidth="1" style="79" min="4872" max="4872"/>
    <col width="15.5" customWidth="1" style="79" min="4873" max="4873"/>
    <col width="18.75" customWidth="1" style="79" min="4874" max="4874"/>
    <col width="15.375" customWidth="1" style="79" min="4875" max="4875"/>
    <col width="15.125" customWidth="1" style="79" min="4876" max="4876"/>
    <col width="11" customWidth="1" style="79" min="4878" max="4878"/>
    <col width="10.625" customWidth="1" style="79" min="4879" max="4879"/>
    <col width="9.625" customWidth="1" style="79" min="4880" max="4880"/>
    <col width="7" customWidth="1" style="79" min="5123" max="5123"/>
    <col width="17.75" customWidth="1" style="79" min="5124" max="5124"/>
    <col width="10.875" customWidth="1" style="79" min="5125" max="5125"/>
    <col width="11.25" customWidth="1" style="79" min="5126" max="5126"/>
    <col width="11.5" customWidth="1" style="79" min="5127" max="5127"/>
    <col width="11.625" customWidth="1" style="79" min="5128" max="5128"/>
    <col width="15.5" customWidth="1" style="79" min="5129" max="5129"/>
    <col width="18.75" customWidth="1" style="79" min="5130" max="5130"/>
    <col width="15.375" customWidth="1" style="79" min="5131" max="5131"/>
    <col width="15.125" customWidth="1" style="79" min="5132" max="5132"/>
    <col width="11" customWidth="1" style="79" min="5134" max="5134"/>
    <col width="10.625" customWidth="1" style="79" min="5135" max="5135"/>
    <col width="9.625" customWidth="1" style="79" min="5136" max="5136"/>
    <col width="7" customWidth="1" style="79" min="5379" max="5379"/>
    <col width="17.75" customWidth="1" style="79" min="5380" max="5380"/>
    <col width="10.875" customWidth="1" style="79" min="5381" max="5381"/>
    <col width="11.25" customWidth="1" style="79" min="5382" max="5382"/>
    <col width="11.5" customWidth="1" style="79" min="5383" max="5383"/>
    <col width="11.625" customWidth="1" style="79" min="5384" max="5384"/>
    <col width="15.5" customWidth="1" style="79" min="5385" max="5385"/>
    <col width="18.75" customWidth="1" style="79" min="5386" max="5386"/>
    <col width="15.375" customWidth="1" style="79" min="5387" max="5387"/>
    <col width="15.125" customWidth="1" style="79" min="5388" max="5388"/>
    <col width="11" customWidth="1" style="79" min="5390" max="5390"/>
    <col width="10.625" customWidth="1" style="79" min="5391" max="5391"/>
    <col width="9.625" customWidth="1" style="79" min="5392" max="5392"/>
    <col width="7" customWidth="1" style="79" min="5635" max="5635"/>
    <col width="17.75" customWidth="1" style="79" min="5636" max="5636"/>
    <col width="10.875" customWidth="1" style="79" min="5637" max="5637"/>
    <col width="11.25" customWidth="1" style="79" min="5638" max="5638"/>
    <col width="11.5" customWidth="1" style="79" min="5639" max="5639"/>
    <col width="11.625" customWidth="1" style="79" min="5640" max="5640"/>
    <col width="15.5" customWidth="1" style="79" min="5641" max="5641"/>
    <col width="18.75" customWidth="1" style="79" min="5642" max="5642"/>
    <col width="15.375" customWidth="1" style="79" min="5643" max="5643"/>
    <col width="15.125" customWidth="1" style="79" min="5644" max="5644"/>
    <col width="11" customWidth="1" style="79" min="5646" max="5646"/>
    <col width="10.625" customWidth="1" style="79" min="5647" max="5647"/>
    <col width="9.625" customWidth="1" style="79" min="5648" max="5648"/>
    <col width="7" customWidth="1" style="79" min="5891" max="5891"/>
    <col width="17.75" customWidth="1" style="79" min="5892" max="5892"/>
    <col width="10.875" customWidth="1" style="79" min="5893" max="5893"/>
    <col width="11.25" customWidth="1" style="79" min="5894" max="5894"/>
    <col width="11.5" customWidth="1" style="79" min="5895" max="5895"/>
    <col width="11.625" customWidth="1" style="79" min="5896" max="5896"/>
    <col width="15.5" customWidth="1" style="79" min="5897" max="5897"/>
    <col width="18.75" customWidth="1" style="79" min="5898" max="5898"/>
    <col width="15.375" customWidth="1" style="79" min="5899" max="5899"/>
    <col width="15.125" customWidth="1" style="79" min="5900" max="5900"/>
    <col width="11" customWidth="1" style="79" min="5902" max="5902"/>
    <col width="10.625" customWidth="1" style="79" min="5903" max="5903"/>
    <col width="9.625" customWidth="1" style="79" min="5904" max="5904"/>
    <col width="7" customWidth="1" style="79" min="6147" max="6147"/>
    <col width="17.75" customWidth="1" style="79" min="6148" max="6148"/>
    <col width="10.875" customWidth="1" style="79" min="6149" max="6149"/>
    <col width="11.25" customWidth="1" style="79" min="6150" max="6150"/>
    <col width="11.5" customWidth="1" style="79" min="6151" max="6151"/>
    <col width="11.625" customWidth="1" style="79" min="6152" max="6152"/>
    <col width="15.5" customWidth="1" style="79" min="6153" max="6153"/>
    <col width="18.75" customWidth="1" style="79" min="6154" max="6154"/>
    <col width="15.375" customWidth="1" style="79" min="6155" max="6155"/>
    <col width="15.125" customWidth="1" style="79" min="6156" max="6156"/>
    <col width="11" customWidth="1" style="79" min="6158" max="6158"/>
    <col width="10.625" customWidth="1" style="79" min="6159" max="6159"/>
    <col width="9.625" customWidth="1" style="79" min="6160" max="6160"/>
    <col width="7" customWidth="1" style="79" min="6403" max="6403"/>
    <col width="17.75" customWidth="1" style="79" min="6404" max="6404"/>
    <col width="10.875" customWidth="1" style="79" min="6405" max="6405"/>
    <col width="11.25" customWidth="1" style="79" min="6406" max="6406"/>
    <col width="11.5" customWidth="1" style="79" min="6407" max="6407"/>
    <col width="11.625" customWidth="1" style="79" min="6408" max="6408"/>
    <col width="15.5" customWidth="1" style="79" min="6409" max="6409"/>
    <col width="18.75" customWidth="1" style="79" min="6410" max="6410"/>
    <col width="15.375" customWidth="1" style="79" min="6411" max="6411"/>
    <col width="15.125" customWidth="1" style="79" min="6412" max="6412"/>
    <col width="11" customWidth="1" style="79" min="6414" max="6414"/>
    <col width="10.625" customWidth="1" style="79" min="6415" max="6415"/>
    <col width="9.625" customWidth="1" style="79" min="6416" max="6416"/>
    <col width="7" customWidth="1" style="79" min="6659" max="6659"/>
    <col width="17.75" customWidth="1" style="79" min="6660" max="6660"/>
    <col width="10.875" customWidth="1" style="79" min="6661" max="6661"/>
    <col width="11.25" customWidth="1" style="79" min="6662" max="6662"/>
    <col width="11.5" customWidth="1" style="79" min="6663" max="6663"/>
    <col width="11.625" customWidth="1" style="79" min="6664" max="6664"/>
    <col width="15.5" customWidth="1" style="79" min="6665" max="6665"/>
    <col width="18.75" customWidth="1" style="79" min="6666" max="6666"/>
    <col width="15.375" customWidth="1" style="79" min="6667" max="6667"/>
    <col width="15.125" customWidth="1" style="79" min="6668" max="6668"/>
    <col width="11" customWidth="1" style="79" min="6670" max="6670"/>
    <col width="10.625" customWidth="1" style="79" min="6671" max="6671"/>
    <col width="9.625" customWidth="1" style="79" min="6672" max="6672"/>
    <col width="7" customWidth="1" style="79" min="6915" max="6915"/>
    <col width="17.75" customWidth="1" style="79" min="6916" max="6916"/>
    <col width="10.875" customWidth="1" style="79" min="6917" max="6917"/>
    <col width="11.25" customWidth="1" style="79" min="6918" max="6918"/>
    <col width="11.5" customWidth="1" style="79" min="6919" max="6919"/>
    <col width="11.625" customWidth="1" style="79" min="6920" max="6920"/>
    <col width="15.5" customWidth="1" style="79" min="6921" max="6921"/>
    <col width="18.75" customWidth="1" style="79" min="6922" max="6922"/>
    <col width="15.375" customWidth="1" style="79" min="6923" max="6923"/>
    <col width="15.125" customWidth="1" style="79" min="6924" max="6924"/>
    <col width="11" customWidth="1" style="79" min="6926" max="6926"/>
    <col width="10.625" customWidth="1" style="79" min="6927" max="6927"/>
    <col width="9.625" customWidth="1" style="79" min="6928" max="6928"/>
    <col width="7" customWidth="1" style="79" min="7171" max="7171"/>
    <col width="17.75" customWidth="1" style="79" min="7172" max="7172"/>
    <col width="10.875" customWidth="1" style="79" min="7173" max="7173"/>
    <col width="11.25" customWidth="1" style="79" min="7174" max="7174"/>
    <col width="11.5" customWidth="1" style="79" min="7175" max="7175"/>
    <col width="11.625" customWidth="1" style="79" min="7176" max="7176"/>
    <col width="15.5" customWidth="1" style="79" min="7177" max="7177"/>
    <col width="18.75" customWidth="1" style="79" min="7178" max="7178"/>
    <col width="15.375" customWidth="1" style="79" min="7179" max="7179"/>
    <col width="15.125" customWidth="1" style="79" min="7180" max="7180"/>
    <col width="11" customWidth="1" style="79" min="7182" max="7182"/>
    <col width="10.625" customWidth="1" style="79" min="7183" max="7183"/>
    <col width="9.625" customWidth="1" style="79" min="7184" max="7184"/>
    <col width="7" customWidth="1" style="79" min="7427" max="7427"/>
    <col width="17.75" customWidth="1" style="79" min="7428" max="7428"/>
    <col width="10.875" customWidth="1" style="79" min="7429" max="7429"/>
    <col width="11.25" customWidth="1" style="79" min="7430" max="7430"/>
    <col width="11.5" customWidth="1" style="79" min="7431" max="7431"/>
    <col width="11.625" customWidth="1" style="79" min="7432" max="7432"/>
    <col width="15.5" customWidth="1" style="79" min="7433" max="7433"/>
    <col width="18.75" customWidth="1" style="79" min="7434" max="7434"/>
    <col width="15.375" customWidth="1" style="79" min="7435" max="7435"/>
    <col width="15.125" customWidth="1" style="79" min="7436" max="7436"/>
    <col width="11" customWidth="1" style="79" min="7438" max="7438"/>
    <col width="10.625" customWidth="1" style="79" min="7439" max="7439"/>
    <col width="9.625" customWidth="1" style="79" min="7440" max="7440"/>
    <col width="7" customWidth="1" style="79" min="7683" max="7683"/>
    <col width="17.75" customWidth="1" style="79" min="7684" max="7684"/>
    <col width="10.875" customWidth="1" style="79" min="7685" max="7685"/>
    <col width="11.25" customWidth="1" style="79" min="7686" max="7686"/>
    <col width="11.5" customWidth="1" style="79" min="7687" max="7687"/>
    <col width="11.625" customWidth="1" style="79" min="7688" max="7688"/>
    <col width="15.5" customWidth="1" style="79" min="7689" max="7689"/>
    <col width="18.75" customWidth="1" style="79" min="7690" max="7690"/>
    <col width="15.375" customWidth="1" style="79" min="7691" max="7691"/>
    <col width="15.125" customWidth="1" style="79" min="7692" max="7692"/>
    <col width="11" customWidth="1" style="79" min="7694" max="7694"/>
    <col width="10.625" customWidth="1" style="79" min="7695" max="7695"/>
    <col width="9.625" customWidth="1" style="79" min="7696" max="7696"/>
    <col width="7" customWidth="1" style="79" min="7939" max="7939"/>
    <col width="17.75" customWidth="1" style="79" min="7940" max="7940"/>
    <col width="10.875" customWidth="1" style="79" min="7941" max="7941"/>
    <col width="11.25" customWidth="1" style="79" min="7942" max="7942"/>
    <col width="11.5" customWidth="1" style="79" min="7943" max="7943"/>
    <col width="11.625" customWidth="1" style="79" min="7944" max="7944"/>
    <col width="15.5" customWidth="1" style="79" min="7945" max="7945"/>
    <col width="18.75" customWidth="1" style="79" min="7946" max="7946"/>
    <col width="15.375" customWidth="1" style="79" min="7947" max="7947"/>
    <col width="15.125" customWidth="1" style="79" min="7948" max="7948"/>
    <col width="11" customWidth="1" style="79" min="7950" max="7950"/>
    <col width="10.625" customWidth="1" style="79" min="7951" max="7951"/>
    <col width="9.625" customWidth="1" style="79" min="7952" max="7952"/>
    <col width="7" customWidth="1" style="79" min="8195" max="8195"/>
    <col width="17.75" customWidth="1" style="79" min="8196" max="8196"/>
    <col width="10.875" customWidth="1" style="79" min="8197" max="8197"/>
    <col width="11.25" customWidth="1" style="79" min="8198" max="8198"/>
    <col width="11.5" customWidth="1" style="79" min="8199" max="8199"/>
    <col width="11.625" customWidth="1" style="79" min="8200" max="8200"/>
    <col width="15.5" customWidth="1" style="79" min="8201" max="8201"/>
    <col width="18.75" customWidth="1" style="79" min="8202" max="8202"/>
    <col width="15.375" customWidth="1" style="79" min="8203" max="8203"/>
    <col width="15.125" customWidth="1" style="79" min="8204" max="8204"/>
    <col width="11" customWidth="1" style="79" min="8206" max="8206"/>
    <col width="10.625" customWidth="1" style="79" min="8207" max="8207"/>
    <col width="9.625" customWidth="1" style="79" min="8208" max="8208"/>
    <col width="7" customWidth="1" style="79" min="8451" max="8451"/>
    <col width="17.75" customWidth="1" style="79" min="8452" max="8452"/>
    <col width="10.875" customWidth="1" style="79" min="8453" max="8453"/>
    <col width="11.25" customWidth="1" style="79" min="8454" max="8454"/>
    <col width="11.5" customWidth="1" style="79" min="8455" max="8455"/>
    <col width="11.625" customWidth="1" style="79" min="8456" max="8456"/>
    <col width="15.5" customWidth="1" style="79" min="8457" max="8457"/>
    <col width="18.75" customWidth="1" style="79" min="8458" max="8458"/>
    <col width="15.375" customWidth="1" style="79" min="8459" max="8459"/>
    <col width="15.125" customWidth="1" style="79" min="8460" max="8460"/>
    <col width="11" customWidth="1" style="79" min="8462" max="8462"/>
    <col width="10.625" customWidth="1" style="79" min="8463" max="8463"/>
    <col width="9.625" customWidth="1" style="79" min="8464" max="8464"/>
    <col width="7" customWidth="1" style="79" min="8707" max="8707"/>
    <col width="17.75" customWidth="1" style="79" min="8708" max="8708"/>
    <col width="10.875" customWidth="1" style="79" min="8709" max="8709"/>
    <col width="11.25" customWidth="1" style="79" min="8710" max="8710"/>
    <col width="11.5" customWidth="1" style="79" min="8711" max="8711"/>
    <col width="11.625" customWidth="1" style="79" min="8712" max="8712"/>
    <col width="15.5" customWidth="1" style="79" min="8713" max="8713"/>
    <col width="18.75" customWidth="1" style="79" min="8714" max="8714"/>
    <col width="15.375" customWidth="1" style="79" min="8715" max="8715"/>
    <col width="15.125" customWidth="1" style="79" min="8716" max="8716"/>
    <col width="11" customWidth="1" style="79" min="8718" max="8718"/>
    <col width="10.625" customWidth="1" style="79" min="8719" max="8719"/>
    <col width="9.625" customWidth="1" style="79" min="8720" max="8720"/>
    <col width="7" customWidth="1" style="79" min="8963" max="8963"/>
    <col width="17.75" customWidth="1" style="79" min="8964" max="8964"/>
    <col width="10.875" customWidth="1" style="79" min="8965" max="8965"/>
    <col width="11.25" customWidth="1" style="79" min="8966" max="8966"/>
    <col width="11.5" customWidth="1" style="79" min="8967" max="8967"/>
    <col width="11.625" customWidth="1" style="79" min="8968" max="8968"/>
    <col width="15.5" customWidth="1" style="79" min="8969" max="8969"/>
    <col width="18.75" customWidth="1" style="79" min="8970" max="8970"/>
    <col width="15.375" customWidth="1" style="79" min="8971" max="8971"/>
    <col width="15.125" customWidth="1" style="79" min="8972" max="8972"/>
    <col width="11" customWidth="1" style="79" min="8974" max="8974"/>
    <col width="10.625" customWidth="1" style="79" min="8975" max="8975"/>
    <col width="9.625" customWidth="1" style="79" min="8976" max="8976"/>
    <col width="7" customWidth="1" style="79" min="9219" max="9219"/>
    <col width="17.75" customWidth="1" style="79" min="9220" max="9220"/>
    <col width="10.875" customWidth="1" style="79" min="9221" max="9221"/>
    <col width="11.25" customWidth="1" style="79" min="9222" max="9222"/>
    <col width="11.5" customWidth="1" style="79" min="9223" max="9223"/>
    <col width="11.625" customWidth="1" style="79" min="9224" max="9224"/>
    <col width="15.5" customWidth="1" style="79" min="9225" max="9225"/>
    <col width="18.75" customWidth="1" style="79" min="9226" max="9226"/>
    <col width="15.375" customWidth="1" style="79" min="9227" max="9227"/>
    <col width="15.125" customWidth="1" style="79" min="9228" max="9228"/>
    <col width="11" customWidth="1" style="79" min="9230" max="9230"/>
    <col width="10.625" customWidth="1" style="79" min="9231" max="9231"/>
    <col width="9.625" customWidth="1" style="79" min="9232" max="9232"/>
    <col width="7" customWidth="1" style="79" min="9475" max="9475"/>
    <col width="17.75" customWidth="1" style="79" min="9476" max="9476"/>
    <col width="10.875" customWidth="1" style="79" min="9477" max="9477"/>
    <col width="11.25" customWidth="1" style="79" min="9478" max="9478"/>
    <col width="11.5" customWidth="1" style="79" min="9479" max="9479"/>
    <col width="11.625" customWidth="1" style="79" min="9480" max="9480"/>
    <col width="15.5" customWidth="1" style="79" min="9481" max="9481"/>
    <col width="18.75" customWidth="1" style="79" min="9482" max="9482"/>
    <col width="15.375" customWidth="1" style="79" min="9483" max="9483"/>
    <col width="15.125" customWidth="1" style="79" min="9484" max="9484"/>
    <col width="11" customWidth="1" style="79" min="9486" max="9486"/>
    <col width="10.625" customWidth="1" style="79" min="9487" max="9487"/>
    <col width="9.625" customWidth="1" style="79" min="9488" max="9488"/>
    <col width="7" customWidth="1" style="79" min="9731" max="9731"/>
    <col width="17.75" customWidth="1" style="79" min="9732" max="9732"/>
    <col width="10.875" customWidth="1" style="79" min="9733" max="9733"/>
    <col width="11.25" customWidth="1" style="79" min="9734" max="9734"/>
    <col width="11.5" customWidth="1" style="79" min="9735" max="9735"/>
    <col width="11.625" customWidth="1" style="79" min="9736" max="9736"/>
    <col width="15.5" customWidth="1" style="79" min="9737" max="9737"/>
    <col width="18.75" customWidth="1" style="79" min="9738" max="9738"/>
    <col width="15.375" customWidth="1" style="79" min="9739" max="9739"/>
    <col width="15.125" customWidth="1" style="79" min="9740" max="9740"/>
    <col width="11" customWidth="1" style="79" min="9742" max="9742"/>
    <col width="10.625" customWidth="1" style="79" min="9743" max="9743"/>
    <col width="9.625" customWidth="1" style="79" min="9744" max="9744"/>
    <col width="7" customWidth="1" style="79" min="9987" max="9987"/>
    <col width="17.75" customWidth="1" style="79" min="9988" max="9988"/>
    <col width="10.875" customWidth="1" style="79" min="9989" max="9989"/>
    <col width="11.25" customWidth="1" style="79" min="9990" max="9990"/>
    <col width="11.5" customWidth="1" style="79" min="9991" max="9991"/>
    <col width="11.625" customWidth="1" style="79" min="9992" max="9992"/>
    <col width="15.5" customWidth="1" style="79" min="9993" max="9993"/>
    <col width="18.75" customWidth="1" style="79" min="9994" max="9994"/>
    <col width="15.375" customWidth="1" style="79" min="9995" max="9995"/>
    <col width="15.125" customWidth="1" style="79" min="9996" max="9996"/>
    <col width="11" customWidth="1" style="79" min="9998" max="9998"/>
    <col width="10.625" customWidth="1" style="79" min="9999" max="9999"/>
    <col width="9.625" customWidth="1" style="79" min="10000" max="10000"/>
    <col width="7" customWidth="1" style="79" min="10243" max="10243"/>
    <col width="17.75" customWidth="1" style="79" min="10244" max="10244"/>
    <col width="10.875" customWidth="1" style="79" min="10245" max="10245"/>
    <col width="11.25" customWidth="1" style="79" min="10246" max="10246"/>
    <col width="11.5" customWidth="1" style="79" min="10247" max="10247"/>
    <col width="11.625" customWidth="1" style="79" min="10248" max="10248"/>
    <col width="15.5" customWidth="1" style="79" min="10249" max="10249"/>
    <col width="18.75" customWidth="1" style="79" min="10250" max="10250"/>
    <col width="15.375" customWidth="1" style="79" min="10251" max="10251"/>
    <col width="15.125" customWidth="1" style="79" min="10252" max="10252"/>
    <col width="11" customWidth="1" style="79" min="10254" max="10254"/>
    <col width="10.625" customWidth="1" style="79" min="10255" max="10255"/>
    <col width="9.625" customWidth="1" style="79" min="10256" max="10256"/>
    <col width="7" customWidth="1" style="79" min="10499" max="10499"/>
    <col width="17.75" customWidth="1" style="79" min="10500" max="10500"/>
    <col width="10.875" customWidth="1" style="79" min="10501" max="10501"/>
    <col width="11.25" customWidth="1" style="79" min="10502" max="10502"/>
    <col width="11.5" customWidth="1" style="79" min="10503" max="10503"/>
    <col width="11.625" customWidth="1" style="79" min="10504" max="10504"/>
    <col width="15.5" customWidth="1" style="79" min="10505" max="10505"/>
    <col width="18.75" customWidth="1" style="79" min="10506" max="10506"/>
    <col width="15.375" customWidth="1" style="79" min="10507" max="10507"/>
    <col width="15.125" customWidth="1" style="79" min="10508" max="10508"/>
    <col width="11" customWidth="1" style="79" min="10510" max="10510"/>
    <col width="10.625" customWidth="1" style="79" min="10511" max="10511"/>
    <col width="9.625" customWidth="1" style="79" min="10512" max="10512"/>
    <col width="7" customWidth="1" style="79" min="10755" max="10755"/>
    <col width="17.75" customWidth="1" style="79" min="10756" max="10756"/>
    <col width="10.875" customWidth="1" style="79" min="10757" max="10757"/>
    <col width="11.25" customWidth="1" style="79" min="10758" max="10758"/>
    <col width="11.5" customWidth="1" style="79" min="10759" max="10759"/>
    <col width="11.625" customWidth="1" style="79" min="10760" max="10760"/>
    <col width="15.5" customWidth="1" style="79" min="10761" max="10761"/>
    <col width="18.75" customWidth="1" style="79" min="10762" max="10762"/>
    <col width="15.375" customWidth="1" style="79" min="10763" max="10763"/>
    <col width="15.125" customWidth="1" style="79" min="10764" max="10764"/>
    <col width="11" customWidth="1" style="79" min="10766" max="10766"/>
    <col width="10.625" customWidth="1" style="79" min="10767" max="10767"/>
    <col width="9.625" customWidth="1" style="79" min="10768" max="10768"/>
    <col width="7" customWidth="1" style="79" min="11011" max="11011"/>
    <col width="17.75" customWidth="1" style="79" min="11012" max="11012"/>
    <col width="10.875" customWidth="1" style="79" min="11013" max="11013"/>
    <col width="11.25" customWidth="1" style="79" min="11014" max="11014"/>
    <col width="11.5" customWidth="1" style="79" min="11015" max="11015"/>
    <col width="11.625" customWidth="1" style="79" min="11016" max="11016"/>
    <col width="15.5" customWidth="1" style="79" min="11017" max="11017"/>
    <col width="18.75" customWidth="1" style="79" min="11018" max="11018"/>
    <col width="15.375" customWidth="1" style="79" min="11019" max="11019"/>
    <col width="15.125" customWidth="1" style="79" min="11020" max="11020"/>
    <col width="11" customWidth="1" style="79" min="11022" max="11022"/>
    <col width="10.625" customWidth="1" style="79" min="11023" max="11023"/>
    <col width="9.625" customWidth="1" style="79" min="11024" max="11024"/>
    <col width="7" customWidth="1" style="79" min="11267" max="11267"/>
    <col width="17.75" customWidth="1" style="79" min="11268" max="11268"/>
    <col width="10.875" customWidth="1" style="79" min="11269" max="11269"/>
    <col width="11.25" customWidth="1" style="79" min="11270" max="11270"/>
    <col width="11.5" customWidth="1" style="79" min="11271" max="11271"/>
    <col width="11.625" customWidth="1" style="79" min="11272" max="11272"/>
    <col width="15.5" customWidth="1" style="79" min="11273" max="11273"/>
    <col width="18.75" customWidth="1" style="79" min="11274" max="11274"/>
    <col width="15.375" customWidth="1" style="79" min="11275" max="11275"/>
    <col width="15.125" customWidth="1" style="79" min="11276" max="11276"/>
    <col width="11" customWidth="1" style="79" min="11278" max="11278"/>
    <col width="10.625" customWidth="1" style="79" min="11279" max="11279"/>
    <col width="9.625" customWidth="1" style="79" min="11280" max="11280"/>
    <col width="7" customWidth="1" style="79" min="11523" max="11523"/>
    <col width="17.75" customWidth="1" style="79" min="11524" max="11524"/>
    <col width="10.875" customWidth="1" style="79" min="11525" max="11525"/>
    <col width="11.25" customWidth="1" style="79" min="11526" max="11526"/>
    <col width="11.5" customWidth="1" style="79" min="11527" max="11527"/>
    <col width="11.625" customWidth="1" style="79" min="11528" max="11528"/>
    <col width="15.5" customWidth="1" style="79" min="11529" max="11529"/>
    <col width="18.75" customWidth="1" style="79" min="11530" max="11530"/>
    <col width="15.375" customWidth="1" style="79" min="11531" max="11531"/>
    <col width="15.125" customWidth="1" style="79" min="11532" max="11532"/>
    <col width="11" customWidth="1" style="79" min="11534" max="11534"/>
    <col width="10.625" customWidth="1" style="79" min="11535" max="11535"/>
    <col width="9.625" customWidth="1" style="79" min="11536" max="11536"/>
    <col width="7" customWidth="1" style="79" min="11779" max="11779"/>
    <col width="17.75" customWidth="1" style="79" min="11780" max="11780"/>
    <col width="10.875" customWidth="1" style="79" min="11781" max="11781"/>
    <col width="11.25" customWidth="1" style="79" min="11782" max="11782"/>
    <col width="11.5" customWidth="1" style="79" min="11783" max="11783"/>
    <col width="11.625" customWidth="1" style="79" min="11784" max="11784"/>
    <col width="15.5" customWidth="1" style="79" min="11785" max="11785"/>
    <col width="18.75" customWidth="1" style="79" min="11786" max="11786"/>
    <col width="15.375" customWidth="1" style="79" min="11787" max="11787"/>
    <col width="15.125" customWidth="1" style="79" min="11788" max="11788"/>
    <col width="11" customWidth="1" style="79" min="11790" max="11790"/>
    <col width="10.625" customWidth="1" style="79" min="11791" max="11791"/>
    <col width="9.625" customWidth="1" style="79" min="11792" max="11792"/>
    <col width="7" customWidth="1" style="79" min="12035" max="12035"/>
    <col width="17.75" customWidth="1" style="79" min="12036" max="12036"/>
    <col width="10.875" customWidth="1" style="79" min="12037" max="12037"/>
    <col width="11.25" customWidth="1" style="79" min="12038" max="12038"/>
    <col width="11.5" customWidth="1" style="79" min="12039" max="12039"/>
    <col width="11.625" customWidth="1" style="79" min="12040" max="12040"/>
    <col width="15.5" customWidth="1" style="79" min="12041" max="12041"/>
    <col width="18.75" customWidth="1" style="79" min="12042" max="12042"/>
    <col width="15.375" customWidth="1" style="79" min="12043" max="12043"/>
    <col width="15.125" customWidth="1" style="79" min="12044" max="12044"/>
    <col width="11" customWidth="1" style="79" min="12046" max="12046"/>
    <col width="10.625" customWidth="1" style="79" min="12047" max="12047"/>
    <col width="9.625" customWidth="1" style="79" min="12048" max="12048"/>
    <col width="7" customWidth="1" style="79" min="12291" max="12291"/>
    <col width="17.75" customWidth="1" style="79" min="12292" max="12292"/>
    <col width="10.875" customWidth="1" style="79" min="12293" max="12293"/>
    <col width="11.25" customWidth="1" style="79" min="12294" max="12294"/>
    <col width="11.5" customWidth="1" style="79" min="12295" max="12295"/>
    <col width="11.625" customWidth="1" style="79" min="12296" max="12296"/>
    <col width="15.5" customWidth="1" style="79" min="12297" max="12297"/>
    <col width="18.75" customWidth="1" style="79" min="12298" max="12298"/>
    <col width="15.375" customWidth="1" style="79" min="12299" max="12299"/>
    <col width="15.125" customWidth="1" style="79" min="12300" max="12300"/>
    <col width="11" customWidth="1" style="79" min="12302" max="12302"/>
    <col width="10.625" customWidth="1" style="79" min="12303" max="12303"/>
    <col width="9.625" customWidth="1" style="79" min="12304" max="12304"/>
    <col width="7" customWidth="1" style="79" min="12547" max="12547"/>
    <col width="17.75" customWidth="1" style="79" min="12548" max="12548"/>
    <col width="10.875" customWidth="1" style="79" min="12549" max="12549"/>
    <col width="11.25" customWidth="1" style="79" min="12550" max="12550"/>
    <col width="11.5" customWidth="1" style="79" min="12551" max="12551"/>
    <col width="11.625" customWidth="1" style="79" min="12552" max="12552"/>
    <col width="15.5" customWidth="1" style="79" min="12553" max="12553"/>
    <col width="18.75" customWidth="1" style="79" min="12554" max="12554"/>
    <col width="15.375" customWidth="1" style="79" min="12555" max="12555"/>
    <col width="15.125" customWidth="1" style="79" min="12556" max="12556"/>
    <col width="11" customWidth="1" style="79" min="12558" max="12558"/>
    <col width="10.625" customWidth="1" style="79" min="12559" max="12559"/>
    <col width="9.625" customWidth="1" style="79" min="12560" max="12560"/>
    <col width="7" customWidth="1" style="79" min="12803" max="12803"/>
    <col width="17.75" customWidth="1" style="79" min="12804" max="12804"/>
    <col width="10.875" customWidth="1" style="79" min="12805" max="12805"/>
    <col width="11.25" customWidth="1" style="79" min="12806" max="12806"/>
    <col width="11.5" customWidth="1" style="79" min="12807" max="12807"/>
    <col width="11.625" customWidth="1" style="79" min="12808" max="12808"/>
    <col width="15.5" customWidth="1" style="79" min="12809" max="12809"/>
    <col width="18.75" customWidth="1" style="79" min="12810" max="12810"/>
    <col width="15.375" customWidth="1" style="79" min="12811" max="12811"/>
    <col width="15.125" customWidth="1" style="79" min="12812" max="12812"/>
    <col width="11" customWidth="1" style="79" min="12814" max="12814"/>
    <col width="10.625" customWidth="1" style="79" min="12815" max="12815"/>
    <col width="9.625" customWidth="1" style="79" min="12816" max="12816"/>
    <col width="7" customWidth="1" style="79" min="13059" max="13059"/>
    <col width="17.75" customWidth="1" style="79" min="13060" max="13060"/>
    <col width="10.875" customWidth="1" style="79" min="13061" max="13061"/>
    <col width="11.25" customWidth="1" style="79" min="13062" max="13062"/>
    <col width="11.5" customWidth="1" style="79" min="13063" max="13063"/>
    <col width="11.625" customWidth="1" style="79" min="13064" max="13064"/>
    <col width="15.5" customWidth="1" style="79" min="13065" max="13065"/>
    <col width="18.75" customWidth="1" style="79" min="13066" max="13066"/>
    <col width="15.375" customWidth="1" style="79" min="13067" max="13067"/>
    <col width="15.125" customWidth="1" style="79" min="13068" max="13068"/>
    <col width="11" customWidth="1" style="79" min="13070" max="13070"/>
    <col width="10.625" customWidth="1" style="79" min="13071" max="13071"/>
    <col width="9.625" customWidth="1" style="79" min="13072" max="13072"/>
    <col width="7" customWidth="1" style="79" min="13315" max="13315"/>
    <col width="17.75" customWidth="1" style="79" min="13316" max="13316"/>
    <col width="10.875" customWidth="1" style="79" min="13317" max="13317"/>
    <col width="11.25" customWidth="1" style="79" min="13318" max="13318"/>
    <col width="11.5" customWidth="1" style="79" min="13319" max="13319"/>
    <col width="11.625" customWidth="1" style="79" min="13320" max="13320"/>
    <col width="15.5" customWidth="1" style="79" min="13321" max="13321"/>
    <col width="18.75" customWidth="1" style="79" min="13322" max="13322"/>
    <col width="15.375" customWidth="1" style="79" min="13323" max="13323"/>
    <col width="15.125" customWidth="1" style="79" min="13324" max="13324"/>
    <col width="11" customWidth="1" style="79" min="13326" max="13326"/>
    <col width="10.625" customWidth="1" style="79" min="13327" max="13327"/>
    <col width="9.625" customWidth="1" style="79" min="13328" max="13328"/>
    <col width="7" customWidth="1" style="79" min="13571" max="13571"/>
    <col width="17.75" customWidth="1" style="79" min="13572" max="13572"/>
    <col width="10.875" customWidth="1" style="79" min="13573" max="13573"/>
    <col width="11.25" customWidth="1" style="79" min="13574" max="13574"/>
    <col width="11.5" customWidth="1" style="79" min="13575" max="13575"/>
    <col width="11.625" customWidth="1" style="79" min="13576" max="13576"/>
    <col width="15.5" customWidth="1" style="79" min="13577" max="13577"/>
    <col width="18.75" customWidth="1" style="79" min="13578" max="13578"/>
    <col width="15.375" customWidth="1" style="79" min="13579" max="13579"/>
    <col width="15.125" customWidth="1" style="79" min="13580" max="13580"/>
    <col width="11" customWidth="1" style="79" min="13582" max="13582"/>
    <col width="10.625" customWidth="1" style="79" min="13583" max="13583"/>
    <col width="9.625" customWidth="1" style="79" min="13584" max="13584"/>
    <col width="7" customWidth="1" style="79" min="13827" max="13827"/>
    <col width="17.75" customWidth="1" style="79" min="13828" max="13828"/>
    <col width="10.875" customWidth="1" style="79" min="13829" max="13829"/>
    <col width="11.25" customWidth="1" style="79" min="13830" max="13830"/>
    <col width="11.5" customWidth="1" style="79" min="13831" max="13831"/>
    <col width="11.625" customWidth="1" style="79" min="13832" max="13832"/>
    <col width="15.5" customWidth="1" style="79" min="13833" max="13833"/>
    <col width="18.75" customWidth="1" style="79" min="13834" max="13834"/>
    <col width="15.375" customWidth="1" style="79" min="13835" max="13835"/>
    <col width="15.125" customWidth="1" style="79" min="13836" max="13836"/>
    <col width="11" customWidth="1" style="79" min="13838" max="13838"/>
    <col width="10.625" customWidth="1" style="79" min="13839" max="13839"/>
    <col width="9.625" customWidth="1" style="79" min="13840" max="13840"/>
    <col width="7" customWidth="1" style="79" min="14083" max="14083"/>
    <col width="17.75" customWidth="1" style="79" min="14084" max="14084"/>
    <col width="10.875" customWidth="1" style="79" min="14085" max="14085"/>
    <col width="11.25" customWidth="1" style="79" min="14086" max="14086"/>
    <col width="11.5" customWidth="1" style="79" min="14087" max="14087"/>
    <col width="11.625" customWidth="1" style="79" min="14088" max="14088"/>
    <col width="15.5" customWidth="1" style="79" min="14089" max="14089"/>
    <col width="18.75" customWidth="1" style="79" min="14090" max="14090"/>
    <col width="15.375" customWidth="1" style="79" min="14091" max="14091"/>
    <col width="15.125" customWidth="1" style="79" min="14092" max="14092"/>
    <col width="11" customWidth="1" style="79" min="14094" max="14094"/>
    <col width="10.625" customWidth="1" style="79" min="14095" max="14095"/>
    <col width="9.625" customWidth="1" style="79" min="14096" max="14096"/>
    <col width="7" customWidth="1" style="79" min="14339" max="14339"/>
    <col width="17.75" customWidth="1" style="79" min="14340" max="14340"/>
    <col width="10.875" customWidth="1" style="79" min="14341" max="14341"/>
    <col width="11.25" customWidth="1" style="79" min="14342" max="14342"/>
    <col width="11.5" customWidth="1" style="79" min="14343" max="14343"/>
    <col width="11.625" customWidth="1" style="79" min="14344" max="14344"/>
    <col width="15.5" customWidth="1" style="79" min="14345" max="14345"/>
    <col width="18.75" customWidth="1" style="79" min="14346" max="14346"/>
    <col width="15.375" customWidth="1" style="79" min="14347" max="14347"/>
    <col width="15.125" customWidth="1" style="79" min="14348" max="14348"/>
    <col width="11" customWidth="1" style="79" min="14350" max="14350"/>
    <col width="10.625" customWidth="1" style="79" min="14351" max="14351"/>
    <col width="9.625" customWidth="1" style="79" min="14352" max="14352"/>
    <col width="7" customWidth="1" style="79" min="14595" max="14595"/>
    <col width="17.75" customWidth="1" style="79" min="14596" max="14596"/>
    <col width="10.875" customWidth="1" style="79" min="14597" max="14597"/>
    <col width="11.25" customWidth="1" style="79" min="14598" max="14598"/>
    <col width="11.5" customWidth="1" style="79" min="14599" max="14599"/>
    <col width="11.625" customWidth="1" style="79" min="14600" max="14600"/>
    <col width="15.5" customWidth="1" style="79" min="14601" max="14601"/>
    <col width="18.75" customWidth="1" style="79" min="14602" max="14602"/>
    <col width="15.375" customWidth="1" style="79" min="14603" max="14603"/>
    <col width="15.125" customWidth="1" style="79" min="14604" max="14604"/>
    <col width="11" customWidth="1" style="79" min="14606" max="14606"/>
    <col width="10.625" customWidth="1" style="79" min="14607" max="14607"/>
    <col width="9.625" customWidth="1" style="79" min="14608" max="14608"/>
    <col width="7" customWidth="1" style="79" min="14851" max="14851"/>
    <col width="17.75" customWidth="1" style="79" min="14852" max="14852"/>
    <col width="10.875" customWidth="1" style="79" min="14853" max="14853"/>
    <col width="11.25" customWidth="1" style="79" min="14854" max="14854"/>
    <col width="11.5" customWidth="1" style="79" min="14855" max="14855"/>
    <col width="11.625" customWidth="1" style="79" min="14856" max="14856"/>
    <col width="15.5" customWidth="1" style="79" min="14857" max="14857"/>
    <col width="18.75" customWidth="1" style="79" min="14858" max="14858"/>
    <col width="15.375" customWidth="1" style="79" min="14859" max="14859"/>
    <col width="15.125" customWidth="1" style="79" min="14860" max="14860"/>
    <col width="11" customWidth="1" style="79" min="14862" max="14862"/>
    <col width="10.625" customWidth="1" style="79" min="14863" max="14863"/>
    <col width="9.625" customWidth="1" style="79" min="14864" max="14864"/>
    <col width="7" customWidth="1" style="79" min="15107" max="15107"/>
    <col width="17.75" customWidth="1" style="79" min="15108" max="15108"/>
    <col width="10.875" customWidth="1" style="79" min="15109" max="15109"/>
    <col width="11.25" customWidth="1" style="79" min="15110" max="15110"/>
    <col width="11.5" customWidth="1" style="79" min="15111" max="15111"/>
    <col width="11.625" customWidth="1" style="79" min="15112" max="15112"/>
    <col width="15.5" customWidth="1" style="79" min="15113" max="15113"/>
    <col width="18.75" customWidth="1" style="79" min="15114" max="15114"/>
    <col width="15.375" customWidth="1" style="79" min="15115" max="15115"/>
    <col width="15.125" customWidth="1" style="79" min="15116" max="15116"/>
    <col width="11" customWidth="1" style="79" min="15118" max="15118"/>
    <col width="10.625" customWidth="1" style="79" min="15119" max="15119"/>
    <col width="9.625" customWidth="1" style="79" min="15120" max="15120"/>
    <col width="7" customWidth="1" style="79" min="15363" max="15363"/>
    <col width="17.75" customWidth="1" style="79" min="15364" max="15364"/>
    <col width="10.875" customWidth="1" style="79" min="15365" max="15365"/>
    <col width="11.25" customWidth="1" style="79" min="15366" max="15366"/>
    <col width="11.5" customWidth="1" style="79" min="15367" max="15367"/>
    <col width="11.625" customWidth="1" style="79" min="15368" max="15368"/>
    <col width="15.5" customWidth="1" style="79" min="15369" max="15369"/>
    <col width="18.75" customWidth="1" style="79" min="15370" max="15370"/>
    <col width="15.375" customWidth="1" style="79" min="15371" max="15371"/>
    <col width="15.125" customWidth="1" style="79" min="15372" max="15372"/>
    <col width="11" customWidth="1" style="79" min="15374" max="15374"/>
    <col width="10.625" customWidth="1" style="79" min="15375" max="15375"/>
    <col width="9.625" customWidth="1" style="79" min="15376" max="15376"/>
    <col width="7" customWidth="1" style="79" min="15619" max="15619"/>
    <col width="17.75" customWidth="1" style="79" min="15620" max="15620"/>
    <col width="10.875" customWidth="1" style="79" min="15621" max="15621"/>
    <col width="11.25" customWidth="1" style="79" min="15622" max="15622"/>
    <col width="11.5" customWidth="1" style="79" min="15623" max="15623"/>
    <col width="11.625" customWidth="1" style="79" min="15624" max="15624"/>
    <col width="15.5" customWidth="1" style="79" min="15625" max="15625"/>
    <col width="18.75" customWidth="1" style="79" min="15626" max="15626"/>
    <col width="15.375" customWidth="1" style="79" min="15627" max="15627"/>
    <col width="15.125" customWidth="1" style="79" min="15628" max="15628"/>
    <col width="11" customWidth="1" style="79" min="15630" max="15630"/>
    <col width="10.625" customWidth="1" style="79" min="15631" max="15631"/>
    <col width="9.625" customWidth="1" style="79" min="15632" max="15632"/>
    <col width="7" customWidth="1" style="79" min="15875" max="15875"/>
    <col width="17.75" customWidth="1" style="79" min="15876" max="15876"/>
    <col width="10.875" customWidth="1" style="79" min="15877" max="15877"/>
    <col width="11.25" customWidth="1" style="79" min="15878" max="15878"/>
    <col width="11.5" customWidth="1" style="79" min="15879" max="15879"/>
    <col width="11.625" customWidth="1" style="79" min="15880" max="15880"/>
    <col width="15.5" customWidth="1" style="79" min="15881" max="15881"/>
    <col width="18.75" customWidth="1" style="79" min="15882" max="15882"/>
    <col width="15.375" customWidth="1" style="79" min="15883" max="15883"/>
    <col width="15.125" customWidth="1" style="79" min="15884" max="15884"/>
    <col width="11" customWidth="1" style="79" min="15886" max="15886"/>
    <col width="10.625" customWidth="1" style="79" min="15887" max="15887"/>
    <col width="9.625" customWidth="1" style="79" min="15888" max="15888"/>
    <col width="7" customWidth="1" style="79" min="16131" max="16131"/>
    <col width="17.75" customWidth="1" style="79" min="16132" max="16132"/>
    <col width="10.875" customWidth="1" style="79" min="16133" max="16133"/>
    <col width="11.25" customWidth="1" style="79" min="16134" max="16134"/>
    <col width="11.5" customWidth="1" style="79" min="16135" max="16135"/>
    <col width="11.625" customWidth="1" style="79" min="16136" max="16136"/>
    <col width="15.5" customWidth="1" style="79" min="16137" max="16137"/>
    <col width="18.75" customWidth="1" style="79" min="16138" max="16138"/>
    <col width="15.375" customWidth="1" style="79" min="16139" max="16139"/>
    <col width="15.125" customWidth="1" style="79" min="16140" max="16140"/>
    <col width="11" customWidth="1" style="79" min="16142" max="16142"/>
    <col width="10.625" customWidth="1" style="79" min="16143" max="16143"/>
    <col width="9.625" customWidth="1" style="79" min="16144" max="16144"/>
  </cols>
  <sheetData>
    <row r="1" ht="20.25" customHeight="1" s="79">
      <c r="B1" s="214" t="n"/>
      <c r="C1" s="214" t="n"/>
      <c r="D1" s="214" t="n"/>
      <c r="E1" s="214" t="n"/>
      <c r="F1" s="214" t="n"/>
      <c r="G1" s="214" t="n"/>
      <c r="H1" s="280" t="inlineStr">
        <is>
          <t>KARTU INVENTARIS RUANGAN</t>
        </is>
      </c>
      <c r="I1" s="214" t="n"/>
      <c r="J1" s="214" t="n"/>
      <c r="K1" s="214" t="n"/>
      <c r="L1" s="214" t="n"/>
      <c r="M1" s="214" t="n"/>
      <c r="N1" s="214" t="n"/>
      <c r="O1" s="214" t="inlineStr">
        <is>
          <t>MODEL INV. 6</t>
        </is>
      </c>
      <c r="P1" s="214" t="n"/>
    </row>
    <row r="2" ht="18" customHeight="1" s="79">
      <c r="B2" s="214" t="n"/>
      <c r="C2" s="214" t="n"/>
      <c r="D2" s="214" t="n"/>
      <c r="E2" s="214" t="n"/>
      <c r="F2" s="214" t="n"/>
      <c r="G2" s="214" t="n"/>
      <c r="H2" s="331" t="n"/>
      <c r="I2" s="214" t="n"/>
      <c r="J2" s="214" t="n"/>
      <c r="K2" s="214" t="n"/>
      <c r="L2" s="214" t="n"/>
      <c r="M2" s="214" t="n"/>
      <c r="N2" s="214" t="n"/>
      <c r="O2" s="214" t="n"/>
      <c r="P2" s="214" t="n"/>
    </row>
    <row r="3" ht="18" customHeight="1" s="79">
      <c r="B3" s="512" t="inlineStr">
        <is>
          <t>Kab/Kota</t>
        </is>
      </c>
      <c r="D3" s="214" t="inlineStr">
        <is>
          <t>Kota Banjarmasin</t>
        </is>
      </c>
      <c r="E3" s="214" t="n"/>
      <c r="F3" s="214" t="n"/>
      <c r="G3" s="214" t="n"/>
      <c r="H3" s="331" t="n"/>
      <c r="I3" s="214" t="n"/>
      <c r="J3" s="214" t="n"/>
      <c r="K3" s="214" t="n"/>
      <c r="L3" s="214" t="n"/>
      <c r="M3" s="214" t="n"/>
      <c r="N3" s="214" t="n"/>
      <c r="O3" s="214" t="n"/>
      <c r="P3" s="214" t="n"/>
    </row>
    <row r="4" ht="18" customHeight="1" s="79">
      <c r="B4" s="512" t="inlineStr">
        <is>
          <t>Propinsi</t>
        </is>
      </c>
      <c r="D4" s="214" t="inlineStr">
        <is>
          <t>Kalimantan Selatan</t>
        </is>
      </c>
      <c r="E4" s="214" t="n"/>
      <c r="F4" s="214" t="n"/>
      <c r="G4" s="214" t="n"/>
      <c r="H4" s="331" t="n"/>
      <c r="I4" s="214" t="n"/>
      <c r="J4" s="214" t="n"/>
      <c r="K4" s="214" t="n"/>
      <c r="L4" s="214" t="n"/>
      <c r="M4" s="214" t="n"/>
      <c r="N4" s="214" t="n"/>
      <c r="O4" s="214" t="n"/>
      <c r="P4" s="214" t="n"/>
    </row>
    <row r="5" ht="18" customHeight="1" s="79">
      <c r="B5" s="512" t="inlineStr">
        <is>
          <t>Satuan Kerja</t>
        </is>
      </c>
      <c r="D5" s="214" t="inlineStr">
        <is>
          <t>Badan Kesatuan Bangsa dan Politik Kota Banjarmasin</t>
        </is>
      </c>
      <c r="E5" s="214" t="n"/>
      <c r="F5" s="214" t="n"/>
      <c r="G5" s="214" t="n"/>
      <c r="H5" s="331" t="n"/>
      <c r="I5" s="214" t="n"/>
      <c r="J5" s="214" t="n"/>
      <c r="K5" s="214" t="n"/>
      <c r="L5" s="214" t="n"/>
      <c r="M5" s="214" t="n"/>
      <c r="N5" s="214" t="n"/>
      <c r="O5" s="214" t="n"/>
      <c r="P5" s="214" t="n"/>
    </row>
    <row r="6" ht="18" customHeight="1" s="79">
      <c r="B6" s="512" t="inlineStr">
        <is>
          <t>Ruangan</t>
        </is>
      </c>
      <c r="D6" s="214" t="inlineStr">
        <is>
          <t>DEPAN BIDANG</t>
        </is>
      </c>
      <c r="E6" s="214" t="n"/>
      <c r="F6" s="214" t="n"/>
      <c r="G6" s="214" t="n"/>
      <c r="H6" s="331" t="n"/>
      <c r="I6" s="214" t="n"/>
      <c r="J6" s="214" t="n"/>
      <c r="K6" s="214" t="n"/>
      <c r="L6" s="214" t="n"/>
      <c r="M6" s="214" t="n"/>
      <c r="N6" s="214" t="n"/>
      <c r="O6" s="214" t="n"/>
      <c r="P6" s="214" t="n"/>
    </row>
    <row r="7" ht="18" customHeight="1" s="79">
      <c r="B7" s="331" t="n"/>
      <c r="C7" s="331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214" t="n"/>
    </row>
    <row r="8" ht="18" customHeight="1" s="79">
      <c r="B8" s="331" t="inlineStr">
        <is>
          <t xml:space="preserve">NO.KODE LOKASI : </t>
        </is>
      </c>
      <c r="C8" s="331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</row>
    <row r="9" ht="18" customHeight="1" s="79">
      <c r="B9" s="500" t="inlineStr">
        <is>
          <t>No.</t>
        </is>
      </c>
      <c r="C9" s="500" t="inlineStr">
        <is>
          <t>Nama Barang</t>
        </is>
      </c>
      <c r="D9" s="589" t="n"/>
      <c r="E9" s="500" t="inlineStr">
        <is>
          <t>Merk/</t>
        </is>
      </c>
      <c r="F9" s="500" t="inlineStr">
        <is>
          <t>No. Seri</t>
        </is>
      </c>
      <c r="G9" s="585" t="inlineStr">
        <is>
          <t>Ukuran</t>
        </is>
      </c>
      <c r="H9" s="585" t="inlineStr">
        <is>
          <t>Bahan</t>
        </is>
      </c>
      <c r="I9" s="500" t="inlineStr">
        <is>
          <t xml:space="preserve">Tahun </t>
        </is>
      </c>
      <c r="J9" s="500" t="n"/>
      <c r="K9" s="500" t="inlineStr">
        <is>
          <t xml:space="preserve">Jumlah </t>
        </is>
      </c>
      <c r="L9" s="500" t="inlineStr">
        <is>
          <t xml:space="preserve">Harga </t>
        </is>
      </c>
      <c r="M9" s="494" t="inlineStr">
        <is>
          <t xml:space="preserve">Keadaan Barang </t>
        </is>
      </c>
      <c r="N9" s="591" t="n"/>
      <c r="O9" s="592" t="n"/>
      <c r="P9" s="500" t="inlineStr">
        <is>
          <t>Keterangan</t>
        </is>
      </c>
    </row>
    <row r="10" ht="18" customHeight="1" s="79">
      <c r="B10" s="491" t="inlineStr">
        <is>
          <t>Urut</t>
        </is>
      </c>
      <c r="C10" s="491" t="inlineStr">
        <is>
          <t>Jenis Barang</t>
        </is>
      </c>
      <c r="D10" s="593" t="n"/>
      <c r="E10" s="491" t="inlineStr">
        <is>
          <t>Model</t>
        </is>
      </c>
      <c r="F10" s="491" t="inlineStr">
        <is>
          <t>Pabrik</t>
        </is>
      </c>
      <c r="G10" s="594" t="n"/>
      <c r="H10" s="594" t="n"/>
      <c r="I10" s="504" t="inlineStr">
        <is>
          <t>Pembuatan</t>
        </is>
      </c>
      <c r="J10" s="504" t="inlineStr">
        <is>
          <t xml:space="preserve">No/. Kode Barang </t>
        </is>
      </c>
      <c r="K10" s="504" t="inlineStr">
        <is>
          <t>Barang</t>
        </is>
      </c>
      <c r="L10" s="504" t="inlineStr">
        <is>
          <t>Beli/</t>
        </is>
      </c>
      <c r="M10" s="504" t="inlineStr">
        <is>
          <t>Baik</t>
        </is>
      </c>
      <c r="N10" s="504" t="inlineStr">
        <is>
          <t>Kurang Baik</t>
        </is>
      </c>
      <c r="O10" s="504" t="inlineStr">
        <is>
          <t>Rusak Berat</t>
        </is>
      </c>
      <c r="P10" s="482" t="inlineStr">
        <is>
          <t>Mutasi dll</t>
        </is>
      </c>
    </row>
    <row r="11" ht="18" customHeight="1" s="79">
      <c r="B11" s="595" t="n"/>
      <c r="C11" s="596" t="n"/>
      <c r="D11" s="597" t="n"/>
      <c r="E11" s="595" t="n"/>
      <c r="F11" s="595" t="n"/>
      <c r="G11" s="595" t="n"/>
      <c r="H11" s="595" t="n"/>
      <c r="I11" s="501" t="inlineStr">
        <is>
          <t>Atau Pembelian</t>
        </is>
      </c>
      <c r="J11" s="501" t="n"/>
      <c r="K11" s="501" t="inlineStr">
        <is>
          <t>Register x)</t>
        </is>
      </c>
      <c r="L11" s="501" t="inlineStr">
        <is>
          <t>Perolehan</t>
        </is>
      </c>
      <c r="M11" s="501" t="inlineStr">
        <is>
          <t>(B)</t>
        </is>
      </c>
      <c r="N11" s="501" t="inlineStr">
        <is>
          <t>(KB)</t>
        </is>
      </c>
      <c r="O11" s="501" t="inlineStr">
        <is>
          <t>(RB)</t>
        </is>
      </c>
      <c r="P11" s="595" t="n"/>
    </row>
    <row r="12" ht="18" customHeight="1" s="79">
      <c r="A12" s="602" t="n"/>
      <c r="B12" s="625" t="n">
        <v>1</v>
      </c>
      <c r="C12" s="625" t="n">
        <v>2</v>
      </c>
      <c r="D12" s="592" t="n"/>
      <c r="E12" s="626" t="n">
        <v>3</v>
      </c>
      <c r="F12" s="626" t="n">
        <v>4</v>
      </c>
      <c r="G12" s="627" t="n">
        <v>5</v>
      </c>
      <c r="H12" s="627" t="n">
        <v>6</v>
      </c>
      <c r="I12" s="628" t="n">
        <v>7</v>
      </c>
      <c r="J12" s="628" t="n">
        <v>8</v>
      </c>
      <c r="K12" s="628" t="n">
        <v>9</v>
      </c>
      <c r="L12" s="628" t="n">
        <v>10</v>
      </c>
      <c r="M12" s="628" t="n">
        <v>11</v>
      </c>
      <c r="N12" s="628" t="n">
        <v>12</v>
      </c>
      <c r="O12" s="628" t="n">
        <v>13</v>
      </c>
      <c r="P12" s="626" t="inlineStr">
        <is>
          <t>14 [Perlu Verifikasi: Tidak ada di BMD 2026]</t>
        </is>
      </c>
    </row>
    <row r="13" ht="18" customHeight="1" s="79">
      <c r="A13" s="602" t="n"/>
      <c r="B13" s="629" t="n">
        <v>1</v>
      </c>
      <c r="C13" s="630" t="inlineStr">
        <is>
          <t>Filling Besi / Metal</t>
        </is>
      </c>
      <c r="D13" s="592" t="n"/>
      <c r="E13" s="631" t="inlineStr">
        <is>
          <t>BROTHER / -</t>
        </is>
      </c>
      <c r="F13" s="632" t="n"/>
      <c r="G13" s="632" t="n"/>
      <c r="H13" s="633" t="inlineStr">
        <is>
          <t>Besi</t>
        </is>
      </c>
      <c r="I13" s="629" t="n">
        <v>2006</v>
      </c>
      <c r="J13" s="629" t="inlineStr">
        <is>
          <t>02.06.01.04.004</t>
        </is>
      </c>
      <c r="K13" s="634" t="inlineStr">
        <is>
          <t>0001</t>
        </is>
      </c>
      <c r="L13" s="635" t="n">
        <v>1220000</v>
      </c>
      <c r="M13" s="629" t="inlineStr">
        <is>
          <t>Baik</t>
        </is>
      </c>
      <c r="N13" s="632" t="n"/>
      <c r="O13" s="632" t="n"/>
      <c r="P13" s="631" t="inlineStr">
        <is>
          <t>[Perlu Verifikasi: Tidak ada di BMD 2026]</t>
        </is>
      </c>
    </row>
    <row r="14" ht="18" customHeight="1" s="79">
      <c r="A14" s="602" t="n"/>
      <c r="B14" s="629">
        <f>B13+1</f>
        <v/>
      </c>
      <c r="C14" s="630" t="inlineStr">
        <is>
          <t>Filling Besi / Metal</t>
        </is>
      </c>
      <c r="D14" s="592" t="n"/>
      <c r="E14" s="631" t="inlineStr">
        <is>
          <t>BROTHER / -</t>
        </is>
      </c>
      <c r="F14" s="632" t="n"/>
      <c r="G14" s="632" t="n"/>
      <c r="H14" s="633" t="inlineStr">
        <is>
          <t>Besi</t>
        </is>
      </c>
      <c r="I14" s="629" t="n">
        <v>2006</v>
      </c>
      <c r="J14" s="629" t="inlineStr">
        <is>
          <t>02.06.01.04.004</t>
        </is>
      </c>
      <c r="K14" s="634" t="inlineStr">
        <is>
          <t>0006</t>
        </is>
      </c>
      <c r="L14" s="635" t="n">
        <v>1220000</v>
      </c>
      <c r="M14" s="629" t="inlineStr">
        <is>
          <t>Baik</t>
        </is>
      </c>
      <c r="N14" s="632" t="n"/>
      <c r="O14" s="632" t="n"/>
      <c r="P14" s="631" t="inlineStr">
        <is>
          <t>[Perlu Verifikasi: Tidak ada di BMD 2026]</t>
        </is>
      </c>
    </row>
    <row r="15" ht="36" customHeight="1" s="79">
      <c r="A15" s="602" t="n"/>
      <c r="B15" s="629">
        <f>B14+1</f>
        <v/>
      </c>
      <c r="C15" s="630" t="inlineStr">
        <is>
          <t>Kursi Besi/Metal</t>
        </is>
      </c>
      <c r="D15" s="592" t="n"/>
      <c r="E15" s="636" t="inlineStr">
        <is>
          <t>- / Warna Cream</t>
        </is>
      </c>
      <c r="F15" s="632" t="n"/>
      <c r="G15" s="632" t="n"/>
      <c r="H15" s="629" t="inlineStr">
        <is>
          <t>Besi</t>
        </is>
      </c>
      <c r="I15" s="629" t="n">
        <v>1997</v>
      </c>
      <c r="J15" s="629" t="inlineStr">
        <is>
          <t>02.06.02.01.005</t>
        </is>
      </c>
      <c r="K15" s="634" t="inlineStr">
        <is>
          <t>0002</t>
        </is>
      </c>
      <c r="L15" s="637" t="inlineStr">
        <is>
          <t>148648.50</t>
        </is>
      </c>
      <c r="M15" s="629" t="inlineStr">
        <is>
          <t>Baik</t>
        </is>
      </c>
      <c r="N15" s="638" t="n"/>
      <c r="O15" s="632" t="n"/>
      <c r="P15" s="631" t="inlineStr">
        <is>
          <t>Tidak ada padanKIB [Perlu Verifikasi: Tidak ada di BMD 2026]</t>
        </is>
      </c>
    </row>
    <row r="16" ht="36" customHeight="1" s="79">
      <c r="B16" s="398">
        <f>B15+1</f>
        <v/>
      </c>
      <c r="C16" s="615" t="inlineStr">
        <is>
          <t>Kursi Rapat</t>
        </is>
      </c>
      <c r="D16" s="592" t="n"/>
      <c r="E16" s="401" t="inlineStr">
        <is>
          <t>Merk: Chitose Tipe: 48651</t>
        </is>
      </c>
      <c r="F16" s="399" t="n"/>
      <c r="G16" s="399" t="n"/>
      <c r="H16" s="433" t="inlineStr">
        <is>
          <t>Besi</t>
        </is>
      </c>
      <c r="I16" s="398" t="n">
        <v>2009</v>
      </c>
      <c r="J16" s="398" t="inlineStr">
        <is>
          <t>02.06.02.01.027</t>
        </is>
      </c>
      <c r="K16" s="400" t="inlineStr">
        <is>
          <t>0001</t>
        </is>
      </c>
      <c r="L16" s="434" t="n">
        <v>350000</v>
      </c>
      <c r="M16" s="398" t="inlineStr">
        <is>
          <t>Baik</t>
        </is>
      </c>
      <c r="N16" s="399" t="n"/>
      <c r="O16" s="399" t="n"/>
      <c r="P16" s="268" t="n"/>
    </row>
    <row r="17" ht="36" customHeight="1" s="79">
      <c r="B17" s="398">
        <f>B16+1</f>
        <v/>
      </c>
      <c r="C17" s="615" t="inlineStr">
        <is>
          <t>Kursi Rapat</t>
        </is>
      </c>
      <c r="D17" s="592" t="n"/>
      <c r="E17" s="401" t="inlineStr">
        <is>
          <t>Merk: Indachi Tipe: 48655</t>
        </is>
      </c>
      <c r="F17" s="399" t="n"/>
      <c r="G17" s="399" t="n"/>
      <c r="H17" s="433" t="inlineStr">
        <is>
          <t>Besi dan Plastik</t>
        </is>
      </c>
      <c r="I17" s="398" t="n">
        <v>2014</v>
      </c>
      <c r="J17" s="398" t="inlineStr">
        <is>
          <t>02.06.02.01.027</t>
        </is>
      </c>
      <c r="K17" s="400" t="inlineStr">
        <is>
          <t>0013</t>
        </is>
      </c>
      <c r="L17" s="434" t="n">
        <v>743915</v>
      </c>
      <c r="M17" s="398" t="inlineStr">
        <is>
          <t>Baik</t>
        </is>
      </c>
      <c r="N17" s="399" t="n"/>
      <c r="O17" s="399" t="n"/>
      <c r="P17" s="268" t="n"/>
    </row>
    <row r="18" ht="36" customHeight="1" s="79">
      <c r="B18" s="398">
        <f>B17+1</f>
        <v/>
      </c>
      <c r="C18" s="615" t="inlineStr">
        <is>
          <t>Kursi Rapat</t>
        </is>
      </c>
      <c r="D18" s="592" t="n"/>
      <c r="E18" s="401" t="inlineStr">
        <is>
          <t>Merk: Indachi Tipe: 48656</t>
        </is>
      </c>
      <c r="F18" s="399" t="n"/>
      <c r="G18" s="399" t="n"/>
      <c r="H18" s="433" t="inlineStr">
        <is>
          <t>Besi dan Plastik</t>
        </is>
      </c>
      <c r="I18" s="398" t="n">
        <v>2014</v>
      </c>
      <c r="J18" s="398" t="inlineStr">
        <is>
          <t>02.06.02.01.027</t>
        </is>
      </c>
      <c r="K18" s="400" t="inlineStr">
        <is>
          <t>0014</t>
        </is>
      </c>
      <c r="L18" s="434" t="n">
        <v>743917</v>
      </c>
      <c r="M18" s="398" t="inlineStr">
        <is>
          <t>Baik</t>
        </is>
      </c>
      <c r="N18" s="399" t="n"/>
      <c r="O18" s="399" t="n"/>
      <c r="P18" s="268" t="n"/>
    </row>
    <row r="19" ht="54" customHeight="1" s="79">
      <c r="B19" s="398">
        <f>B18+1</f>
        <v/>
      </c>
      <c r="C19" s="615" t="inlineStr">
        <is>
          <t>Kursi Putar</t>
        </is>
      </c>
      <c r="D19" s="592" t="n"/>
      <c r="E19" s="401" t="inlineStr">
        <is>
          <t>Merk: USHUTO Tipe: 48661</t>
        </is>
      </c>
      <c r="F19" s="399" t="n"/>
      <c r="G19" s="399" t="n"/>
      <c r="H19" s="433" t="inlineStr">
        <is>
          <t>Besi Plastik</t>
        </is>
      </c>
      <c r="I19" s="398" t="n">
        <v>2013</v>
      </c>
      <c r="J19" s="398" t="inlineStr">
        <is>
          <t>02.06.02.01.030</t>
        </is>
      </c>
      <c r="K19" s="400" t="inlineStr">
        <is>
          <t>0028</t>
        </is>
      </c>
      <c r="L19" s="434" t="n">
        <v>486971.68</v>
      </c>
      <c r="M19" s="398" t="inlineStr">
        <is>
          <t>Baik</t>
        </is>
      </c>
      <c r="N19" s="399" t="n"/>
      <c r="O19" s="399" t="n"/>
      <c r="P19" s="268" t="n"/>
    </row>
    <row r="20" ht="36" customHeight="1" s="79">
      <c r="B20" s="398">
        <f>B19+1</f>
        <v/>
      </c>
      <c r="C20" s="615" t="inlineStr">
        <is>
          <t>Kursi Putar</t>
        </is>
      </c>
      <c r="D20" s="592" t="n"/>
      <c r="E20" s="401" t="inlineStr">
        <is>
          <t>Merk: Indachi Tipe: 48667</t>
        </is>
      </c>
      <c r="F20" s="399" t="n"/>
      <c r="G20" s="399" t="n"/>
      <c r="H20" s="433" t="inlineStr">
        <is>
          <t>Besi Plastik</t>
        </is>
      </c>
      <c r="I20" s="398" t="n">
        <v>2014</v>
      </c>
      <c r="J20" s="398" t="inlineStr">
        <is>
          <t>02.06.02.01.030</t>
        </is>
      </c>
      <c r="K20" s="400" t="inlineStr">
        <is>
          <t>0030</t>
        </is>
      </c>
      <c r="L20" s="434" t="n">
        <v>794180</v>
      </c>
      <c r="M20" s="398" t="inlineStr">
        <is>
          <t>Baik</t>
        </is>
      </c>
      <c r="N20" s="399" t="n"/>
      <c r="O20" s="399" t="n"/>
      <c r="P20" s="268" t="n"/>
    </row>
    <row r="21" ht="36" customHeight="1" s="79">
      <c r="B21" s="398">
        <f>B20+1</f>
        <v/>
      </c>
      <c r="C21" s="615" t="inlineStr">
        <is>
          <t>Kursi Putar</t>
        </is>
      </c>
      <c r="D21" s="592" t="n"/>
      <c r="E21" s="401" t="inlineStr">
        <is>
          <t>Merk: Indachi Tipe: 48668</t>
        </is>
      </c>
      <c r="F21" s="399" t="n"/>
      <c r="G21" s="399" t="n"/>
      <c r="H21" s="433" t="inlineStr">
        <is>
          <t>Besi Plastik</t>
        </is>
      </c>
      <c r="I21" s="398" t="n">
        <v>2014</v>
      </c>
      <c r="J21" s="398" t="inlineStr">
        <is>
          <t>02.06.02.01.030</t>
        </is>
      </c>
      <c r="K21" s="400" t="inlineStr">
        <is>
          <t>0042</t>
        </is>
      </c>
      <c r="L21" s="434" t="n">
        <v>794180</v>
      </c>
      <c r="M21" s="398" t="inlineStr">
        <is>
          <t>Baik</t>
        </is>
      </c>
      <c r="N21" s="399" t="n"/>
      <c r="O21" s="399" t="n"/>
      <c r="P21" s="401" t="n"/>
    </row>
    <row r="22" ht="36" customHeight="1" s="79">
      <c r="B22" s="398">
        <f>B21+1</f>
        <v/>
      </c>
      <c r="C22" s="615" t="inlineStr">
        <is>
          <t>Kursi Putar</t>
        </is>
      </c>
      <c r="D22" s="592" t="n"/>
      <c r="E22" s="401" t="inlineStr">
        <is>
          <t>Merk: Indachi Tipe: 48669</t>
        </is>
      </c>
      <c r="F22" s="399" t="n"/>
      <c r="G22" s="399" t="n"/>
      <c r="H22" s="433" t="inlineStr">
        <is>
          <t>Besi Plastik</t>
        </is>
      </c>
      <c r="I22" s="398" t="n">
        <v>2014</v>
      </c>
      <c r="J22" s="398" t="n"/>
      <c r="K22" s="400" t="inlineStr">
        <is>
          <t>0046</t>
        </is>
      </c>
      <c r="L22" s="434" t="n">
        <v>794180</v>
      </c>
      <c r="M22" s="398" t="inlineStr">
        <is>
          <t>Baik</t>
        </is>
      </c>
      <c r="N22" s="399" t="n"/>
      <c r="O22" s="399" t="n"/>
      <c r="P22" s="268" t="n"/>
    </row>
    <row r="23" ht="18" customHeight="1" s="79">
      <c r="B23" s="398">
        <f>B22+1</f>
        <v/>
      </c>
      <c r="C23" s="615" t="inlineStr">
        <is>
          <t>Kursi Lipat</t>
        </is>
      </c>
      <c r="D23" s="592" t="n"/>
      <c r="E23" s="338" t="inlineStr">
        <is>
          <t>Merk: MATRIX Tipe: 48755</t>
        </is>
      </c>
      <c r="F23" s="399" t="n"/>
      <c r="G23" s="399" t="n"/>
      <c r="H23" s="398" t="n"/>
      <c r="I23" s="398" t="n">
        <v>2018</v>
      </c>
      <c r="J23" s="398" t="inlineStr">
        <is>
          <t>02.06.02.01.034</t>
        </is>
      </c>
      <c r="K23" s="400" t="inlineStr">
        <is>
          <t>0004</t>
        </is>
      </c>
      <c r="L23" s="434" t="n">
        <v>333232</v>
      </c>
      <c r="M23" s="398" t="inlineStr">
        <is>
          <t>Baik</t>
        </is>
      </c>
      <c r="N23" s="399" t="n"/>
      <c r="O23" s="399" t="n"/>
      <c r="P23" s="268" t="n"/>
    </row>
    <row r="24" ht="18" customHeight="1" s="79">
      <c r="B24" s="398">
        <f>B23+1</f>
        <v/>
      </c>
      <c r="C24" s="615" t="inlineStr">
        <is>
          <t>Kursi Lipat</t>
        </is>
      </c>
      <c r="D24" s="592" t="n"/>
      <c r="E24" s="338" t="inlineStr">
        <is>
          <t>Merk: MATRIX Tipe: 48756</t>
        </is>
      </c>
      <c r="F24" s="399" t="n"/>
      <c r="G24" s="399" t="n"/>
      <c r="H24" s="398" t="n"/>
      <c r="I24" s="398" t="n">
        <v>2018</v>
      </c>
      <c r="J24" s="398" t="inlineStr">
        <is>
          <t>02.06.02.01.034</t>
        </is>
      </c>
      <c r="K24" s="400" t="inlineStr">
        <is>
          <t>0006</t>
        </is>
      </c>
      <c r="L24" s="434" t="n">
        <v>333232</v>
      </c>
      <c r="M24" s="398" t="inlineStr">
        <is>
          <t>Baik</t>
        </is>
      </c>
      <c r="N24" s="399" t="n"/>
      <c r="O24" s="399" t="n"/>
      <c r="P24" s="268" t="n"/>
    </row>
    <row r="25" ht="18" customHeight="1" s="79">
      <c r="B25" s="398">
        <f>B24+1</f>
        <v/>
      </c>
      <c r="C25" s="615" t="inlineStr">
        <is>
          <t>Kursi Lipat</t>
        </is>
      </c>
      <c r="D25" s="592" t="n"/>
      <c r="E25" s="338" t="inlineStr">
        <is>
          <t>Merk: MATRIX Tipe: 48757</t>
        </is>
      </c>
      <c r="F25" s="399" t="n"/>
      <c r="G25" s="399" t="n"/>
      <c r="H25" s="398" t="n"/>
      <c r="I25" s="398" t="n">
        <v>2018</v>
      </c>
      <c r="J25" s="398" t="inlineStr">
        <is>
          <t>02.06.02.01.034</t>
        </is>
      </c>
      <c r="K25" s="400" t="inlineStr">
        <is>
          <t>0009</t>
        </is>
      </c>
      <c r="L25" s="434" t="n">
        <v>333232</v>
      </c>
      <c r="M25" s="398" t="inlineStr">
        <is>
          <t>Baik</t>
        </is>
      </c>
      <c r="N25" s="399" t="n"/>
      <c r="O25" s="399" t="n"/>
      <c r="P25" s="268" t="n"/>
    </row>
    <row r="26" ht="84.95" customHeight="1" s="79">
      <c r="B26" s="398">
        <f>B25+1</f>
        <v/>
      </c>
      <c r="C26" s="616" t="inlineStr">
        <is>
          <t>PC Unit</t>
        </is>
      </c>
      <c r="D26" s="592" t="n"/>
      <c r="E26" s="271" t="inlineStr">
        <is>
          <t>Merk: Intel - Casing ATX - LG Tipe: 48688</t>
        </is>
      </c>
      <c r="F26" s="347" t="n"/>
      <c r="G26" s="347" t="n"/>
      <c r="H26" s="340" t="inlineStr">
        <is>
          <t>Besi Plastik</t>
        </is>
      </c>
      <c r="I26" s="340" t="inlineStr">
        <is>
          <t>2012                     6 inci</t>
        </is>
      </c>
      <c r="J26" s="273" t="inlineStr">
        <is>
          <t>02.06.03.02.001</t>
        </is>
      </c>
      <c r="K26" s="274" t="inlineStr">
        <is>
          <t>0010</t>
        </is>
      </c>
      <c r="L26" s="341" t="n">
        <v>3980000</v>
      </c>
      <c r="M26" s="273" t="inlineStr">
        <is>
          <t>Baik</t>
        </is>
      </c>
      <c r="N26" s="347" t="n"/>
      <c r="O26" s="348" t="n"/>
      <c r="P26" s="272" t="n"/>
    </row>
    <row r="27" ht="110.1" customHeight="1" s="79">
      <c r="B27" s="398">
        <f>B26+1</f>
        <v/>
      </c>
      <c r="C27" s="615" t="inlineStr">
        <is>
          <t>PC Unit</t>
        </is>
      </c>
      <c r="D27" s="592" t="n"/>
      <c r="E27" s="401" t="inlineStr">
        <is>
          <t>Merk: Intel - Casing DE Case- LG Tipe: 48689</t>
        </is>
      </c>
      <c r="F27" s="268" t="n"/>
      <c r="G27" s="268" t="n"/>
      <c r="H27" s="433" t="inlineStr">
        <is>
          <t>Besi Plastik</t>
        </is>
      </c>
      <c r="I27" s="398" t="n">
        <v>2013</v>
      </c>
      <c r="J27" s="398" t="inlineStr">
        <is>
          <t>02.06.03.02.001</t>
        </is>
      </c>
      <c r="K27" s="400" t="inlineStr">
        <is>
          <t>0012</t>
        </is>
      </c>
      <c r="L27" s="434" t="n">
        <v>3922641.51</v>
      </c>
      <c r="M27" s="398" t="inlineStr">
        <is>
          <t>Baik</t>
        </is>
      </c>
      <c r="N27" s="268" t="n"/>
      <c r="O27" s="268" t="n"/>
      <c r="P27" s="268" t="n"/>
    </row>
    <row r="28" ht="18" customHeight="1" s="79">
      <c r="B28" s="214" t="n"/>
      <c r="C28" s="214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4" t="n"/>
      <c r="P28" s="214" t="n"/>
    </row>
    <row r="29" ht="18" customHeight="1" s="79">
      <c r="B29" s="214" t="n"/>
      <c r="C29" s="214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  <c r="P29" s="214" t="n"/>
    </row>
    <row r="30" ht="18" customHeight="1" s="79">
      <c r="B30" s="214" t="n"/>
      <c r="C30" s="214" t="n"/>
      <c r="D30" s="214" t="n"/>
      <c r="E30" s="214" t="n"/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</row>
    <row r="31" ht="18" customHeight="1" s="79">
      <c r="B31" s="214" t="n"/>
      <c r="C31" s="214" t="n"/>
      <c r="D31" s="214" t="n"/>
      <c r="E31" s="214" t="n"/>
      <c r="F31" s="214" t="n"/>
      <c r="G31" s="214" t="n"/>
      <c r="H31" s="214" t="n"/>
      <c r="I31" s="214" t="n"/>
      <c r="J31" s="214" t="n"/>
      <c r="K31" s="214" t="n"/>
      <c r="L31" s="214" t="n"/>
      <c r="M31" s="214" t="n"/>
      <c r="N31" s="214" t="n"/>
      <c r="O31" s="214" t="n"/>
      <c r="P31" s="214" t="n"/>
    </row>
    <row r="32" ht="18" customHeight="1" s="79">
      <c r="B32" s="214" t="n"/>
      <c r="C32" s="214" t="n"/>
      <c r="D32" s="214" t="n"/>
      <c r="E32" s="214" t="n"/>
      <c r="F32" s="214" t="n"/>
      <c r="G32" s="214" t="n"/>
      <c r="H32" s="214" t="n"/>
      <c r="I32" s="214" t="n"/>
      <c r="J32" s="214" t="n"/>
      <c r="K32" s="214" t="n"/>
      <c r="L32" s="214" t="n"/>
      <c r="M32" s="214" t="n"/>
      <c r="N32" s="214" t="n"/>
      <c r="O32" s="214" t="n"/>
      <c r="P32" s="214" t="n"/>
    </row>
    <row r="33" ht="18" customHeight="1" s="79">
      <c r="B33" s="214" t="n"/>
      <c r="C33" s="214" t="n"/>
      <c r="D33" s="214" t="n"/>
      <c r="E33" s="214" t="n"/>
      <c r="F33" s="214" t="n"/>
      <c r="G33" s="214" t="n"/>
      <c r="H33" s="214" t="n"/>
      <c r="I33" s="214" t="n"/>
      <c r="J33" s="214" t="n"/>
      <c r="K33" s="214" t="n"/>
      <c r="L33" s="214" t="n"/>
      <c r="M33" s="214" t="n"/>
      <c r="N33" s="214" t="n"/>
      <c r="O33" s="214" t="n"/>
      <c r="P33" s="214" t="n"/>
    </row>
    <row r="34" ht="18" customHeight="1" s="79">
      <c r="B34" s="214" t="n"/>
      <c r="C34" s="214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14" t="n"/>
      <c r="M34" s="214" t="n"/>
      <c r="N34" s="214" t="n"/>
      <c r="O34" s="214" t="n"/>
      <c r="P34" s="214" t="n"/>
    </row>
    <row r="35" ht="18" customHeight="1" s="79">
      <c r="B35" s="214" t="n"/>
      <c r="C35" s="214" t="n"/>
      <c r="D35" s="214" t="n"/>
      <c r="E35" s="214" t="n"/>
      <c r="F35" s="214" t="n"/>
      <c r="G35" s="214" t="n"/>
      <c r="H35" s="214" t="n"/>
      <c r="I35" s="214" t="n"/>
      <c r="J35" s="214" t="n"/>
      <c r="K35" s="214" t="n"/>
      <c r="L35" s="214" t="n"/>
      <c r="M35" s="214" t="n"/>
      <c r="N35" s="214" t="n"/>
      <c r="O35" s="214" t="n"/>
      <c r="P35" s="214" t="n"/>
    </row>
    <row r="36" ht="18" customHeight="1" s="79">
      <c r="A36" s="602" t="n"/>
      <c r="B36" s="639" t="inlineStr">
        <is>
          <t>No.</t>
        </is>
      </c>
      <c r="C36" s="639" t="inlineStr">
        <is>
          <t>Nama Barang</t>
        </is>
      </c>
      <c r="D36" s="589" t="n"/>
      <c r="E36" s="639" t="inlineStr">
        <is>
          <t>Merk/</t>
        </is>
      </c>
      <c r="F36" s="639" t="inlineStr">
        <is>
          <t>No. Seri</t>
        </is>
      </c>
      <c r="G36" s="640" t="inlineStr">
        <is>
          <t>Ukuran</t>
        </is>
      </c>
      <c r="H36" s="640" t="inlineStr">
        <is>
          <t>Bahan</t>
        </is>
      </c>
      <c r="I36" s="639" t="inlineStr">
        <is>
          <t xml:space="preserve">Tahun </t>
        </is>
      </c>
      <c r="J36" s="639" t="n"/>
      <c r="K36" s="639" t="inlineStr">
        <is>
          <t xml:space="preserve">Jumlah </t>
        </is>
      </c>
      <c r="L36" s="639" t="inlineStr">
        <is>
          <t xml:space="preserve">Harga </t>
        </is>
      </c>
      <c r="M36" s="641" t="inlineStr">
        <is>
          <t xml:space="preserve">Keadaan Barang </t>
        </is>
      </c>
      <c r="N36" s="591" t="n"/>
      <c r="O36" s="592" t="n"/>
      <c r="P36" s="639" t="inlineStr">
        <is>
          <t>Keterangan [Perlu Verifikasi: Tidak ada di BMD 2026]</t>
        </is>
      </c>
    </row>
    <row r="37" ht="18" customHeight="1" s="79">
      <c r="A37" s="602" t="n"/>
      <c r="B37" s="642" t="inlineStr">
        <is>
          <t>Urut</t>
        </is>
      </c>
      <c r="C37" s="642" t="inlineStr">
        <is>
          <t>Jenis Barang</t>
        </is>
      </c>
      <c r="D37" s="593" t="n"/>
      <c r="E37" s="642" t="inlineStr">
        <is>
          <t>Model</t>
        </is>
      </c>
      <c r="F37" s="642" t="inlineStr">
        <is>
          <t>Pabrik</t>
        </is>
      </c>
      <c r="G37" s="594" t="n"/>
      <c r="H37" s="594" t="n"/>
      <c r="I37" s="628" t="inlineStr">
        <is>
          <t>Pembuatan</t>
        </is>
      </c>
      <c r="J37" s="628" t="inlineStr">
        <is>
          <t xml:space="preserve">No/. Kode Barang </t>
        </is>
      </c>
      <c r="K37" s="628" t="inlineStr">
        <is>
          <t>Barang</t>
        </is>
      </c>
      <c r="L37" s="628" t="inlineStr">
        <is>
          <t>Beli/</t>
        </is>
      </c>
      <c r="M37" s="628" t="inlineStr">
        <is>
          <t>Baik</t>
        </is>
      </c>
      <c r="N37" s="628" t="inlineStr">
        <is>
          <t>Kurang Baik</t>
        </is>
      </c>
      <c r="O37" s="628" t="inlineStr">
        <is>
          <t>Rusak Berat</t>
        </is>
      </c>
      <c r="P37" s="643" t="inlineStr">
        <is>
          <t>Mutasi dll [Perlu Verifikasi: Tidak ada di BMD 2026]</t>
        </is>
      </c>
    </row>
    <row r="38" ht="18" customHeight="1" s="79">
      <c r="B38" s="595" t="n"/>
      <c r="C38" s="596" t="n"/>
      <c r="D38" s="597" t="n"/>
      <c r="E38" s="595" t="n"/>
      <c r="F38" s="595" t="n"/>
      <c r="G38" s="595" t="n"/>
      <c r="H38" s="595" t="n"/>
      <c r="I38" s="501" t="inlineStr">
        <is>
          <t>Atau Pembelian</t>
        </is>
      </c>
      <c r="J38" s="501" t="n"/>
      <c r="K38" s="501" t="inlineStr">
        <is>
          <t>Register x)</t>
        </is>
      </c>
      <c r="L38" s="501" t="inlineStr">
        <is>
          <t>Perolehan</t>
        </is>
      </c>
      <c r="M38" s="501" t="inlineStr">
        <is>
          <t>(B)</t>
        </is>
      </c>
      <c r="N38" s="501" t="inlineStr">
        <is>
          <t>(KB)</t>
        </is>
      </c>
      <c r="O38" s="501" t="inlineStr">
        <is>
          <t>(RB)</t>
        </is>
      </c>
      <c r="P38" s="595" t="n"/>
    </row>
    <row r="39" ht="18" customHeight="1" s="79">
      <c r="A39" s="602" t="n"/>
      <c r="B39" s="625" t="n">
        <v>1</v>
      </c>
      <c r="C39" s="625" t="n">
        <v>2</v>
      </c>
      <c r="D39" s="592" t="n"/>
      <c r="E39" s="626" t="n">
        <v>3</v>
      </c>
      <c r="F39" s="626" t="n">
        <v>4</v>
      </c>
      <c r="G39" s="627" t="n">
        <v>5</v>
      </c>
      <c r="H39" s="627" t="n">
        <v>6</v>
      </c>
      <c r="I39" s="628" t="n">
        <v>7</v>
      </c>
      <c r="J39" s="628" t="n">
        <v>8</v>
      </c>
      <c r="K39" s="628" t="n">
        <v>9</v>
      </c>
      <c r="L39" s="628" t="n">
        <v>10</v>
      </c>
      <c r="M39" s="628" t="n">
        <v>11</v>
      </c>
      <c r="N39" s="628" t="n">
        <v>12</v>
      </c>
      <c r="O39" s="628" t="n">
        <v>13</v>
      </c>
      <c r="P39" s="626" t="inlineStr">
        <is>
          <t>14 [Perlu Verifikasi: Tidak ada di BMD 2026]</t>
        </is>
      </c>
    </row>
    <row r="40" ht="36" customHeight="1" s="79">
      <c r="B40" s="398">
        <f>B27+1</f>
        <v/>
      </c>
      <c r="C40" s="616" t="inlineStr">
        <is>
          <t>PC Unit</t>
        </is>
      </c>
      <c r="D40" s="592" t="n"/>
      <c r="E40" s="271" t="inlineStr">
        <is>
          <t>Merk: Lenovo Tipe: 48691</t>
        </is>
      </c>
      <c r="F40" s="347" t="n"/>
      <c r="G40" s="347" t="n"/>
      <c r="H40" s="340" t="inlineStr">
        <is>
          <t>Besi Plastik</t>
        </is>
      </c>
      <c r="I40" s="340" t="n">
        <v>2015</v>
      </c>
      <c r="J40" s="273" t="inlineStr">
        <is>
          <t>02.06.03.02.001</t>
        </is>
      </c>
      <c r="K40" s="274" t="inlineStr">
        <is>
          <t>0014</t>
        </is>
      </c>
      <c r="L40" s="341" t="n">
        <v>6026316</v>
      </c>
      <c r="M40" s="273" t="inlineStr">
        <is>
          <t>Baik</t>
        </is>
      </c>
      <c r="N40" s="347" t="n"/>
      <c r="O40" s="347" t="n"/>
      <c r="P40" s="272" t="n"/>
    </row>
    <row r="41" ht="36" customHeight="1" s="79">
      <c r="B41" s="398">
        <f>B40+1</f>
        <v/>
      </c>
      <c r="C41" s="616" t="inlineStr">
        <is>
          <t>Printer</t>
        </is>
      </c>
      <c r="D41" s="592" t="n"/>
      <c r="E41" s="346" t="inlineStr">
        <is>
          <t>Merk: EPSON Tipe: 48715</t>
        </is>
      </c>
      <c r="F41" s="347" t="n"/>
      <c r="G41" s="347" t="n"/>
      <c r="H41" s="273" t="inlineStr">
        <is>
          <t>Besi Plastik</t>
        </is>
      </c>
      <c r="I41" s="273" t="n">
        <v>2016</v>
      </c>
      <c r="J41" s="273" t="inlineStr">
        <is>
          <t>02.06.03.05.003</t>
        </is>
      </c>
      <c r="K41" s="274" t="inlineStr">
        <is>
          <t>0020</t>
        </is>
      </c>
      <c r="L41" s="341" t="n">
        <v>3142612</v>
      </c>
      <c r="M41" s="273" t="inlineStr">
        <is>
          <t>Baik</t>
        </is>
      </c>
      <c r="N41" s="347" t="n"/>
      <c r="O41" s="347" t="n"/>
      <c r="P41" s="272" t="n"/>
    </row>
    <row r="42" ht="36" customHeight="1" s="79">
      <c r="B42" s="398">
        <f>B41+1</f>
        <v/>
      </c>
      <c r="C42" s="616" t="inlineStr">
        <is>
          <t>Printer</t>
        </is>
      </c>
      <c r="D42" s="592" t="n"/>
      <c r="E42" s="346" t="inlineStr">
        <is>
          <t>Merk: EPSON Tipe: 48716</t>
        </is>
      </c>
      <c r="F42" s="347" t="n"/>
      <c r="G42" s="347" t="n"/>
      <c r="H42" s="273" t="inlineStr">
        <is>
          <t>Besi Plastik</t>
        </is>
      </c>
      <c r="I42" s="273" t="n">
        <v>2016</v>
      </c>
      <c r="J42" s="273" t="inlineStr">
        <is>
          <t>02.06.03.05.003</t>
        </is>
      </c>
      <c r="K42" s="274" t="inlineStr">
        <is>
          <t>0022</t>
        </is>
      </c>
      <c r="L42" s="341" t="n">
        <v>3142612</v>
      </c>
      <c r="M42" s="273" t="inlineStr">
        <is>
          <t>Baik</t>
        </is>
      </c>
      <c r="N42" s="347" t="n"/>
      <c r="O42" s="347" t="n"/>
      <c r="P42" s="272" t="n"/>
    </row>
    <row r="43" ht="18" customHeight="1" s="79">
      <c r="B43" s="398">
        <f>B42+1</f>
        <v/>
      </c>
      <c r="C43" s="616" t="inlineStr">
        <is>
          <t>Printer</t>
        </is>
      </c>
      <c r="D43" s="592" t="n"/>
      <c r="E43" s="346" t="inlineStr">
        <is>
          <t>Merk: EPSON Tipe: 48741</t>
        </is>
      </c>
      <c r="F43" s="347" t="n"/>
      <c r="G43" s="347" t="n"/>
      <c r="H43" s="273" t="inlineStr">
        <is>
          <t>Besi Plastik</t>
        </is>
      </c>
      <c r="I43" s="273" t="n">
        <v>2017</v>
      </c>
      <c r="J43" s="273" t="inlineStr">
        <is>
          <t>02.06.03.05.003</t>
        </is>
      </c>
      <c r="K43" s="274" t="inlineStr">
        <is>
          <t>0027</t>
        </is>
      </c>
      <c r="L43" s="341" t="n">
        <v>2173757</v>
      </c>
      <c r="M43" s="273" t="inlineStr">
        <is>
          <t>Baik</t>
        </is>
      </c>
      <c r="N43" s="347" t="n"/>
      <c r="O43" s="347" t="n"/>
      <c r="P43" s="272" t="n"/>
    </row>
    <row r="44" ht="36" customHeight="1" s="79">
      <c r="B44" s="398">
        <f>B43+1</f>
        <v/>
      </c>
      <c r="C44" s="616" t="inlineStr">
        <is>
          <t>Printer</t>
        </is>
      </c>
      <c r="D44" s="592" t="n"/>
      <c r="E44" s="346" t="inlineStr">
        <is>
          <t>Merk: Epson Tipe: 48784</t>
        </is>
      </c>
      <c r="F44" s="347" t="n"/>
      <c r="G44" s="347" t="n"/>
      <c r="H44" s="273" t="inlineStr">
        <is>
          <t>Campuran</t>
        </is>
      </c>
      <c r="I44" s="273" t="n">
        <v>2020</v>
      </c>
      <c r="J44" s="273" t="inlineStr">
        <is>
          <t>02.06.03.05.003</t>
        </is>
      </c>
      <c r="K44" s="274" t="inlineStr">
        <is>
          <t>0034</t>
        </is>
      </c>
      <c r="L44" s="341">
        <f>5516570/2</f>
        <v/>
      </c>
      <c r="M44" s="273" t="inlineStr">
        <is>
          <t>Baik</t>
        </is>
      </c>
      <c r="N44" s="347" t="n"/>
      <c r="O44" s="347" t="n"/>
      <c r="P44" s="401" t="inlineStr">
        <is>
          <t>Tidak ada padanKIB</t>
        </is>
      </c>
    </row>
    <row r="45" ht="36" customHeight="1" s="79">
      <c r="A45" s="602" t="n"/>
      <c r="B45" s="629">
        <f>B44+1</f>
        <v/>
      </c>
      <c r="C45" s="630" t="inlineStr">
        <is>
          <t>Meja Kerja Pejabat Eselon IV</t>
        </is>
      </c>
      <c r="D45" s="592" t="n"/>
      <c r="E45" s="631" t="inlineStr">
        <is>
          <t>Blue Shark/ Meja Kerja</t>
        </is>
      </c>
      <c r="F45" s="632" t="n"/>
      <c r="G45" s="632" t="n"/>
      <c r="H45" s="633" t="inlineStr">
        <is>
          <t>Kayu Pertikel</t>
        </is>
      </c>
      <c r="I45" s="629" t="n">
        <v>2008</v>
      </c>
      <c r="J45" s="629" t="inlineStr">
        <is>
          <t>02.06.04.01.006</t>
        </is>
      </c>
      <c r="K45" s="634" t="inlineStr">
        <is>
          <t>0002</t>
        </is>
      </c>
      <c r="L45" s="635" t="n">
        <v>372666.67</v>
      </c>
      <c r="M45" s="629" t="inlineStr">
        <is>
          <t>Baik</t>
        </is>
      </c>
      <c r="N45" s="632" t="n"/>
      <c r="O45" s="644" t="n"/>
      <c r="P45" s="631" t="inlineStr">
        <is>
          <t>Tidak ada padanKIB [Perlu Verifikasi: Tidak ada di BMD 2026]</t>
        </is>
      </c>
    </row>
    <row r="46" ht="54" customHeight="1" s="79">
      <c r="A46" s="602" t="n"/>
      <c r="B46" s="629">
        <f>B45+1</f>
        <v/>
      </c>
      <c r="C46" s="630" t="inlineStr">
        <is>
          <t>Meja Kerja Pejabat Eselon IV</t>
        </is>
      </c>
      <c r="D46" s="592" t="n"/>
      <c r="E46" s="631" t="inlineStr">
        <is>
          <t>SAGA OD 022/ Meja Kerja Staf</t>
        </is>
      </c>
      <c r="F46" s="632" t="n"/>
      <c r="G46" s="632" t="n"/>
      <c r="H46" s="633" t="inlineStr">
        <is>
          <t>Kayu Pertikel</t>
        </is>
      </c>
      <c r="I46" s="629" t="n">
        <v>2011</v>
      </c>
      <c r="J46" s="629" t="inlineStr">
        <is>
          <t>02.06.04.01.006</t>
        </is>
      </c>
      <c r="K46" s="634" t="inlineStr">
        <is>
          <t>0022</t>
        </is>
      </c>
      <c r="L46" s="635" t="n">
        <v>485000</v>
      </c>
      <c r="M46" s="629" t="inlineStr">
        <is>
          <t>Baik</t>
        </is>
      </c>
      <c r="N46" s="632" t="n"/>
      <c r="O46" s="644" t="n"/>
      <c r="P46" s="631" t="inlineStr">
        <is>
          <t>Tidak ada padanKIB [Perlu Verifikasi: Tidak ada di BMD 2026]</t>
        </is>
      </c>
    </row>
    <row r="47" ht="54" customHeight="1" s="79">
      <c r="A47" s="602" t="n"/>
      <c r="B47" s="629">
        <f>B46+1</f>
        <v/>
      </c>
      <c r="C47" s="630" t="inlineStr">
        <is>
          <t>Meja Kerja Pejabat Eselon IV</t>
        </is>
      </c>
      <c r="D47" s="592" t="n"/>
      <c r="E47" s="631" t="inlineStr">
        <is>
          <t>Solid MTS-2805/ Meja Kerja Staf</t>
        </is>
      </c>
      <c r="F47" s="632" t="n"/>
      <c r="G47" s="632" t="n"/>
      <c r="H47" s="633" t="inlineStr">
        <is>
          <t>Kayu Pertikel</t>
        </is>
      </c>
      <c r="I47" s="629" t="n">
        <v>2010</v>
      </c>
      <c r="J47" s="629" t="inlineStr">
        <is>
          <t>02.06.04.01.006</t>
        </is>
      </c>
      <c r="K47" s="634" t="inlineStr">
        <is>
          <t>0025</t>
        </is>
      </c>
      <c r="L47" s="635" t="n">
        <v>485000</v>
      </c>
      <c r="M47" s="629" t="inlineStr">
        <is>
          <t>Baik</t>
        </is>
      </c>
      <c r="N47" s="632" t="n"/>
      <c r="O47" s="644" t="n"/>
      <c r="P47" s="631" t="inlineStr">
        <is>
          <t>Tidak ada padanKIB [Perlu Verifikasi: Tidak ada di BMD 2026]</t>
        </is>
      </c>
    </row>
    <row r="48" ht="36" customHeight="1" s="79">
      <c r="B48" s="398">
        <f>B47+1</f>
        <v/>
      </c>
      <c r="C48" s="616" t="inlineStr">
        <is>
          <t>Meja Kerja Pejabat Eselon IV</t>
        </is>
      </c>
      <c r="D48" s="592" t="n"/>
      <c r="E48" s="271" t="inlineStr">
        <is>
          <t>Merk: General Tipe: 0</t>
        </is>
      </c>
      <c r="F48" s="347" t="n"/>
      <c r="G48" s="347" t="n"/>
      <c r="H48" s="340" t="inlineStr">
        <is>
          <t>Kayu Pertikel</t>
        </is>
      </c>
      <c r="I48" s="273" t="n">
        <v>2010</v>
      </c>
      <c r="J48" s="273" t="inlineStr">
        <is>
          <t>02.06.04.01.006</t>
        </is>
      </c>
      <c r="K48" s="274" t="inlineStr">
        <is>
          <t>0031</t>
        </is>
      </c>
      <c r="L48" s="341" t="n">
        <v>275000</v>
      </c>
      <c r="M48" s="273" t="inlineStr">
        <is>
          <t>Baik</t>
        </is>
      </c>
      <c r="N48" s="347" t="n"/>
      <c r="O48" s="348" t="n"/>
      <c r="P48" s="401" t="inlineStr">
        <is>
          <t>Tidak ada padanKIB</t>
        </is>
      </c>
    </row>
    <row r="49" ht="54" customHeight="1" s="79">
      <c r="B49" s="398">
        <f>B48+1</f>
        <v/>
      </c>
      <c r="C49" s="616" t="inlineStr">
        <is>
          <t>Meja Kerja Pejabat Eselon IV</t>
        </is>
      </c>
      <c r="D49" s="592" t="n"/>
      <c r="E49" s="271" t="inlineStr">
        <is>
          <t>Merk: Zetta MT 201 Tipe: 48720</t>
        </is>
      </c>
      <c r="F49" s="347" t="n"/>
      <c r="G49" s="347" t="n"/>
      <c r="H49" s="340" t="inlineStr">
        <is>
          <t>Kayu Pertikel</t>
        </is>
      </c>
      <c r="I49" s="273" t="n">
        <v>2016</v>
      </c>
      <c r="J49" s="273" t="inlineStr">
        <is>
          <t>02.06.04.01.006</t>
        </is>
      </c>
      <c r="K49" s="274" t="inlineStr">
        <is>
          <t>0032</t>
        </is>
      </c>
      <c r="L49" s="341" t="n">
        <v>2282609</v>
      </c>
      <c r="M49" s="273" t="inlineStr">
        <is>
          <t>Baik</t>
        </is>
      </c>
      <c r="N49" s="347" t="n"/>
      <c r="O49" s="348" t="n"/>
      <c r="P49" s="401" t="inlineStr">
        <is>
          <t>Tidak ada padanKIB</t>
        </is>
      </c>
    </row>
    <row r="50" ht="54" customHeight="1" s="79">
      <c r="B50" s="398">
        <f>B49+1</f>
        <v/>
      </c>
      <c r="C50" s="616" t="inlineStr">
        <is>
          <t>Meja Kerja Pejabat Eselon IV</t>
        </is>
      </c>
      <c r="D50" s="592" t="n"/>
      <c r="E50" s="271" t="inlineStr">
        <is>
          <t>Merk: Zetta MT 201 Tipe: 48722</t>
        </is>
      </c>
      <c r="F50" s="347" t="n"/>
      <c r="G50" s="347" t="n"/>
      <c r="H50" s="340" t="inlineStr">
        <is>
          <t>Kayu Pertikel</t>
        </is>
      </c>
      <c r="I50" s="273" t="n">
        <v>2016</v>
      </c>
      <c r="J50" s="273" t="inlineStr">
        <is>
          <t>02.06.04.01.006</t>
        </is>
      </c>
      <c r="K50" s="274" t="inlineStr">
        <is>
          <t>0033</t>
        </is>
      </c>
      <c r="L50" s="341" t="n">
        <v>2282609</v>
      </c>
      <c r="M50" s="273" t="inlineStr">
        <is>
          <t>Baik</t>
        </is>
      </c>
      <c r="N50" s="347" t="n"/>
      <c r="O50" s="348" t="n"/>
      <c r="P50" s="401" t="inlineStr">
        <is>
          <t>Tidak ada padanKIB</t>
        </is>
      </c>
    </row>
    <row r="51" ht="54" customHeight="1" s="79">
      <c r="B51" s="398">
        <f>B50+1</f>
        <v/>
      </c>
      <c r="C51" s="616" t="inlineStr">
        <is>
          <t>Meja Kerja Pejabat Eselon IV</t>
        </is>
      </c>
      <c r="D51" s="592" t="n"/>
      <c r="E51" s="271" t="inlineStr">
        <is>
          <t>Merk: Zetta MT 201 Tipe: 48734</t>
        </is>
      </c>
      <c r="F51" s="347" t="n"/>
      <c r="G51" s="347" t="n"/>
      <c r="H51" s="340" t="inlineStr">
        <is>
          <t>Kayu Pertikel</t>
        </is>
      </c>
      <c r="I51" s="273" t="n">
        <v>2017</v>
      </c>
      <c r="J51" s="273" t="inlineStr">
        <is>
          <t>02.06.04.01.006</t>
        </is>
      </c>
      <c r="K51" s="274" t="inlineStr">
        <is>
          <t>0034</t>
        </is>
      </c>
      <c r="L51" s="341" t="n">
        <v>2284351</v>
      </c>
      <c r="M51" s="273" t="inlineStr">
        <is>
          <t>Baik</t>
        </is>
      </c>
      <c r="N51" s="347" t="n"/>
      <c r="O51" s="348" t="n"/>
      <c r="P51" s="401" t="inlineStr">
        <is>
          <t>Tidak ada padanKIB</t>
        </is>
      </c>
    </row>
    <row r="52" ht="54" customHeight="1" s="79">
      <c r="B52" s="398">
        <f>B51+1</f>
        <v/>
      </c>
      <c r="C52" s="616" t="inlineStr">
        <is>
          <t>Meja Kerja Pejabat Eselon IV</t>
        </is>
      </c>
      <c r="D52" s="592" t="n"/>
      <c r="E52" s="271" t="inlineStr">
        <is>
          <t>Merk: SAGA MTB 120 Tipe: 48737</t>
        </is>
      </c>
      <c r="F52" s="347" t="n"/>
      <c r="G52" s="347" t="n"/>
      <c r="H52" s="340" t="n"/>
      <c r="I52" s="273" t="n">
        <v>2017</v>
      </c>
      <c r="J52" s="273" t="inlineStr">
        <is>
          <t>02.06.04.01.006</t>
        </is>
      </c>
      <c r="K52" s="274" t="inlineStr">
        <is>
          <t>0035</t>
        </is>
      </c>
      <c r="L52" s="341" t="n">
        <v>1116794</v>
      </c>
      <c r="M52" s="273" t="inlineStr">
        <is>
          <t>Baik</t>
        </is>
      </c>
      <c r="N52" s="347" t="n"/>
      <c r="O52" s="348" t="n"/>
      <c r="P52" s="401" t="n"/>
    </row>
    <row r="53" ht="54" customHeight="1" s="79">
      <c r="B53" s="398">
        <f>B52+1</f>
        <v/>
      </c>
      <c r="C53" s="616" t="inlineStr">
        <is>
          <t>Meja Kerja Pejabat Eselon IV</t>
        </is>
      </c>
      <c r="D53" s="592" t="n"/>
      <c r="E53" s="271" t="inlineStr">
        <is>
          <t>Merk: SAGA MTB 120 Tipe: 48738</t>
        </is>
      </c>
      <c r="F53" s="347" t="n"/>
      <c r="G53" s="347" t="n"/>
      <c r="H53" s="340" t="n"/>
      <c r="I53" s="273" t="n">
        <v>2017</v>
      </c>
      <c r="J53" s="273" t="inlineStr">
        <is>
          <t>02.06.04.01.006</t>
        </is>
      </c>
      <c r="K53" s="274" t="inlineStr">
        <is>
          <t>0036</t>
        </is>
      </c>
      <c r="L53" s="341" t="n">
        <v>1116794</v>
      </c>
      <c r="M53" s="273" t="inlineStr">
        <is>
          <t>Baik</t>
        </is>
      </c>
      <c r="N53" s="347" t="n"/>
      <c r="O53" s="348" t="n"/>
      <c r="P53" s="272" t="n"/>
    </row>
    <row r="54" ht="36" customHeight="1" s="79">
      <c r="B54" s="398">
        <f>B53+1</f>
        <v/>
      </c>
      <c r="C54" s="616" t="inlineStr">
        <is>
          <t>Meja Kerja Pejabat Eselon IV</t>
        </is>
      </c>
      <c r="D54" s="592" t="n"/>
      <c r="E54" s="271" t="inlineStr">
        <is>
          <t>Merk: ZETTA Tipe: 48752</t>
        </is>
      </c>
      <c r="F54" s="347" t="n"/>
      <c r="G54" s="347" t="n"/>
      <c r="H54" s="340" t="n"/>
      <c r="I54" s="273" t="n">
        <v>2018</v>
      </c>
      <c r="J54" s="273" t="inlineStr">
        <is>
          <t>02.06.04.01.006</t>
        </is>
      </c>
      <c r="K54" s="274" t="inlineStr">
        <is>
          <t>0037</t>
        </is>
      </c>
      <c r="L54" s="341" t="n">
        <v>2019589</v>
      </c>
      <c r="M54" s="273" t="inlineStr">
        <is>
          <t>Baik</t>
        </is>
      </c>
      <c r="N54" s="347" t="n"/>
      <c r="O54" s="348" t="n"/>
      <c r="P54" s="272" t="n"/>
    </row>
    <row r="55" ht="36" customHeight="1" s="79">
      <c r="B55" s="398">
        <f>B54+1</f>
        <v/>
      </c>
      <c r="C55" s="616" t="inlineStr">
        <is>
          <t>Meja Kerja Pejabat Eselon IV</t>
        </is>
      </c>
      <c r="D55" s="592" t="n"/>
      <c r="E55" s="271" t="inlineStr">
        <is>
          <t>Merk: ZETTA Tipe: 48753</t>
        </is>
      </c>
      <c r="F55" s="347" t="n"/>
      <c r="G55" s="347" t="n"/>
      <c r="H55" s="340" t="n"/>
      <c r="I55" s="273" t="n">
        <v>2018</v>
      </c>
      <c r="J55" s="273" t="inlineStr">
        <is>
          <t>02.06.04.01.006</t>
        </is>
      </c>
      <c r="K55" s="274" t="inlineStr">
        <is>
          <t>0038</t>
        </is>
      </c>
      <c r="L55" s="355" t="n">
        <v>2019589</v>
      </c>
      <c r="M55" s="273" t="inlineStr">
        <is>
          <t>Baik</t>
        </is>
      </c>
      <c r="N55" s="347" t="n"/>
      <c r="O55" s="348" t="n"/>
      <c r="P55" s="272" t="n"/>
    </row>
    <row r="56" ht="18" customHeight="1" s="79"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</row>
    <row r="57" ht="18" customHeight="1" s="79"/>
    <row r="58" ht="18" customHeight="1" s="79">
      <c r="B58" s="284" t="n"/>
      <c r="C58" s="356" t="n"/>
      <c r="D58" s="356" t="n"/>
      <c r="E58" s="357" t="n"/>
      <c r="F58" s="358" t="n"/>
      <c r="G58" s="358" t="n"/>
      <c r="H58" s="359" t="n"/>
      <c r="I58" s="359" t="n"/>
      <c r="J58" s="359" t="n"/>
      <c r="K58" s="360" t="n"/>
      <c r="L58" s="361" t="n"/>
      <c r="M58" s="359" t="n"/>
      <c r="N58" s="358" t="n"/>
      <c r="O58" s="358" t="n"/>
      <c r="P58" s="358" t="n"/>
    </row>
    <row r="59" ht="18" customHeight="1" s="79">
      <c r="B59" s="284" t="n"/>
      <c r="C59" s="356" t="n"/>
      <c r="D59" s="356" t="n"/>
      <c r="E59" s="357" t="n"/>
      <c r="F59" s="358" t="n"/>
      <c r="G59" s="358" t="n"/>
      <c r="H59" s="359" t="n"/>
      <c r="I59" s="359" t="n"/>
      <c r="J59" s="359" t="n"/>
      <c r="K59" s="360" t="n"/>
      <c r="L59" s="361" t="n"/>
      <c r="M59" s="359" t="n"/>
      <c r="N59" s="358" t="n"/>
      <c r="O59" s="358" t="n"/>
      <c r="P59" s="358" t="n"/>
    </row>
    <row r="60" ht="18" customHeight="1" s="79">
      <c r="B60" s="284" t="n"/>
      <c r="C60" s="356" t="n"/>
      <c r="D60" s="356" t="n"/>
      <c r="E60" s="357" t="n"/>
      <c r="F60" s="358" t="n"/>
      <c r="G60" s="358" t="n"/>
      <c r="H60" s="359" t="n"/>
      <c r="I60" s="359" t="n"/>
      <c r="J60" s="359" t="n"/>
      <c r="K60" s="360" t="n"/>
      <c r="L60" s="361" t="n"/>
      <c r="M60" s="359" t="n"/>
      <c r="N60" s="358" t="n"/>
      <c r="O60" s="358" t="n"/>
      <c r="P60" s="358" t="n"/>
    </row>
    <row r="61" ht="18" customHeight="1" s="79">
      <c r="B61" s="284" t="n"/>
      <c r="C61" s="356" t="n"/>
      <c r="D61" s="356" t="n"/>
      <c r="E61" s="357" t="n"/>
      <c r="F61" s="358" t="n"/>
      <c r="G61" s="358" t="n"/>
      <c r="H61" s="359" t="n"/>
      <c r="I61" s="359" t="n"/>
      <c r="J61" s="359" t="n"/>
      <c r="K61" s="360" t="n"/>
      <c r="L61" s="361" t="n"/>
      <c r="M61" s="359" t="n"/>
      <c r="N61" s="358" t="n"/>
      <c r="O61" s="358" t="n"/>
      <c r="P61" s="358" t="n"/>
    </row>
    <row r="62" ht="18" customHeight="1" s="79">
      <c r="B62" s="284" t="n"/>
      <c r="C62" s="356" t="n"/>
      <c r="D62" s="356" t="n"/>
      <c r="E62" s="357" t="n"/>
      <c r="F62" s="358" t="n"/>
      <c r="G62" s="358" t="n"/>
      <c r="H62" s="359" t="n"/>
      <c r="I62" s="359" t="n"/>
      <c r="J62" s="359" t="n"/>
      <c r="K62" s="360" t="n"/>
      <c r="L62" s="361" t="n"/>
      <c r="M62" s="359" t="n"/>
      <c r="N62" s="358" t="n"/>
      <c r="O62" s="358" t="n"/>
      <c r="P62" s="358" t="n"/>
    </row>
    <row r="63" ht="18" customHeight="1" s="79">
      <c r="B63" s="362" t="n"/>
      <c r="C63" s="363" t="n"/>
      <c r="D63" s="363" t="n"/>
      <c r="E63" s="364" t="n"/>
      <c r="F63" s="365" t="n"/>
      <c r="G63" s="365" t="n"/>
      <c r="H63" s="366" t="n"/>
      <c r="I63" s="366" t="n"/>
      <c r="J63" s="366" t="n"/>
      <c r="K63" s="367" t="n"/>
      <c r="L63" s="368" t="n"/>
      <c r="M63" s="366" t="n"/>
      <c r="N63" s="365" t="n"/>
      <c r="O63" s="365" t="n"/>
      <c r="P63" s="365" t="n"/>
    </row>
    <row r="64" ht="18" customHeight="1" s="79">
      <c r="A64" s="602" t="n"/>
      <c r="B64" s="639" t="inlineStr">
        <is>
          <t>No.</t>
        </is>
      </c>
      <c r="C64" s="639" t="inlineStr">
        <is>
          <t>Nama Barang</t>
        </is>
      </c>
      <c r="D64" s="589" t="n"/>
      <c r="E64" s="639" t="inlineStr">
        <is>
          <t>Merk/</t>
        </is>
      </c>
      <c r="F64" s="639" t="inlineStr">
        <is>
          <t>No. Seri</t>
        </is>
      </c>
      <c r="G64" s="640" t="inlineStr">
        <is>
          <t>Ukuran</t>
        </is>
      </c>
      <c r="H64" s="640" t="inlineStr">
        <is>
          <t>Bahan</t>
        </is>
      </c>
      <c r="I64" s="639" t="inlineStr">
        <is>
          <t xml:space="preserve">Tahun </t>
        </is>
      </c>
      <c r="J64" s="639" t="n"/>
      <c r="K64" s="639" t="inlineStr">
        <is>
          <t xml:space="preserve">Jumlah </t>
        </is>
      </c>
      <c r="L64" s="639" t="inlineStr">
        <is>
          <t xml:space="preserve">Harga </t>
        </is>
      </c>
      <c r="M64" s="641" t="inlineStr">
        <is>
          <t xml:space="preserve">Keadaan Barang </t>
        </is>
      </c>
      <c r="N64" s="591" t="n"/>
      <c r="O64" s="592" t="n"/>
      <c r="P64" s="639" t="inlineStr">
        <is>
          <t>Keterangan [Perlu Verifikasi: Tidak ada di BMD 2026]</t>
        </is>
      </c>
    </row>
    <row r="65" ht="18" customHeight="1" s="79">
      <c r="A65" s="602" t="n"/>
      <c r="B65" s="642" t="inlineStr">
        <is>
          <t>Urut</t>
        </is>
      </c>
      <c r="C65" s="642" t="inlineStr">
        <is>
          <t>Jenis Barang</t>
        </is>
      </c>
      <c r="D65" s="593" t="n"/>
      <c r="E65" s="642" t="inlineStr">
        <is>
          <t>Model</t>
        </is>
      </c>
      <c r="F65" s="642" t="inlineStr">
        <is>
          <t>Pabrik</t>
        </is>
      </c>
      <c r="G65" s="594" t="n"/>
      <c r="H65" s="594" t="n"/>
      <c r="I65" s="628" t="inlineStr">
        <is>
          <t>Pembuatan</t>
        </is>
      </c>
      <c r="J65" s="628" t="inlineStr">
        <is>
          <t xml:space="preserve">No. Kode Barang </t>
        </is>
      </c>
      <c r="K65" s="628" t="inlineStr">
        <is>
          <t>Barang</t>
        </is>
      </c>
      <c r="L65" s="628" t="inlineStr">
        <is>
          <t>Beli/</t>
        </is>
      </c>
      <c r="M65" s="628" t="inlineStr">
        <is>
          <t>Baik</t>
        </is>
      </c>
      <c r="N65" s="628" t="inlineStr">
        <is>
          <t>Kurang Baik</t>
        </is>
      </c>
      <c r="O65" s="628" t="inlineStr">
        <is>
          <t>Rusak Berat</t>
        </is>
      </c>
      <c r="P65" s="643" t="inlineStr">
        <is>
          <t>Mutasi dll [Perlu Verifikasi: Tidak ada di BMD 2026]</t>
        </is>
      </c>
    </row>
    <row r="66" ht="18" customHeight="1" s="79">
      <c r="B66" s="595" t="n"/>
      <c r="C66" s="596" t="n"/>
      <c r="D66" s="597" t="n"/>
      <c r="E66" s="595" t="n"/>
      <c r="F66" s="595" t="n"/>
      <c r="G66" s="595" t="n"/>
      <c r="H66" s="595" t="n"/>
      <c r="I66" s="501" t="inlineStr">
        <is>
          <t>Atau Pembelian</t>
        </is>
      </c>
      <c r="J66" s="501" t="n"/>
      <c r="K66" s="501" t="inlineStr">
        <is>
          <t>Register x)</t>
        </is>
      </c>
      <c r="L66" s="501" t="inlineStr">
        <is>
          <t>Perolehan</t>
        </is>
      </c>
      <c r="M66" s="501" t="inlineStr">
        <is>
          <t>(B)</t>
        </is>
      </c>
      <c r="N66" s="501" t="inlineStr">
        <is>
          <t>(KB)</t>
        </is>
      </c>
      <c r="O66" s="501" t="inlineStr">
        <is>
          <t>(RB)</t>
        </is>
      </c>
      <c r="P66" s="595" t="n"/>
    </row>
    <row r="67" ht="18" customHeight="1" s="79">
      <c r="A67" s="602" t="n"/>
      <c r="B67" s="625" t="n">
        <v>1</v>
      </c>
      <c r="C67" s="625" t="n">
        <v>2</v>
      </c>
      <c r="D67" s="592" t="n"/>
      <c r="E67" s="626" t="n">
        <v>3</v>
      </c>
      <c r="F67" s="626" t="n">
        <v>4</v>
      </c>
      <c r="G67" s="627" t="n">
        <v>5</v>
      </c>
      <c r="H67" s="627" t="n">
        <v>6</v>
      </c>
      <c r="I67" s="628" t="n">
        <v>7</v>
      </c>
      <c r="J67" s="628" t="n">
        <v>8</v>
      </c>
      <c r="K67" s="628" t="n">
        <v>9</v>
      </c>
      <c r="L67" s="628" t="n">
        <v>10</v>
      </c>
      <c r="M67" s="628" t="n">
        <v>11</v>
      </c>
      <c r="N67" s="628" t="n">
        <v>12</v>
      </c>
      <c r="O67" s="628" t="n">
        <v>13</v>
      </c>
      <c r="P67" s="626" t="inlineStr">
        <is>
          <t>14 [Perlu Verifikasi: Tidak ada di BMD 2026]</t>
        </is>
      </c>
    </row>
    <row r="68" ht="36" customHeight="1" s="79">
      <c r="B68" s="398">
        <f>B55+1</f>
        <v/>
      </c>
      <c r="C68" s="616" t="inlineStr">
        <is>
          <t>Meja Kerja Pejabat Eselon IV</t>
        </is>
      </c>
      <c r="D68" s="592" t="n"/>
      <c r="E68" s="271" t="inlineStr">
        <is>
          <t>Merk: ZETTA Tipe: 48754</t>
        </is>
      </c>
      <c r="F68" s="347" t="n"/>
      <c r="G68" s="347" t="n"/>
      <c r="H68" s="340" t="n"/>
      <c r="I68" s="273" t="n">
        <v>2018</v>
      </c>
      <c r="J68" s="273" t="inlineStr">
        <is>
          <t>02.06.04.01.006</t>
        </is>
      </c>
      <c r="K68" s="274" t="inlineStr">
        <is>
          <t>0039</t>
        </is>
      </c>
      <c r="L68" s="355" t="n">
        <v>2019589</v>
      </c>
      <c r="M68" s="273" t="inlineStr">
        <is>
          <t>Baik</t>
        </is>
      </c>
      <c r="N68" s="347" t="n"/>
      <c r="O68" s="348" t="n"/>
      <c r="P68" s="272" t="n"/>
    </row>
    <row r="69" ht="36" customHeight="1" s="79">
      <c r="B69" s="398">
        <f>B84+1</f>
        <v/>
      </c>
      <c r="C69" s="616" t="inlineStr">
        <is>
          <t>Kursi Kerja Pejabat Eselon III</t>
        </is>
      </c>
      <c r="D69" s="592" t="n"/>
      <c r="E69" s="346" t="inlineStr">
        <is>
          <t>Merk: RAKUDA Tipe: 48710</t>
        </is>
      </c>
      <c r="F69" s="347" t="n"/>
      <c r="G69" s="347" t="n"/>
      <c r="H69" s="273" t="inlineStr">
        <is>
          <t>Besi Plastik</t>
        </is>
      </c>
      <c r="I69" s="273" t="n">
        <v>2015</v>
      </c>
      <c r="J69" s="273" t="inlineStr">
        <is>
          <t>02.06.04.03.005</t>
        </is>
      </c>
      <c r="K69" s="274" t="inlineStr">
        <is>
          <t>0013</t>
        </is>
      </c>
      <c r="L69" s="341" t="n">
        <v>2400000</v>
      </c>
      <c r="M69" s="273" t="inlineStr">
        <is>
          <t>Baik</t>
        </is>
      </c>
      <c r="N69" s="347" t="n"/>
      <c r="O69" s="347" t="n"/>
      <c r="P69" s="272" t="n"/>
    </row>
    <row r="70" ht="36" customHeight="1" s="79">
      <c r="B70" s="398">
        <f>B69+1</f>
        <v/>
      </c>
      <c r="C70" s="616" t="inlineStr">
        <is>
          <t>Kursi Kerja Pejabat Eselon III</t>
        </is>
      </c>
      <c r="D70" s="592" t="n"/>
      <c r="E70" s="271" t="inlineStr">
        <is>
          <t>Merk: INDACHI Tipe: 48748</t>
        </is>
      </c>
      <c r="F70" s="272" t="n"/>
      <c r="G70" s="272" t="n"/>
      <c r="H70" s="273" t="inlineStr">
        <is>
          <t>Besi Plastik</t>
        </is>
      </c>
      <c r="I70" s="273" t="n">
        <v>2018</v>
      </c>
      <c r="J70" s="273" t="inlineStr">
        <is>
          <t>02.06.04.03.005</t>
        </is>
      </c>
      <c r="K70" s="274" t="inlineStr">
        <is>
          <t>0015</t>
        </is>
      </c>
      <c r="L70" s="341" t="n">
        <v>1969099</v>
      </c>
      <c r="M70" s="273" t="inlineStr">
        <is>
          <t>Baik</t>
        </is>
      </c>
      <c r="N70" s="272" t="n"/>
      <c r="O70" s="272" t="n"/>
      <c r="P70" s="271" t="n"/>
    </row>
    <row r="71" ht="36" customHeight="1" s="79">
      <c r="B71" s="398">
        <f>B70+1</f>
        <v/>
      </c>
      <c r="C71" s="615" t="inlineStr">
        <is>
          <t>Kursi Kerja Pejabat Eselon IV</t>
        </is>
      </c>
      <c r="D71" s="592" t="n"/>
      <c r="E71" s="338" t="inlineStr">
        <is>
          <t>Merk: TIGER T98 AH Tipe: 48711</t>
        </is>
      </c>
      <c r="F71" s="399" t="n"/>
      <c r="G71" s="399" t="n"/>
      <c r="H71" s="398" t="inlineStr">
        <is>
          <t>Besi Plastik</t>
        </is>
      </c>
      <c r="I71" s="398" t="n">
        <v>2011</v>
      </c>
      <c r="J71" s="398" t="inlineStr">
        <is>
          <t>02.06.04.03.006</t>
        </is>
      </c>
      <c r="K71" s="400" t="inlineStr">
        <is>
          <t>0005</t>
        </is>
      </c>
      <c r="L71" s="434" t="n">
        <v>585000</v>
      </c>
      <c r="M71" s="398" t="inlineStr">
        <is>
          <t>Baik</t>
        </is>
      </c>
      <c r="N71" s="399" t="n"/>
      <c r="O71" s="399" t="n"/>
      <c r="P71" s="268" t="n"/>
    </row>
    <row r="72" ht="18" customHeight="1" s="79">
      <c r="B72" s="284" t="n"/>
      <c r="C72" s="356" t="n"/>
      <c r="D72" s="356" t="n"/>
      <c r="E72" s="357" t="n"/>
      <c r="F72" s="358" t="n"/>
      <c r="G72" s="358" t="n"/>
      <c r="H72" s="359" t="n"/>
      <c r="I72" s="359" t="n"/>
      <c r="J72" s="359" t="n"/>
      <c r="K72" s="360" t="n"/>
      <c r="L72" s="369" t="n"/>
      <c r="M72" s="359" t="n"/>
      <c r="N72" s="358" t="n"/>
      <c r="O72" s="358" t="n"/>
      <c r="P72" s="358" t="n"/>
    </row>
    <row r="73" ht="18" customHeight="1" s="79">
      <c r="B73" s="214" t="n"/>
      <c r="C73" s="214" t="n"/>
      <c r="D73" s="522" t="inlineStr">
        <is>
          <t>Mengetahui :</t>
        </is>
      </c>
      <c r="E73" s="214" t="n"/>
      <c r="F73" s="214" t="n"/>
      <c r="G73" s="214" t="n"/>
      <c r="H73" s="214" t="n"/>
      <c r="I73" s="214" t="n"/>
      <c r="J73" s="214" t="n"/>
      <c r="K73" s="214" t="n"/>
      <c r="L73" s="214" t="n"/>
      <c r="M73" s="522" t="inlineStr">
        <is>
          <t>Banjarmasin,     Desember 2026</t>
        </is>
      </c>
      <c r="N73" s="214" t="n"/>
      <c r="O73" s="214" t="n"/>
      <c r="P73" s="214" t="n"/>
    </row>
    <row r="74" ht="18" customHeight="1" s="79">
      <c r="B74" s="214" t="n"/>
      <c r="C74" s="214" t="n"/>
      <c r="D74" s="522" t="n"/>
      <c r="E74" s="214" t="n"/>
      <c r="F74" s="214" t="n"/>
      <c r="G74" s="214" t="n"/>
      <c r="H74" s="214" t="n"/>
      <c r="I74" s="214" t="n"/>
      <c r="J74" s="214" t="n"/>
      <c r="K74" s="214" t="n"/>
      <c r="L74" s="214" t="n"/>
      <c r="M74" s="522" t="n"/>
      <c r="N74" s="214" t="n"/>
      <c r="O74" s="214" t="n"/>
      <c r="P74" s="214" t="n"/>
    </row>
    <row r="75" ht="18" customHeight="1" s="79">
      <c r="B75" s="214" t="n"/>
      <c r="C75" s="214" t="n"/>
      <c r="D75" s="5" t="inlineStr">
        <is>
          <t>Kepala Bakesbangpol Kota Banjarmasin,</t>
        </is>
      </c>
      <c r="E75" s="214" t="n"/>
      <c r="F75" s="214" t="n"/>
      <c r="G75" s="214" t="n"/>
      <c r="H75" s="214" t="n"/>
      <c r="I75" s="214" t="n"/>
      <c r="J75" s="214" t="n"/>
      <c r="K75" s="214" t="n"/>
      <c r="L75" s="214" t="n"/>
      <c r="M75" s="5" t="inlineStr">
        <is>
          <t>Pengurus Barang</t>
        </is>
      </c>
      <c r="N75" s="214" t="n"/>
      <c r="O75" s="214" t="n"/>
      <c r="P75" s="214" t="n"/>
    </row>
    <row r="76" ht="18" customHeight="1" s="79">
      <c r="B76" s="214" t="n"/>
      <c r="C76" s="214" t="n"/>
      <c r="D76" s="5" t="n"/>
      <c r="E76" s="214" t="n"/>
      <c r="F76" s="214" t="n"/>
      <c r="G76" s="214" t="n"/>
      <c r="H76" s="214" t="n"/>
      <c r="I76" s="214" t="n"/>
      <c r="J76" s="214" t="n"/>
      <c r="K76" s="214" t="n"/>
      <c r="L76" s="214" t="n"/>
      <c r="M76" s="5" t="n"/>
      <c r="N76" s="214" t="n"/>
      <c r="O76" s="214" t="n"/>
      <c r="P76" s="214" t="n"/>
    </row>
    <row r="77" ht="18" customHeight="1" s="79">
      <c r="B77" s="214" t="n"/>
      <c r="C77" s="214" t="n"/>
      <c r="D77" s="5" t="n"/>
      <c r="E77" s="214" t="n"/>
      <c r="F77" s="214" t="n"/>
      <c r="G77" s="214" t="n"/>
      <c r="H77" s="214" t="n"/>
      <c r="I77" s="214" t="n"/>
      <c r="J77" s="214" t="n"/>
      <c r="K77" s="214" t="n"/>
      <c r="L77" s="214" t="n"/>
      <c r="M77" s="5" t="n"/>
      <c r="N77" s="214" t="n"/>
      <c r="O77" s="214" t="n"/>
      <c r="P77" s="214" t="n"/>
    </row>
    <row r="78" ht="18" customHeight="1" s="79">
      <c r="B78" s="214" t="n"/>
      <c r="C78" s="214" t="n"/>
      <c r="D78" s="5" t="n"/>
      <c r="E78" s="214" t="n"/>
      <c r="F78" s="214" t="n"/>
      <c r="G78" s="214" t="n"/>
      <c r="H78" s="214" t="n"/>
      <c r="I78" s="214" t="n"/>
      <c r="J78" s="214" t="n"/>
      <c r="K78" s="214" t="n"/>
      <c r="L78" s="214" t="n"/>
      <c r="M78" s="5" t="n"/>
      <c r="N78" s="214" t="n"/>
      <c r="O78" s="214" t="n"/>
      <c r="P78" s="214" t="n"/>
    </row>
    <row r="79" ht="18" customHeight="1" s="79">
      <c r="B79" s="214" t="n"/>
      <c r="C79" s="214" t="n"/>
      <c r="D79" s="6" t="inlineStr">
        <is>
          <t>Dr. H. LUKMAN FADLUN, SH, MH</t>
        </is>
      </c>
      <c r="E79" s="214" t="n"/>
      <c r="F79" s="214" t="n"/>
      <c r="G79" s="214" t="n"/>
      <c r="H79" s="214" t="n"/>
      <c r="I79" s="214" t="n"/>
      <c r="J79" s="214" t="n"/>
      <c r="K79" s="214" t="n"/>
      <c r="L79" s="214" t="n"/>
      <c r="M79" s="6" t="inlineStr">
        <is>
          <t>TRISNAWATI M ULYO HAPSARI, SE</t>
        </is>
      </c>
      <c r="N79" s="214" t="n"/>
      <c r="O79" s="214" t="n"/>
      <c r="P79" s="214" t="n"/>
    </row>
    <row r="80" ht="18" customHeight="1" s="79">
      <c r="B80" s="214" t="n"/>
      <c r="C80" s="214" t="n"/>
      <c r="D80" s="5" t="inlineStr">
        <is>
          <t>Pembina Utama Muda</t>
        </is>
      </c>
      <c r="E80" s="214" t="n"/>
      <c r="F80" s="214" t="n"/>
      <c r="G80" s="214" t="n"/>
      <c r="H80" s="214" t="n"/>
      <c r="I80" s="214" t="n"/>
      <c r="J80" s="214" t="n"/>
      <c r="K80" s="214" t="n"/>
      <c r="L80" s="214" t="n"/>
      <c r="M80" s="23">
        <f>'RUANG KABID WASNAS'!L28</f>
        <v/>
      </c>
      <c r="N80" s="214" t="n"/>
      <c r="O80" s="214" t="n"/>
      <c r="P80" s="214" t="n"/>
    </row>
    <row r="81" ht="18" customHeight="1" s="79">
      <c r="B81" s="214" t="n"/>
      <c r="C81" s="214" t="n"/>
      <c r="D81" s="23" t="inlineStr">
        <is>
          <t>NIP. 19691013 200003 1 004</t>
        </is>
      </c>
      <c r="E81" s="214" t="n"/>
      <c r="F81" s="214" t="n"/>
      <c r="G81" s="214" t="n"/>
      <c r="H81" s="214" t="n"/>
      <c r="I81" s="214" t="n"/>
      <c r="J81" s="214" t="n"/>
      <c r="K81" s="214" t="n"/>
      <c r="L81" s="214" t="n"/>
      <c r="M81" s="214" t="n"/>
      <c r="N81" s="214" t="n"/>
      <c r="O81" s="214" t="n"/>
      <c r="P81" s="214" t="n"/>
    </row>
    <row r="82">
      <c r="L82" s="24" t="n"/>
    </row>
    <row r="83" ht="31.5" customHeight="1" s="79">
      <c r="A83" s="602" t="n"/>
      <c r="B83" s="645">
        <f>B46+1</f>
        <v/>
      </c>
      <c r="C83" s="646" t="inlineStr">
        <is>
          <t>Meja Kerja Pejabat Eselon IV</t>
        </is>
      </c>
      <c r="D83" s="592" t="n"/>
      <c r="E83" s="647" t="inlineStr">
        <is>
          <t>SAGA OD 022/ Meja Kerja Staf</t>
        </is>
      </c>
      <c r="F83" s="648" t="n"/>
      <c r="G83" s="648" t="n"/>
      <c r="H83" s="649" t="inlineStr">
        <is>
          <t>Kayu Pertikel</t>
        </is>
      </c>
      <c r="I83" s="650" t="n">
        <v>2011</v>
      </c>
      <c r="J83" s="650" t="inlineStr">
        <is>
          <t>02.06.04.01.006</t>
        </is>
      </c>
      <c r="K83" s="651" t="inlineStr">
        <is>
          <t>0023</t>
        </is>
      </c>
      <c r="L83" s="652" t="n">
        <v>485000</v>
      </c>
      <c r="M83" s="650" t="inlineStr">
        <is>
          <t>Baik</t>
        </is>
      </c>
      <c r="N83" s="648" t="n"/>
      <c r="O83" s="653" t="n"/>
      <c r="P83" s="654" t="inlineStr">
        <is>
          <t>[Perlu Verifikasi: Tidak ada di BMD 2026]</t>
        </is>
      </c>
    </row>
    <row r="84">
      <c r="B84" s="7">
        <f>B68+1</f>
        <v/>
      </c>
      <c r="C84" s="563" t="inlineStr">
        <is>
          <t>Kursi Kerja Pejabat Eselon III</t>
        </is>
      </c>
      <c r="D84" s="592" t="n"/>
      <c r="E84" s="91" t="inlineStr">
        <is>
          <t xml:space="preserve"> Tipe: 48707</t>
        </is>
      </c>
      <c r="F84" s="41" t="n"/>
      <c r="G84" s="41" t="n"/>
      <c r="H84" s="43" t="inlineStr">
        <is>
          <t>Besi Plastik</t>
        </is>
      </c>
      <c r="I84" s="43" t="n">
        <v>2006</v>
      </c>
      <c r="J84" s="43" t="inlineStr">
        <is>
          <t>02.06.04.03.005</t>
        </is>
      </c>
      <c r="K84" s="44" t="inlineStr">
        <is>
          <t>0005</t>
        </is>
      </c>
      <c r="L84" s="63" t="n">
        <v>1343750</v>
      </c>
      <c r="M84" s="43" t="inlineStr">
        <is>
          <t>Baik</t>
        </is>
      </c>
      <c r="N84" s="41" t="n"/>
      <c r="O84" s="41" t="n"/>
      <c r="P84" s="41" t="n"/>
    </row>
    <row r="85">
      <c r="C85" s="22" t="n"/>
    </row>
  </sheetData>
  <mergeCells count="71">
    <mergeCell ref="C83:D83"/>
    <mergeCell ref="P10:P11"/>
    <mergeCell ref="C24:D24"/>
    <mergeCell ref="C68:D68"/>
    <mergeCell ref="G64:G66"/>
    <mergeCell ref="F65:F66"/>
    <mergeCell ref="C15:D15"/>
    <mergeCell ref="B3:C3"/>
    <mergeCell ref="P65:P66"/>
    <mergeCell ref="C42:D42"/>
    <mergeCell ref="C45:D45"/>
    <mergeCell ref="C14:D14"/>
    <mergeCell ref="M64:O64"/>
    <mergeCell ref="E10:E11"/>
    <mergeCell ref="C26:D26"/>
    <mergeCell ref="C64:D64"/>
    <mergeCell ref="C20:D20"/>
    <mergeCell ref="G9:G11"/>
    <mergeCell ref="C47:D47"/>
    <mergeCell ref="C54:D54"/>
    <mergeCell ref="E65:E66"/>
    <mergeCell ref="C16:D16"/>
    <mergeCell ref="M36:O36"/>
    <mergeCell ref="C25:D25"/>
    <mergeCell ref="C41:D41"/>
    <mergeCell ref="C55:D55"/>
    <mergeCell ref="C50:D50"/>
    <mergeCell ref="C84:D84"/>
    <mergeCell ref="C44:D44"/>
    <mergeCell ref="C22:D22"/>
    <mergeCell ref="C40:D40"/>
    <mergeCell ref="C9:D9"/>
    <mergeCell ref="B10:B11"/>
    <mergeCell ref="B37:B38"/>
    <mergeCell ref="G36:G38"/>
    <mergeCell ref="C43:D43"/>
    <mergeCell ref="C12:D12"/>
    <mergeCell ref="C46:D46"/>
    <mergeCell ref="B65:B66"/>
    <mergeCell ref="C21:D21"/>
    <mergeCell ref="C37:D38"/>
    <mergeCell ref="C51:D51"/>
    <mergeCell ref="C27:D27"/>
    <mergeCell ref="C71:D71"/>
    <mergeCell ref="C36:D36"/>
    <mergeCell ref="F37:F38"/>
    <mergeCell ref="C52:D52"/>
    <mergeCell ref="C70:D70"/>
    <mergeCell ref="H64:H66"/>
    <mergeCell ref="C48:D48"/>
    <mergeCell ref="P37:P38"/>
    <mergeCell ref="C23:D23"/>
    <mergeCell ref="C39:D39"/>
    <mergeCell ref="C17:D17"/>
    <mergeCell ref="H9:H11"/>
    <mergeCell ref="B6:C6"/>
    <mergeCell ref="C67:D67"/>
    <mergeCell ref="C10:D11"/>
    <mergeCell ref="B5:C5"/>
    <mergeCell ref="M9:O9"/>
    <mergeCell ref="C19:D19"/>
    <mergeCell ref="H36:H38"/>
    <mergeCell ref="E37:E38"/>
    <mergeCell ref="C13:D13"/>
    <mergeCell ref="C18:D18"/>
    <mergeCell ref="C53:D53"/>
    <mergeCell ref="F10:F11"/>
    <mergeCell ref="B4:C4"/>
    <mergeCell ref="C69:D69"/>
    <mergeCell ref="C49:D49"/>
    <mergeCell ref="C65:D66"/>
  </mergeCells>
  <printOptions horizontalCentered="1"/>
  <pageMargins left="0.1181102362204725" right="0.3543307086614174" top="0.1968503937007874" bottom="0.1574803149606299" header="0" footer="0"/>
  <pageSetup orientation="landscape" paperSize="5" scale="65" horizontalDpi="4294967293" verticalDpi="180"/>
  <headerFooter alignWithMargins="0">
    <oddHeader/>
    <oddFooter>&amp;L&amp;9 &amp;F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6"/>
  <sheetViews>
    <sheetView view="pageBreakPreview" topLeftCell="A55" zoomScale="70" zoomScaleNormal="55" zoomScaleSheetLayoutView="70" workbookViewId="0">
      <selection activeCell="O83" sqref="O83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t="inlineStr">
        <is>
          <t>Badan Kesatuan Bangsa dan Politik Kota Banjarmasin</t>
        </is>
      </c>
      <c r="G5" s="1" t="n"/>
      <c r="H5" s="29" t="n"/>
    </row>
    <row r="6" ht="18.75" customHeight="1" s="79">
      <c r="A6" s="545" t="inlineStr">
        <is>
          <t>Ruangan</t>
        </is>
      </c>
      <c r="C6" s="88" t="inlineStr">
        <is>
          <t>DEPAN BIDANG</t>
        </is>
      </c>
      <c r="G6" s="1" t="n"/>
    </row>
    <row r="7">
      <c r="A7" s="108" t="n"/>
      <c r="B7" s="108" t="n"/>
    </row>
    <row r="8">
      <c r="A8" s="108" t="inlineStr">
        <is>
          <t xml:space="preserve">NO.KODE LOKASI : </t>
        </is>
      </c>
      <c r="B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</row>
    <row r="10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</row>
    <row r="12">
      <c r="A12" s="47" t="n">
        <v>1</v>
      </c>
      <c r="B12" s="47" t="n">
        <v>2</v>
      </c>
      <c r="C12" s="592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</row>
    <row r="13" ht="31.5" customHeight="1" s="79">
      <c r="A13" s="7" t="n">
        <v>1</v>
      </c>
      <c r="B13" s="563" t="inlineStr">
        <is>
          <t>Filling Besi / Metal</t>
        </is>
      </c>
      <c r="C13" s="592" t="n"/>
      <c r="D13" s="40" t="inlineStr">
        <is>
          <t>BROTHER / -</t>
        </is>
      </c>
      <c r="E13" s="41" t="n"/>
      <c r="F13" s="41" t="n"/>
      <c r="G13" s="42" t="inlineStr">
        <is>
          <t>Besi</t>
        </is>
      </c>
      <c r="H13" s="43" t="n">
        <v>2006</v>
      </c>
      <c r="I13" s="43" t="inlineStr">
        <is>
          <t>02.06.01.04.004</t>
        </is>
      </c>
      <c r="J13" s="44" t="inlineStr">
        <is>
          <t>0001</t>
        </is>
      </c>
      <c r="K13" s="63" t="n">
        <v>1220000</v>
      </c>
      <c r="L13" s="43" t="inlineStr">
        <is>
          <t>Baik</t>
        </is>
      </c>
      <c r="M13" s="41" t="n"/>
      <c r="N13" s="41" t="n"/>
      <c r="O13" s="40" t="inlineStr">
        <is>
          <t>Depan Bid Ideologi</t>
        </is>
      </c>
    </row>
    <row r="14" ht="47.25" customHeight="1" s="79">
      <c r="A14" s="7">
        <f>A13+1</f>
        <v/>
      </c>
      <c r="B14" s="563" t="inlineStr">
        <is>
          <t>Filling Besi / Metal</t>
        </is>
      </c>
      <c r="C14" s="592" t="n"/>
      <c r="D14" s="40" t="inlineStr">
        <is>
          <t>BROTHER / -</t>
        </is>
      </c>
      <c r="E14" s="41" t="n"/>
      <c r="F14" s="41" t="n"/>
      <c r="G14" s="42" t="inlineStr">
        <is>
          <t>Besi</t>
        </is>
      </c>
      <c r="H14" s="43" t="n">
        <v>2006</v>
      </c>
      <c r="I14" s="43" t="inlineStr">
        <is>
          <t>02.06.01.04.004</t>
        </is>
      </c>
      <c r="J14" s="44" t="inlineStr">
        <is>
          <t>0006</t>
        </is>
      </c>
      <c r="K14" s="63" t="n">
        <v>1220000</v>
      </c>
      <c r="L14" s="43" t="inlineStr">
        <is>
          <t>Baik</t>
        </is>
      </c>
      <c r="M14" s="41" t="n"/>
      <c r="N14" s="41" t="n"/>
      <c r="O14" s="40" t="inlineStr">
        <is>
          <t>Depan Bid Hansenibud</t>
        </is>
      </c>
    </row>
    <row r="15" ht="31.5" customHeight="1" s="79">
      <c r="A15" s="7">
        <f>A14+1</f>
        <v/>
      </c>
      <c r="B15" s="567" t="inlineStr">
        <is>
          <t>Kursi Besi/Metal</t>
        </is>
      </c>
      <c r="C15" s="592" t="n"/>
      <c r="D15" s="38" t="inlineStr">
        <is>
          <t>- / Warna Cream</t>
        </is>
      </c>
      <c r="E15" s="12" t="n"/>
      <c r="F15" s="12" t="n"/>
      <c r="G15" s="47" t="inlineStr">
        <is>
          <t>Besi</t>
        </is>
      </c>
      <c r="H15" s="9" t="n">
        <v>1997</v>
      </c>
      <c r="I15" s="9" t="inlineStr">
        <is>
          <t>02.06.02.01.005</t>
        </is>
      </c>
      <c r="J15" s="11" t="inlineStr">
        <is>
          <t>0002</t>
        </is>
      </c>
      <c r="K15" s="33" t="inlineStr">
        <is>
          <t>148648.50</t>
        </is>
      </c>
      <c r="L15" s="9" t="inlineStr">
        <is>
          <t>Baik</t>
        </is>
      </c>
      <c r="M15" s="32" t="n"/>
      <c r="N15" s="12" t="n"/>
      <c r="O15" s="32" t="inlineStr">
        <is>
          <t>Ibu Yani</t>
        </is>
      </c>
    </row>
    <row r="16" ht="31.5" customHeight="1" s="79">
      <c r="A16" s="7">
        <f>A15+1</f>
        <v/>
      </c>
      <c r="B16" s="567" t="inlineStr">
        <is>
          <t>Kursi Rapat</t>
        </is>
      </c>
      <c r="C16" s="592" t="n"/>
      <c r="D16" s="26" t="inlineStr">
        <is>
          <t>Chitose / Warna Biru</t>
        </is>
      </c>
      <c r="E16" s="12" t="n"/>
      <c r="F16" s="12" t="n"/>
      <c r="G16" s="30" t="inlineStr">
        <is>
          <t>Besi</t>
        </is>
      </c>
      <c r="H16" s="9" t="n">
        <v>2009</v>
      </c>
      <c r="I16" s="9" t="inlineStr">
        <is>
          <t>02.06.02.01.027</t>
        </is>
      </c>
      <c r="J16" s="11" t="inlineStr">
        <is>
          <t>0001</t>
        </is>
      </c>
      <c r="K16" s="20" t="n">
        <v>350000</v>
      </c>
      <c r="L16" s="9" t="inlineStr">
        <is>
          <t>Baik</t>
        </is>
      </c>
      <c r="M16" s="12" t="n"/>
      <c r="N16" s="4" t="n"/>
      <c r="O16" s="32" t="inlineStr">
        <is>
          <t>Riyan</t>
        </is>
      </c>
    </row>
    <row r="17" ht="31.5" customHeight="1" s="79">
      <c r="A17" s="7">
        <f>A16+1</f>
        <v/>
      </c>
      <c r="B17" s="567" t="inlineStr">
        <is>
          <t>Kursi Rapat</t>
        </is>
      </c>
      <c r="C17" s="592" t="n"/>
      <c r="D17" s="26" t="inlineStr">
        <is>
          <t>Indachi /       D 910</t>
        </is>
      </c>
      <c r="E17" s="12" t="n"/>
      <c r="F17" s="12" t="n"/>
      <c r="G17" s="30" t="inlineStr">
        <is>
          <t>Besi dan Plastik</t>
        </is>
      </c>
      <c r="H17" s="9" t="n">
        <v>2014</v>
      </c>
      <c r="I17" s="9" t="inlineStr">
        <is>
          <t>02.06.02.01.027</t>
        </is>
      </c>
      <c r="J17" s="11" t="inlineStr">
        <is>
          <t>0013</t>
        </is>
      </c>
      <c r="K17" s="20" t="n">
        <v>743915</v>
      </c>
      <c r="L17" s="9" t="inlineStr">
        <is>
          <t>Baik</t>
        </is>
      </c>
      <c r="M17" s="12" t="n"/>
      <c r="N17" s="4" t="n"/>
      <c r="O17" s="32" t="inlineStr">
        <is>
          <t>Arin</t>
        </is>
      </c>
    </row>
    <row r="18" ht="31.5" customHeight="1" s="79">
      <c r="A18" s="7">
        <f>A17+1</f>
        <v/>
      </c>
      <c r="B18" s="567" t="inlineStr">
        <is>
          <t>Kursi Rapat</t>
        </is>
      </c>
      <c r="C18" s="592" t="n"/>
      <c r="D18" s="26" t="inlineStr">
        <is>
          <t>Indachi /       D 910</t>
        </is>
      </c>
      <c r="E18" s="12" t="n"/>
      <c r="F18" s="12" t="n"/>
      <c r="G18" s="30" t="inlineStr">
        <is>
          <t>Besi dan Plastik</t>
        </is>
      </c>
      <c r="H18" s="9" t="n">
        <v>2014</v>
      </c>
      <c r="I18" s="9" t="inlineStr">
        <is>
          <t>02.06.02.01.027</t>
        </is>
      </c>
      <c r="J18" s="11" t="inlineStr">
        <is>
          <t>0014</t>
        </is>
      </c>
      <c r="K18" s="20" t="n">
        <v>743917</v>
      </c>
      <c r="L18" s="9" t="inlineStr">
        <is>
          <t>Baik</t>
        </is>
      </c>
      <c r="M18" s="12" t="n"/>
      <c r="N18" s="4" t="n"/>
      <c r="O18" s="32" t="inlineStr">
        <is>
          <t>Bu Jannah</t>
        </is>
      </c>
    </row>
    <row r="19" ht="47.25" customHeight="1" s="79">
      <c r="A19" s="7">
        <f>A18+1</f>
        <v/>
      </c>
      <c r="B19" s="567" t="inlineStr">
        <is>
          <t>Kursi Putar</t>
        </is>
      </c>
      <c r="C19" s="592" t="n"/>
      <c r="D19" s="26" t="inlineStr">
        <is>
          <t>USHUTO/ Kursi Kerja 6033</t>
        </is>
      </c>
      <c r="E19" s="12" t="n"/>
      <c r="F19" s="12" t="n"/>
      <c r="G19" s="30" t="inlineStr">
        <is>
          <t>Besi Plastik</t>
        </is>
      </c>
      <c r="H19" s="9" t="n">
        <v>2013</v>
      </c>
      <c r="I19" s="9" t="inlineStr">
        <is>
          <t>02.06.02.01.030</t>
        </is>
      </c>
      <c r="J19" s="11" t="inlineStr">
        <is>
          <t>0028</t>
        </is>
      </c>
      <c r="K19" s="20" t="n">
        <v>486971.68</v>
      </c>
      <c r="L19" s="9" t="inlineStr">
        <is>
          <t>Baik</t>
        </is>
      </c>
      <c r="M19" s="12" t="n"/>
      <c r="N19" s="4" t="n"/>
      <c r="O19" s="32" t="inlineStr">
        <is>
          <t>Arief</t>
        </is>
      </c>
    </row>
    <row r="20" ht="31.5" customHeight="1" s="79">
      <c r="A20" s="7">
        <f>A19+1</f>
        <v/>
      </c>
      <c r="B20" s="567" t="inlineStr">
        <is>
          <t>Kursi Putar</t>
        </is>
      </c>
      <c r="C20" s="592" t="n"/>
      <c r="D20" s="26" t="inlineStr">
        <is>
          <t>Indachi /        D 920</t>
        </is>
      </c>
      <c r="E20" s="12" t="n"/>
      <c r="F20" s="12" t="n"/>
      <c r="G20" s="30" t="inlineStr">
        <is>
          <t>Besi Plastik</t>
        </is>
      </c>
      <c r="H20" s="9" t="n">
        <v>2014</v>
      </c>
      <c r="I20" s="9" t="inlineStr">
        <is>
          <t>02.06.02.01.030</t>
        </is>
      </c>
      <c r="J20" s="11" t="inlineStr">
        <is>
          <t>0030</t>
        </is>
      </c>
      <c r="K20" s="20" t="n">
        <v>794180</v>
      </c>
      <c r="L20" s="9" t="inlineStr">
        <is>
          <t>Baik</t>
        </is>
      </c>
      <c r="M20" s="12" t="n"/>
      <c r="N20" s="4" t="n"/>
      <c r="O20" s="32" t="inlineStr">
        <is>
          <t>Olip</t>
        </is>
      </c>
    </row>
    <row r="21" ht="47.25" customHeight="1" s="79">
      <c r="A21" s="7">
        <f>A20+1</f>
        <v/>
      </c>
      <c r="B21" s="567" t="inlineStr">
        <is>
          <t>Kursi Putar</t>
        </is>
      </c>
      <c r="C21" s="592" t="n"/>
      <c r="D21" s="26" t="inlineStr">
        <is>
          <t>Indachi /        D 920</t>
        </is>
      </c>
      <c r="E21" s="12" t="n"/>
      <c r="F21" s="12" t="n"/>
      <c r="G21" s="30" t="inlineStr">
        <is>
          <t>Besi Plastik</t>
        </is>
      </c>
      <c r="H21" s="9" t="n">
        <v>2014</v>
      </c>
      <c r="I21" s="9" t="inlineStr">
        <is>
          <t>02.06.02.01.030</t>
        </is>
      </c>
      <c r="J21" s="11" t="inlineStr">
        <is>
          <t>0042</t>
        </is>
      </c>
      <c r="K21" s="20" t="n">
        <v>794180</v>
      </c>
      <c r="L21" s="9" t="inlineStr">
        <is>
          <t>Baik</t>
        </is>
      </c>
      <c r="M21" s="12" t="n"/>
      <c r="N21" s="4" t="n"/>
      <c r="O21" s="26" t="inlineStr">
        <is>
          <t>No Name Depan Wasnas</t>
        </is>
      </c>
    </row>
    <row r="22" ht="31.5" customHeight="1" s="79">
      <c r="A22" s="7">
        <f>A21+1</f>
        <v/>
      </c>
      <c r="B22" s="567" t="inlineStr">
        <is>
          <t>Kursi Putar</t>
        </is>
      </c>
      <c r="C22" s="592" t="n"/>
      <c r="D22" s="26" t="inlineStr">
        <is>
          <t>Indachi /        D 920</t>
        </is>
      </c>
      <c r="E22" s="12" t="n"/>
      <c r="F22" s="12" t="n"/>
      <c r="G22" s="30" t="inlineStr">
        <is>
          <t>Besi Plastik</t>
        </is>
      </c>
      <c r="H22" s="9" t="n">
        <v>2014</v>
      </c>
      <c r="I22" s="9" t="n"/>
      <c r="J22" s="11" t="inlineStr">
        <is>
          <t>0046</t>
        </is>
      </c>
      <c r="K22" s="20" t="n">
        <v>794180</v>
      </c>
      <c r="L22" s="9" t="inlineStr">
        <is>
          <t>Baik</t>
        </is>
      </c>
      <c r="M22" s="12" t="n"/>
      <c r="N22" s="4" t="n"/>
      <c r="O22" s="32" t="inlineStr">
        <is>
          <t>Adit</t>
        </is>
      </c>
    </row>
    <row r="23">
      <c r="A23" s="7">
        <f>A22+1</f>
        <v/>
      </c>
      <c r="B23" s="567" t="inlineStr">
        <is>
          <t>Kursi Lipat</t>
        </is>
      </c>
      <c r="C23" s="592" t="n"/>
      <c r="D23" s="10" t="inlineStr">
        <is>
          <t>MATRIX / -</t>
        </is>
      </c>
      <c r="E23" s="12" t="n"/>
      <c r="F23" s="12" t="n"/>
      <c r="G23" s="9" t="n"/>
      <c r="H23" s="9" t="n">
        <v>2018</v>
      </c>
      <c r="I23" s="9" t="inlineStr">
        <is>
          <t>02.06.02.01.034</t>
        </is>
      </c>
      <c r="J23" s="11" t="inlineStr">
        <is>
          <t>0004</t>
        </is>
      </c>
      <c r="K23" s="20" t="n">
        <v>333232</v>
      </c>
      <c r="L23" s="9" t="inlineStr">
        <is>
          <t>Baik</t>
        </is>
      </c>
      <c r="M23" s="12" t="n"/>
      <c r="N23" s="12" t="n"/>
      <c r="O23" s="32" t="inlineStr">
        <is>
          <t>Rini</t>
        </is>
      </c>
    </row>
    <row r="24">
      <c r="A24" s="7">
        <f>A23+1</f>
        <v/>
      </c>
      <c r="B24" s="567" t="inlineStr">
        <is>
          <t>Kursi Lipat</t>
        </is>
      </c>
      <c r="C24" s="592" t="n"/>
      <c r="D24" s="10" t="inlineStr">
        <is>
          <t>MATRIX / -</t>
        </is>
      </c>
      <c r="E24" s="12" t="n"/>
      <c r="F24" s="12" t="n"/>
      <c r="G24" s="9" t="n"/>
      <c r="H24" s="9" t="n">
        <v>2018</v>
      </c>
      <c r="I24" s="9" t="inlineStr">
        <is>
          <t>02.06.02.01.034</t>
        </is>
      </c>
      <c r="J24" s="11" t="inlineStr">
        <is>
          <t>0006</t>
        </is>
      </c>
      <c r="K24" s="20" t="n">
        <v>333232</v>
      </c>
      <c r="L24" s="9" t="inlineStr">
        <is>
          <t>Baik</t>
        </is>
      </c>
      <c r="M24" s="12" t="n"/>
      <c r="N24" s="12" t="n"/>
      <c r="O24" s="32" t="inlineStr">
        <is>
          <t>Lutfi</t>
        </is>
      </c>
    </row>
    <row r="25">
      <c r="A25" s="7">
        <f>A24+1</f>
        <v/>
      </c>
      <c r="B25" s="567" t="inlineStr">
        <is>
          <t>Kursi Lipat</t>
        </is>
      </c>
      <c r="C25" s="592" t="n"/>
      <c r="D25" s="10" t="inlineStr">
        <is>
          <t>MATRIX / -</t>
        </is>
      </c>
      <c r="E25" s="12" t="n"/>
      <c r="F25" s="12" t="n"/>
      <c r="G25" s="9" t="n"/>
      <c r="H25" s="9" t="n">
        <v>2018</v>
      </c>
      <c r="I25" s="9" t="inlineStr">
        <is>
          <t>02.06.02.01.034</t>
        </is>
      </c>
      <c r="J25" s="11" t="inlineStr">
        <is>
          <t>0009</t>
        </is>
      </c>
      <c r="K25" s="20" t="n">
        <v>333232</v>
      </c>
      <c r="L25" s="9" t="inlineStr">
        <is>
          <t>Baik</t>
        </is>
      </c>
      <c r="M25" s="12" t="n"/>
      <c r="N25" s="12" t="n"/>
      <c r="O25" s="32" t="inlineStr">
        <is>
          <t>Ibu Sanah</t>
        </is>
      </c>
    </row>
    <row r="26" ht="94.5" customHeight="1" s="79">
      <c r="A26" s="7">
        <f>A25+1</f>
        <v/>
      </c>
      <c r="B26" s="563" t="inlineStr">
        <is>
          <t>PC Unit</t>
        </is>
      </c>
      <c r="C26" s="592" t="n"/>
      <c r="D26" s="40" t="inlineStr">
        <is>
          <t>Intel - Casing ATX-LG/MB MSI G41M-P28- LG wide 16</t>
        </is>
      </c>
      <c r="E26" s="41" t="n"/>
      <c r="F26" s="41" t="n"/>
      <c r="G26" s="42" t="inlineStr">
        <is>
          <t>Besi Plastik</t>
        </is>
      </c>
      <c r="H26" s="42" t="inlineStr">
        <is>
          <t>2012                     6 inci</t>
        </is>
      </c>
      <c r="I26" s="43" t="inlineStr">
        <is>
          <t>02.06.03.02.001</t>
        </is>
      </c>
      <c r="J26" s="44" t="inlineStr">
        <is>
          <t>0010</t>
        </is>
      </c>
      <c r="K26" s="63" t="n">
        <v>3980000</v>
      </c>
      <c r="L26" s="43" t="inlineStr">
        <is>
          <t>Baik</t>
        </is>
      </c>
      <c r="M26" s="41" t="n"/>
      <c r="N26" s="45" t="n"/>
      <c r="O26" s="109" t="inlineStr">
        <is>
          <t>Ibu Jannah</t>
        </is>
      </c>
    </row>
    <row r="27" ht="110.25" customHeight="1" s="79">
      <c r="A27" s="7">
        <f>A26+1</f>
        <v/>
      </c>
      <c r="B27" s="567" t="inlineStr">
        <is>
          <t>PC Unit</t>
        </is>
      </c>
      <c r="C27" s="592" t="n"/>
      <c r="D27" s="26" t="inlineStr">
        <is>
          <t>Intel - Casing DE Case-LG / Pentium ® G 2020Asrock HGI-LG LED 16</t>
        </is>
      </c>
      <c r="E27" s="32" t="n"/>
      <c r="F27" s="32" t="n"/>
      <c r="G27" s="30" t="inlineStr">
        <is>
          <t>Besi Plastik</t>
        </is>
      </c>
      <c r="H27" s="9" t="n">
        <v>2013</v>
      </c>
      <c r="I27" s="9" t="inlineStr">
        <is>
          <t>02.06.03.02.001</t>
        </is>
      </c>
      <c r="J27" s="11" t="inlineStr">
        <is>
          <t>0012</t>
        </is>
      </c>
      <c r="K27" s="20" t="n">
        <v>3922641.51</v>
      </c>
      <c r="L27" s="9" t="inlineStr">
        <is>
          <t>Baik</t>
        </is>
      </c>
      <c r="M27" s="32" t="n"/>
      <c r="N27" s="32" t="n"/>
      <c r="O27" s="32" t="inlineStr">
        <is>
          <t>Inu Yani</t>
        </is>
      </c>
    </row>
    <row r="38">
      <c r="A38" s="538" t="inlineStr">
        <is>
          <t>No.</t>
        </is>
      </c>
      <c r="B38" s="538" t="inlineStr">
        <is>
          <t>Nama Barang</t>
        </is>
      </c>
      <c r="C38" s="589" t="n"/>
      <c r="D38" s="538" t="inlineStr">
        <is>
          <t>Merk/</t>
        </is>
      </c>
      <c r="E38" s="538" t="inlineStr">
        <is>
          <t>No. Seri</t>
        </is>
      </c>
      <c r="F38" s="655" t="inlineStr">
        <is>
          <t>Ukuran</t>
        </is>
      </c>
      <c r="G38" s="655" t="inlineStr">
        <is>
          <t>Bahan</t>
        </is>
      </c>
      <c r="H38" s="538" t="inlineStr">
        <is>
          <t xml:space="preserve">Tahun </t>
        </is>
      </c>
      <c r="I38" s="538" t="n"/>
      <c r="J38" s="538" t="inlineStr">
        <is>
          <t xml:space="preserve">Jumlah </t>
        </is>
      </c>
      <c r="K38" s="538" t="inlineStr">
        <is>
          <t xml:space="preserve">Harga </t>
        </is>
      </c>
      <c r="L38" s="544" t="inlineStr">
        <is>
          <t xml:space="preserve">Keadaan Barang </t>
        </is>
      </c>
      <c r="M38" s="591" t="n"/>
      <c r="N38" s="592" t="n"/>
      <c r="O38" s="538" t="inlineStr">
        <is>
          <t>Keterangan</t>
        </is>
      </c>
    </row>
    <row r="39">
      <c r="A39" s="543" t="inlineStr">
        <is>
          <t>Urut</t>
        </is>
      </c>
      <c r="B39" s="543" t="inlineStr">
        <is>
          <t>Jenis Barang</t>
        </is>
      </c>
      <c r="C39" s="593" t="n"/>
      <c r="D39" s="543" t="inlineStr">
        <is>
          <t>Model</t>
        </is>
      </c>
      <c r="E39" s="543" t="inlineStr">
        <is>
          <t>Pabrik</t>
        </is>
      </c>
      <c r="F39" s="594" t="n"/>
      <c r="G39" s="594" t="n"/>
      <c r="H39" s="104" t="inlineStr">
        <is>
          <t>Pembuatan</t>
        </is>
      </c>
      <c r="I39" s="104" t="inlineStr">
        <is>
          <t xml:space="preserve">No/. Kode Barang </t>
        </is>
      </c>
      <c r="J39" s="104" t="inlineStr">
        <is>
          <t>Barang</t>
        </is>
      </c>
      <c r="K39" s="104" t="inlineStr">
        <is>
          <t>Beli/</t>
        </is>
      </c>
      <c r="L39" s="104" t="inlineStr">
        <is>
          <t>Baik</t>
        </is>
      </c>
      <c r="M39" s="104" t="inlineStr">
        <is>
          <t>Kurang Baik</t>
        </is>
      </c>
      <c r="N39" s="104" t="inlineStr">
        <is>
          <t>Rusak Berat</t>
        </is>
      </c>
      <c r="O39" s="540" t="inlineStr">
        <is>
          <t>Mutasi dll</t>
        </is>
      </c>
    </row>
    <row r="40">
      <c r="A40" s="595" t="n"/>
      <c r="B40" s="596" t="n"/>
      <c r="C40" s="597" t="n"/>
      <c r="D40" s="595" t="n"/>
      <c r="E40" s="595" t="n"/>
      <c r="F40" s="595" t="n"/>
      <c r="G40" s="595" t="n"/>
      <c r="H40" s="105" t="inlineStr">
        <is>
          <t>Atau Pembelian</t>
        </is>
      </c>
      <c r="I40" s="105" t="n"/>
      <c r="J40" s="105" t="inlineStr">
        <is>
          <t>Register x)</t>
        </is>
      </c>
      <c r="K40" s="105" t="inlineStr">
        <is>
          <t>Perolehan</t>
        </is>
      </c>
      <c r="L40" s="105" t="inlineStr">
        <is>
          <t>(B)</t>
        </is>
      </c>
      <c r="M40" s="105" t="inlineStr">
        <is>
          <t>(KB)</t>
        </is>
      </c>
      <c r="N40" s="105" t="inlineStr">
        <is>
          <t>(RB)</t>
        </is>
      </c>
      <c r="O40" s="595" t="n"/>
    </row>
    <row r="41">
      <c r="A41" s="47" t="n">
        <v>1</v>
      </c>
      <c r="B41" s="47" t="n">
        <v>2</v>
      </c>
      <c r="C41" s="592" t="n"/>
      <c r="D41" s="539" t="n">
        <v>3</v>
      </c>
      <c r="E41" s="539" t="n">
        <v>4</v>
      </c>
      <c r="F41" s="542" t="n">
        <v>5</v>
      </c>
      <c r="G41" s="542" t="n">
        <v>6</v>
      </c>
      <c r="H41" s="104" t="n">
        <v>7</v>
      </c>
      <c r="I41" s="104" t="n">
        <v>8</v>
      </c>
      <c r="J41" s="104" t="n">
        <v>9</v>
      </c>
      <c r="K41" s="104" t="n">
        <v>10</v>
      </c>
      <c r="L41" s="104" t="n">
        <v>11</v>
      </c>
      <c r="M41" s="104" t="n">
        <v>12</v>
      </c>
      <c r="N41" s="104" t="n">
        <v>13</v>
      </c>
      <c r="O41" s="539" t="n">
        <v>14</v>
      </c>
    </row>
    <row r="42" ht="31.5" customHeight="1" s="79">
      <c r="A42" s="7">
        <f>A27+1</f>
        <v/>
      </c>
      <c r="B42" s="563" t="inlineStr">
        <is>
          <t>PC Unit</t>
        </is>
      </c>
      <c r="C42" s="592" t="n"/>
      <c r="D42" s="40" t="inlineStr">
        <is>
          <t>Lenovo / C260</t>
        </is>
      </c>
      <c r="E42" s="41" t="n"/>
      <c r="F42" s="41" t="n"/>
      <c r="G42" s="42" t="inlineStr">
        <is>
          <t>Besi Plastik</t>
        </is>
      </c>
      <c r="H42" s="42" t="n">
        <v>2015</v>
      </c>
      <c r="I42" s="43" t="inlineStr">
        <is>
          <t>02.06.03.02.001</t>
        </is>
      </c>
      <c r="J42" s="44" t="inlineStr">
        <is>
          <t>0014</t>
        </is>
      </c>
      <c r="K42" s="63" t="n">
        <v>6026316</v>
      </c>
      <c r="L42" s="43" t="inlineStr">
        <is>
          <t>Baik</t>
        </is>
      </c>
      <c r="M42" s="41" t="n"/>
      <c r="N42" s="41" t="n"/>
      <c r="O42" s="109" t="inlineStr">
        <is>
          <t>Olip</t>
        </is>
      </c>
    </row>
    <row r="43" ht="31.5" customHeight="1" s="79">
      <c r="A43" s="7">
        <f>A42+1</f>
        <v/>
      </c>
      <c r="B43" s="563" t="inlineStr">
        <is>
          <t>Printer</t>
        </is>
      </c>
      <c r="C43" s="592" t="n"/>
      <c r="D43" s="48" t="inlineStr">
        <is>
          <t>EPSON /        L 360</t>
        </is>
      </c>
      <c r="E43" s="41" t="n"/>
      <c r="F43" s="41" t="n"/>
      <c r="G43" s="43" t="inlineStr">
        <is>
          <t>Besi Plastik</t>
        </is>
      </c>
      <c r="H43" s="43" t="n">
        <v>2016</v>
      </c>
      <c r="I43" s="43" t="inlineStr">
        <is>
          <t>02.06.03.05.003</t>
        </is>
      </c>
      <c r="J43" s="44" t="inlineStr">
        <is>
          <t>0020</t>
        </is>
      </c>
      <c r="K43" s="63" t="n">
        <v>3142612</v>
      </c>
      <c r="L43" s="43" t="inlineStr">
        <is>
          <t>Baik</t>
        </is>
      </c>
      <c r="M43" s="41" t="n"/>
      <c r="N43" s="41" t="n"/>
      <c r="O43" s="109" t="inlineStr">
        <is>
          <t>bu Jannah</t>
        </is>
      </c>
    </row>
    <row r="44" ht="31.5" customHeight="1" s="79">
      <c r="A44" s="9">
        <f>A43+1</f>
        <v/>
      </c>
      <c r="B44" s="563" t="inlineStr">
        <is>
          <t>Printer</t>
        </is>
      </c>
      <c r="C44" s="592" t="n"/>
      <c r="D44" s="48" t="inlineStr">
        <is>
          <t>EPSON /        L 360</t>
        </is>
      </c>
      <c r="E44" s="41" t="n"/>
      <c r="F44" s="41" t="n"/>
      <c r="G44" s="43" t="inlineStr">
        <is>
          <t>Besi Plastik</t>
        </is>
      </c>
      <c r="H44" s="43" t="n">
        <v>2016</v>
      </c>
      <c r="I44" s="43" t="inlineStr">
        <is>
          <t>02.06.03.05.003</t>
        </is>
      </c>
      <c r="J44" s="44" t="inlineStr">
        <is>
          <t>0022</t>
        </is>
      </c>
      <c r="K44" s="63" t="n">
        <v>3142612</v>
      </c>
      <c r="L44" s="43" t="inlineStr">
        <is>
          <t>Baik</t>
        </is>
      </c>
      <c r="M44" s="41" t="n"/>
      <c r="N44" s="41" t="n"/>
      <c r="O44" s="109" t="inlineStr">
        <is>
          <t>Olip</t>
        </is>
      </c>
    </row>
    <row r="45" ht="31.5" customHeight="1" s="79">
      <c r="A45" s="7">
        <f>A44+1</f>
        <v/>
      </c>
      <c r="B45" s="563" t="inlineStr">
        <is>
          <t>Printer</t>
        </is>
      </c>
      <c r="C45" s="592" t="n"/>
      <c r="D45" s="48" t="inlineStr">
        <is>
          <t>EPSON /L120</t>
        </is>
      </c>
      <c r="E45" s="41" t="n"/>
      <c r="F45" s="41" t="n"/>
      <c r="G45" s="43" t="inlineStr">
        <is>
          <t>Besi Plastik</t>
        </is>
      </c>
      <c r="H45" s="43" t="n">
        <v>2017</v>
      </c>
      <c r="I45" s="43" t="inlineStr">
        <is>
          <t>02.06.03.05.003</t>
        </is>
      </c>
      <c r="J45" s="44" t="inlineStr">
        <is>
          <t>0027</t>
        </is>
      </c>
      <c r="K45" s="63" t="n">
        <v>2173757</v>
      </c>
      <c r="L45" s="43" t="inlineStr">
        <is>
          <t>Baik</t>
        </is>
      </c>
      <c r="M45" s="41" t="n"/>
      <c r="N45" s="41" t="n"/>
      <c r="O45" s="109" t="inlineStr">
        <is>
          <t>Adir</t>
        </is>
      </c>
    </row>
    <row r="46" ht="31.5" customHeight="1" s="79">
      <c r="A46" s="7">
        <f>A45+1</f>
        <v/>
      </c>
      <c r="B46" s="563" t="inlineStr">
        <is>
          <t>Printer</t>
        </is>
      </c>
      <c r="C46" s="592" t="n"/>
      <c r="D46" s="48" t="inlineStr">
        <is>
          <t>EPSON /L3110</t>
        </is>
      </c>
      <c r="E46" s="41" t="n"/>
      <c r="F46" s="41" t="n"/>
      <c r="G46" s="43" t="inlineStr">
        <is>
          <t>Campuran</t>
        </is>
      </c>
      <c r="H46" s="43" t="n">
        <v>2020</v>
      </c>
      <c r="I46" s="43" t="inlineStr">
        <is>
          <t>02.06.03.05.003</t>
        </is>
      </c>
      <c r="J46" s="44" t="inlineStr">
        <is>
          <t>0034</t>
        </is>
      </c>
      <c r="K46" s="63">
        <f>5516570/2</f>
        <v/>
      </c>
      <c r="L46" s="43" t="inlineStr">
        <is>
          <t>Baik</t>
        </is>
      </c>
      <c r="M46" s="41" t="n"/>
      <c r="N46" s="41" t="n"/>
      <c r="O46" s="109" t="inlineStr">
        <is>
          <t>Aan</t>
        </is>
      </c>
    </row>
    <row r="47" ht="31.5" customHeight="1" s="79">
      <c r="A47" s="7">
        <f>A46+1</f>
        <v/>
      </c>
      <c r="B47" s="563" t="inlineStr">
        <is>
          <t>Meja Kerja Pejabat Eselon IV</t>
        </is>
      </c>
      <c r="C47" s="592" t="n"/>
      <c r="D47" s="40" t="inlineStr">
        <is>
          <t>Blue Shark/ Meja Kerja</t>
        </is>
      </c>
      <c r="E47" s="41" t="n"/>
      <c r="F47" s="41" t="n"/>
      <c r="G47" s="42" t="inlineStr">
        <is>
          <t>Kayu Pertikel</t>
        </is>
      </c>
      <c r="H47" s="43" t="n">
        <v>2008</v>
      </c>
      <c r="I47" s="43" t="inlineStr">
        <is>
          <t>02.06.04.01.006</t>
        </is>
      </c>
      <c r="J47" s="44" t="inlineStr">
        <is>
          <t>0002</t>
        </is>
      </c>
      <c r="K47" s="63" t="n">
        <v>372666.67</v>
      </c>
      <c r="L47" s="43" t="inlineStr">
        <is>
          <t>Baik</t>
        </is>
      </c>
      <c r="M47" s="41" t="n"/>
      <c r="N47" s="45" t="n"/>
      <c r="O47" s="109" t="inlineStr">
        <is>
          <t>Lutfi</t>
        </is>
      </c>
    </row>
    <row r="48" ht="47.25" customHeight="1" s="79">
      <c r="A48" s="7">
        <f>A47+1</f>
        <v/>
      </c>
      <c r="B48" s="563" t="inlineStr">
        <is>
          <t>Meja Kerja Pejabat Eselon IV</t>
        </is>
      </c>
      <c r="C48" s="592" t="n"/>
      <c r="D48" s="40" t="inlineStr">
        <is>
          <t>SAGA OD 022/ Meja Kerja Staf</t>
        </is>
      </c>
      <c r="E48" s="41" t="n"/>
      <c r="F48" s="41" t="n"/>
      <c r="G48" s="42" t="inlineStr">
        <is>
          <t>Kayu Pertikel</t>
        </is>
      </c>
      <c r="H48" s="43" t="n">
        <v>2011</v>
      </c>
      <c r="I48" s="43" t="inlineStr">
        <is>
          <t>02.06.04.01.006</t>
        </is>
      </c>
      <c r="J48" s="44" t="inlineStr">
        <is>
          <t>0022</t>
        </is>
      </c>
      <c r="K48" s="63" t="n">
        <v>485000</v>
      </c>
      <c r="L48" s="43" t="inlineStr">
        <is>
          <t>Baik</t>
        </is>
      </c>
      <c r="M48" s="41" t="n"/>
      <c r="N48" s="45" t="n"/>
      <c r="O48" s="109" t="inlineStr">
        <is>
          <t>Ibu Sanah</t>
        </is>
      </c>
    </row>
    <row r="49" ht="47.25" customHeight="1" s="79">
      <c r="A49" s="7">
        <f>A48+1</f>
        <v/>
      </c>
      <c r="B49" s="563" t="inlineStr">
        <is>
          <t>Meja Kerja Pejabat Eselon IV</t>
        </is>
      </c>
      <c r="C49" s="592" t="n"/>
      <c r="D49" s="40" t="inlineStr">
        <is>
          <t>Solid MTS-2805/ Meja Kerja Staf</t>
        </is>
      </c>
      <c r="E49" s="41" t="n"/>
      <c r="F49" s="41" t="n"/>
      <c r="G49" s="42" t="inlineStr">
        <is>
          <t>Kayu Pertikel</t>
        </is>
      </c>
      <c r="H49" s="43" t="n">
        <v>2010</v>
      </c>
      <c r="I49" s="43" t="inlineStr">
        <is>
          <t>02.06.04.01.006</t>
        </is>
      </c>
      <c r="J49" s="44" t="inlineStr">
        <is>
          <t>0025</t>
        </is>
      </c>
      <c r="K49" s="63" t="n">
        <v>485000</v>
      </c>
      <c r="L49" s="43" t="inlineStr">
        <is>
          <t>Baik</t>
        </is>
      </c>
      <c r="M49" s="41" t="n"/>
      <c r="N49" s="45" t="n"/>
      <c r="O49" s="109" t="inlineStr">
        <is>
          <t>Arief</t>
        </is>
      </c>
    </row>
    <row r="50" ht="47.25" customHeight="1" s="79">
      <c r="A50" s="7">
        <f>A49+1</f>
        <v/>
      </c>
      <c r="B50" s="563" t="inlineStr">
        <is>
          <t>Meja Kerja Pejabat Eselon IV</t>
        </is>
      </c>
      <c r="C50" s="592" t="n"/>
      <c r="D50" s="40" t="inlineStr">
        <is>
          <t>General/ Meja Kerja Staf</t>
        </is>
      </c>
      <c r="E50" s="41" t="n"/>
      <c r="F50" s="41" t="n"/>
      <c r="G50" s="42" t="inlineStr">
        <is>
          <t>Kayu Pertikel</t>
        </is>
      </c>
      <c r="H50" s="43" t="n">
        <v>2010</v>
      </c>
      <c r="I50" s="43" t="inlineStr">
        <is>
          <t>02.06.04.01.006</t>
        </is>
      </c>
      <c r="J50" s="44" t="inlineStr">
        <is>
          <t>0031</t>
        </is>
      </c>
      <c r="K50" s="63" t="n">
        <v>275000</v>
      </c>
      <c r="L50" s="43" t="inlineStr">
        <is>
          <t>Baik</t>
        </is>
      </c>
      <c r="M50" s="41" t="n"/>
      <c r="N50" s="45" t="n"/>
      <c r="O50" s="109" t="inlineStr">
        <is>
          <t>Arin</t>
        </is>
      </c>
    </row>
    <row r="51" ht="62.25" customHeight="1" s="79">
      <c r="A51" s="7">
        <f>A50+1</f>
        <v/>
      </c>
      <c r="B51" s="563" t="inlineStr">
        <is>
          <t>Meja Kerja Pejabat Eselon IV</t>
        </is>
      </c>
      <c r="C51" s="592" t="n"/>
      <c r="D51" s="40" t="inlineStr">
        <is>
          <t>ZETTA MT201/ Meja Kerja Staf</t>
        </is>
      </c>
      <c r="E51" s="41" t="n"/>
      <c r="F51" s="41" t="n"/>
      <c r="G51" s="42" t="inlineStr">
        <is>
          <t>Kayu Pertikel</t>
        </is>
      </c>
      <c r="H51" s="43" t="n">
        <v>2016</v>
      </c>
      <c r="I51" s="43" t="inlineStr">
        <is>
          <t>02.06.04.01.006</t>
        </is>
      </c>
      <c r="J51" s="44" t="inlineStr">
        <is>
          <t>0032</t>
        </is>
      </c>
      <c r="K51" s="63" t="n">
        <v>2282609</v>
      </c>
      <c r="L51" s="43" t="inlineStr">
        <is>
          <t>Baik</t>
        </is>
      </c>
      <c r="M51" s="41" t="n"/>
      <c r="N51" s="45" t="n"/>
      <c r="O51" s="109" t="inlineStr">
        <is>
          <t>Riyan</t>
        </is>
      </c>
    </row>
    <row r="52" ht="62.25" customHeight="1" s="79">
      <c r="A52" s="7">
        <f>A51+1</f>
        <v/>
      </c>
      <c r="B52" s="563" t="inlineStr">
        <is>
          <t>Meja Kerja Pejabat Eselon IV</t>
        </is>
      </c>
      <c r="C52" s="592" t="n"/>
      <c r="D52" s="40" t="inlineStr">
        <is>
          <t>ZETTA MT201/ Meja Kerja Staf</t>
        </is>
      </c>
      <c r="E52" s="41" t="n"/>
      <c r="F52" s="41" t="n"/>
      <c r="G52" s="42" t="inlineStr">
        <is>
          <t>Kayu Pertikel</t>
        </is>
      </c>
      <c r="H52" s="43" t="n">
        <v>2016</v>
      </c>
      <c r="I52" s="43" t="inlineStr">
        <is>
          <t>02.06.04.01.006</t>
        </is>
      </c>
      <c r="J52" s="44" t="inlineStr">
        <is>
          <t>0033</t>
        </is>
      </c>
      <c r="K52" s="63" t="n">
        <v>2282609</v>
      </c>
      <c r="L52" s="43" t="inlineStr">
        <is>
          <t>Baik</t>
        </is>
      </c>
      <c r="M52" s="41" t="n"/>
      <c r="N52" s="45" t="n"/>
      <c r="O52" s="109" t="inlineStr">
        <is>
          <t>Baitie</t>
        </is>
      </c>
    </row>
    <row r="53" ht="62.25" customHeight="1" s="79">
      <c r="A53" s="7">
        <f>A52+1</f>
        <v/>
      </c>
      <c r="B53" s="563" t="inlineStr">
        <is>
          <t>Meja Kerja Pejabat Eselon IV</t>
        </is>
      </c>
      <c r="C53" s="592" t="n"/>
      <c r="D53" s="40" t="inlineStr">
        <is>
          <t>ZETTA MT201/ Meja Kerja Staf</t>
        </is>
      </c>
      <c r="E53" s="41" t="n"/>
      <c r="F53" s="41" t="n"/>
      <c r="G53" s="42" t="inlineStr">
        <is>
          <t>Kayu Pertikel</t>
        </is>
      </c>
      <c r="H53" s="43" t="n">
        <v>2017</v>
      </c>
      <c r="I53" s="43" t="inlineStr">
        <is>
          <t>02.06.04.01.006</t>
        </is>
      </c>
      <c r="J53" s="44" t="inlineStr">
        <is>
          <t>0034</t>
        </is>
      </c>
      <c r="K53" s="63" t="n">
        <v>2284351</v>
      </c>
      <c r="L53" s="43" t="inlineStr">
        <is>
          <t>Baik</t>
        </is>
      </c>
      <c r="M53" s="41" t="n"/>
      <c r="N53" s="45" t="n"/>
      <c r="O53" s="109" t="inlineStr">
        <is>
          <t>Rini</t>
        </is>
      </c>
    </row>
    <row r="54" ht="62.25" customHeight="1" s="79">
      <c r="A54" s="7">
        <f>A53+1</f>
        <v/>
      </c>
      <c r="B54" s="563" t="inlineStr">
        <is>
          <t>Meja Kerja Pejabat Eselon IV</t>
        </is>
      </c>
      <c r="C54" s="592" t="n"/>
      <c r="D54" s="40" t="inlineStr">
        <is>
          <t>SAGA MTB 120/ Meja Kerja Staf</t>
        </is>
      </c>
      <c r="E54" s="41" t="n"/>
      <c r="F54" s="41" t="n"/>
      <c r="G54" s="42" t="n"/>
      <c r="H54" s="43" t="n">
        <v>2017</v>
      </c>
      <c r="I54" s="43" t="inlineStr">
        <is>
          <t>02.06.04.01.006</t>
        </is>
      </c>
      <c r="J54" s="44" t="inlineStr">
        <is>
          <t>0035</t>
        </is>
      </c>
      <c r="K54" s="63" t="n">
        <v>1116794</v>
      </c>
      <c r="L54" s="43" t="inlineStr">
        <is>
          <t>Baik</t>
        </is>
      </c>
      <c r="M54" s="41" t="n"/>
      <c r="N54" s="45" t="n"/>
      <c r="O54" s="109" t="inlineStr">
        <is>
          <t>Olip</t>
        </is>
      </c>
    </row>
    <row r="55" ht="48.75" customHeight="1" s="79">
      <c r="A55" s="7">
        <f>A54+1</f>
        <v/>
      </c>
      <c r="B55" s="563" t="inlineStr">
        <is>
          <t>Meja Kerja Pejabat Eselon IV</t>
        </is>
      </c>
      <c r="C55" s="592" t="n"/>
      <c r="D55" s="40" t="inlineStr">
        <is>
          <t>SAGA MTB 120/ Meja Kerja Staf</t>
        </is>
      </c>
      <c r="E55" s="41" t="n"/>
      <c r="F55" s="41" t="n"/>
      <c r="G55" s="42" t="n"/>
      <c r="H55" s="43" t="n">
        <v>2017</v>
      </c>
      <c r="I55" s="43" t="inlineStr">
        <is>
          <t>02.06.04.01.006</t>
        </is>
      </c>
      <c r="J55" s="44" t="inlineStr">
        <is>
          <t>0036</t>
        </is>
      </c>
      <c r="K55" s="63" t="n">
        <v>1116794</v>
      </c>
      <c r="L55" s="43" t="inlineStr">
        <is>
          <t>Baik</t>
        </is>
      </c>
      <c r="M55" s="41" t="n"/>
      <c r="N55" s="45" t="n"/>
      <c r="O55" s="109" t="inlineStr">
        <is>
          <t>Bu Yani</t>
        </is>
      </c>
    </row>
    <row r="56" ht="32.25" customHeight="1" s="79">
      <c r="A56" s="7">
        <f>A55+1</f>
        <v/>
      </c>
      <c r="B56" s="563" t="inlineStr">
        <is>
          <t>Meja Kerja Pejabat Eselon IV</t>
        </is>
      </c>
      <c r="C56" s="592" t="n"/>
      <c r="D56" s="40" t="inlineStr">
        <is>
          <t>ZETTA /MT201</t>
        </is>
      </c>
      <c r="E56" s="41" t="n"/>
      <c r="F56" s="41" t="n"/>
      <c r="G56" s="42" t="n"/>
      <c r="H56" s="43" t="n">
        <v>2018</v>
      </c>
      <c r="I56" s="43" t="inlineStr">
        <is>
          <t>02.06.04.01.006</t>
        </is>
      </c>
      <c r="J56" s="44" t="inlineStr">
        <is>
          <t>0037</t>
        </is>
      </c>
      <c r="K56" s="63" t="n">
        <v>2019589</v>
      </c>
      <c r="L56" s="43" t="inlineStr">
        <is>
          <t>Baik</t>
        </is>
      </c>
      <c r="M56" s="41" t="n"/>
      <c r="N56" s="45" t="n"/>
      <c r="O56" s="109" t="inlineStr">
        <is>
          <t>Adit</t>
        </is>
      </c>
    </row>
    <row r="57" ht="32.25" customHeight="1" s="79">
      <c r="A57" s="7">
        <f>A56+1</f>
        <v/>
      </c>
      <c r="B57" s="563" t="inlineStr">
        <is>
          <t>Meja Kerja Pejabat Eselon IV</t>
        </is>
      </c>
      <c r="C57" s="592" t="n"/>
      <c r="D57" s="40" t="inlineStr">
        <is>
          <t>ZETTA /MT201</t>
        </is>
      </c>
      <c r="E57" s="41" t="n"/>
      <c r="F57" s="41" t="n"/>
      <c r="G57" s="42" t="n"/>
      <c r="H57" s="43" t="n">
        <v>2018</v>
      </c>
      <c r="I57" s="43" t="inlineStr">
        <is>
          <t>02.06.04.01.006</t>
        </is>
      </c>
      <c r="J57" s="44" t="inlineStr">
        <is>
          <t>0038</t>
        </is>
      </c>
      <c r="K57" s="65" t="n">
        <v>2019589</v>
      </c>
      <c r="L57" s="43" t="inlineStr">
        <is>
          <t>Baik</t>
        </is>
      </c>
      <c r="M57" s="41" t="n"/>
      <c r="N57" s="45" t="n"/>
      <c r="O57" s="109" t="inlineStr">
        <is>
          <t>Bu Hanna</t>
        </is>
      </c>
    </row>
    <row r="58" ht="31.5" customHeight="1" s="79">
      <c r="A58" s="7">
        <f>A57+1</f>
        <v/>
      </c>
      <c r="B58" s="563" t="inlineStr">
        <is>
          <t>Meja Kerja Pejabat Eselon IV</t>
        </is>
      </c>
      <c r="C58" s="592" t="n"/>
      <c r="D58" s="40" t="inlineStr">
        <is>
          <t>ZETTA /MT201</t>
        </is>
      </c>
      <c r="E58" s="41" t="n"/>
      <c r="F58" s="41" t="n"/>
      <c r="G58" s="42" t="n"/>
      <c r="H58" s="43" t="n">
        <v>2018</v>
      </c>
      <c r="I58" s="43" t="inlineStr">
        <is>
          <t>02.06.04.01.006</t>
        </is>
      </c>
      <c r="J58" s="44" t="inlineStr">
        <is>
          <t>0039</t>
        </is>
      </c>
      <c r="K58" s="65" t="n">
        <v>2019589</v>
      </c>
      <c r="L58" s="43" t="inlineStr">
        <is>
          <t>Baik</t>
        </is>
      </c>
      <c r="M58" s="41" t="n"/>
      <c r="N58" s="45" t="n"/>
      <c r="O58" s="109" t="inlineStr">
        <is>
          <t>Bu Jannah</t>
        </is>
      </c>
    </row>
    <row r="59" ht="31.5" customHeight="1" s="79">
      <c r="A59" s="7">
        <f>A85+1</f>
        <v/>
      </c>
      <c r="B59" s="563" t="inlineStr">
        <is>
          <t>Kursi Kerja Pejabat Eselon III</t>
        </is>
      </c>
      <c r="C59" s="592" t="n"/>
      <c r="D59" s="48" t="inlineStr">
        <is>
          <t>RAKUDA/ RK 235</t>
        </is>
      </c>
      <c r="E59" s="41" t="n"/>
      <c r="F59" s="41" t="n"/>
      <c r="G59" s="43" t="inlineStr">
        <is>
          <t>Besi Plastik</t>
        </is>
      </c>
      <c r="H59" s="43" t="n">
        <v>2015</v>
      </c>
      <c r="I59" s="43" t="inlineStr">
        <is>
          <t>02.06.04.03.005</t>
        </is>
      </c>
      <c r="J59" s="44" t="inlineStr">
        <is>
          <t>0013</t>
        </is>
      </c>
      <c r="K59" s="63" t="n">
        <v>2400000</v>
      </c>
      <c r="L59" s="43" t="inlineStr">
        <is>
          <t>Baik</t>
        </is>
      </c>
      <c r="M59" s="41" t="n"/>
      <c r="N59" s="41" t="n"/>
      <c r="O59" s="109" t="inlineStr">
        <is>
          <t>Untung</t>
        </is>
      </c>
    </row>
    <row r="60">
      <c r="A60" s="73" t="n"/>
      <c r="B60" s="128" t="n"/>
      <c r="C60" s="128" t="n"/>
      <c r="D60" s="129" t="n"/>
      <c r="E60" s="130" t="n"/>
      <c r="F60" s="130" t="n"/>
      <c r="G60" s="131" t="n"/>
      <c r="H60" s="131" t="n"/>
      <c r="I60" s="131" t="n"/>
      <c r="J60" s="132" t="n"/>
      <c r="K60" s="133" t="n"/>
      <c r="L60" s="131" t="n"/>
      <c r="M60" s="130" t="n"/>
      <c r="N60" s="130" t="n"/>
      <c r="O60" s="130" t="n"/>
    </row>
    <row r="61">
      <c r="A61" s="221" t="n"/>
      <c r="B61" s="123" t="n"/>
      <c r="C61" s="123" t="n"/>
      <c r="D61" s="124" t="n"/>
      <c r="E61" s="125" t="n"/>
      <c r="F61" s="125" t="n"/>
      <c r="G61" s="94" t="n"/>
      <c r="H61" s="94" t="n"/>
      <c r="I61" s="94" t="n"/>
      <c r="J61" s="126" t="n"/>
      <c r="K61" s="134" t="n"/>
      <c r="L61" s="94" t="n"/>
      <c r="M61" s="125" t="n"/>
      <c r="N61" s="125" t="n"/>
      <c r="O61" s="125" t="n"/>
    </row>
    <row r="62">
      <c r="A62" s="221" t="n"/>
      <c r="B62" s="123" t="n"/>
      <c r="C62" s="123" t="n"/>
      <c r="D62" s="124" t="n"/>
      <c r="E62" s="125" t="n"/>
      <c r="F62" s="125" t="n"/>
      <c r="G62" s="94" t="n"/>
      <c r="H62" s="94" t="n"/>
      <c r="I62" s="94" t="n"/>
      <c r="J62" s="126" t="n"/>
      <c r="K62" s="134" t="n"/>
      <c r="L62" s="94" t="n"/>
      <c r="M62" s="125" t="n"/>
      <c r="N62" s="125" t="n"/>
      <c r="O62" s="125" t="n"/>
    </row>
    <row r="63">
      <c r="A63" s="221" t="n"/>
      <c r="B63" s="123" t="n"/>
      <c r="C63" s="123" t="n"/>
      <c r="D63" s="124" t="n"/>
      <c r="E63" s="125" t="n"/>
      <c r="F63" s="125" t="n"/>
      <c r="G63" s="94" t="n"/>
      <c r="H63" s="94" t="n"/>
      <c r="I63" s="94" t="n"/>
      <c r="J63" s="126" t="n"/>
      <c r="K63" s="134" t="n"/>
      <c r="L63" s="94" t="n"/>
      <c r="M63" s="125" t="n"/>
      <c r="N63" s="125" t="n"/>
      <c r="O63" s="125" t="n"/>
    </row>
    <row r="64">
      <c r="A64" s="221" t="n"/>
      <c r="B64" s="123" t="n"/>
      <c r="C64" s="123" t="n"/>
      <c r="D64" s="124" t="n"/>
      <c r="E64" s="125" t="n"/>
      <c r="F64" s="125" t="n"/>
      <c r="G64" s="94" t="n"/>
      <c r="H64" s="94" t="n"/>
      <c r="I64" s="94" t="n"/>
      <c r="J64" s="126" t="n"/>
      <c r="K64" s="134" t="n"/>
      <c r="L64" s="94" t="n"/>
      <c r="M64" s="125" t="n"/>
      <c r="N64" s="125" t="n"/>
      <c r="O64" s="125" t="n"/>
    </row>
    <row r="65">
      <c r="A65" s="221" t="n"/>
      <c r="B65" s="123" t="n"/>
      <c r="C65" s="123" t="n"/>
      <c r="D65" s="124" t="n"/>
      <c r="E65" s="125" t="n"/>
      <c r="F65" s="125" t="n"/>
      <c r="G65" s="94" t="n"/>
      <c r="H65" s="94" t="n"/>
      <c r="I65" s="94" t="n"/>
      <c r="J65" s="126" t="n"/>
      <c r="K65" s="134" t="n"/>
      <c r="L65" s="94" t="n"/>
      <c r="M65" s="125" t="n"/>
      <c r="N65" s="125" t="n"/>
      <c r="O65" s="125" t="n"/>
    </row>
    <row r="66">
      <c r="A66" s="81" t="n"/>
      <c r="B66" s="135" t="n"/>
      <c r="C66" s="135" t="n"/>
      <c r="D66" s="136" t="n"/>
      <c r="E66" s="137" t="n"/>
      <c r="F66" s="137" t="n"/>
      <c r="G66" s="138" t="n"/>
      <c r="H66" s="138" t="n"/>
      <c r="I66" s="138" t="n"/>
      <c r="J66" s="139" t="n"/>
      <c r="K66" s="140" t="n"/>
      <c r="L66" s="138" t="n"/>
      <c r="M66" s="137" t="n"/>
      <c r="N66" s="137" t="n"/>
      <c r="O66" s="137" t="n"/>
    </row>
    <row r="67">
      <c r="A67" s="538" t="inlineStr">
        <is>
          <t>No.</t>
        </is>
      </c>
      <c r="B67" s="538" t="inlineStr">
        <is>
          <t>Nama Barang</t>
        </is>
      </c>
      <c r="C67" s="589" t="n"/>
      <c r="D67" s="538" t="inlineStr">
        <is>
          <t>Merk/</t>
        </is>
      </c>
      <c r="E67" s="538" t="inlineStr">
        <is>
          <t>No. Seri</t>
        </is>
      </c>
      <c r="F67" s="655" t="inlineStr">
        <is>
          <t>Ukuran</t>
        </is>
      </c>
      <c r="G67" s="655" t="inlineStr">
        <is>
          <t>Bahan</t>
        </is>
      </c>
      <c r="H67" s="538" t="inlineStr">
        <is>
          <t xml:space="preserve">Tahun </t>
        </is>
      </c>
      <c r="I67" s="538" t="n"/>
      <c r="J67" s="538" t="inlineStr">
        <is>
          <t xml:space="preserve">Jumlah </t>
        </is>
      </c>
      <c r="K67" s="538" t="inlineStr">
        <is>
          <t xml:space="preserve">Harga </t>
        </is>
      </c>
      <c r="L67" s="544" t="inlineStr">
        <is>
          <t xml:space="preserve">Keadaan Barang </t>
        </is>
      </c>
      <c r="M67" s="591" t="n"/>
      <c r="N67" s="592" t="n"/>
      <c r="O67" s="538" t="inlineStr">
        <is>
          <t>Keterangan</t>
        </is>
      </c>
    </row>
    <row r="68">
      <c r="A68" s="543" t="inlineStr">
        <is>
          <t>Urut</t>
        </is>
      </c>
      <c r="B68" s="543" t="inlineStr">
        <is>
          <t>Jenis Barang</t>
        </is>
      </c>
      <c r="C68" s="593" t="n"/>
      <c r="D68" s="543" t="inlineStr">
        <is>
          <t>Model</t>
        </is>
      </c>
      <c r="E68" s="543" t="inlineStr">
        <is>
          <t>Pabrik</t>
        </is>
      </c>
      <c r="F68" s="594" t="n"/>
      <c r="G68" s="594" t="n"/>
      <c r="H68" s="104" t="inlineStr">
        <is>
          <t>Pembuatan</t>
        </is>
      </c>
      <c r="I68" s="104" t="inlineStr">
        <is>
          <t xml:space="preserve">No/. Kode Barang </t>
        </is>
      </c>
      <c r="J68" s="104" t="inlineStr">
        <is>
          <t>Barang</t>
        </is>
      </c>
      <c r="K68" s="104" t="inlineStr">
        <is>
          <t>Beli/</t>
        </is>
      </c>
      <c r="L68" s="104" t="inlineStr">
        <is>
          <t>Baik</t>
        </is>
      </c>
      <c r="M68" s="104" t="inlineStr">
        <is>
          <t>Kurang Baik</t>
        </is>
      </c>
      <c r="N68" s="104" t="inlineStr">
        <is>
          <t>Rusak Berat</t>
        </is>
      </c>
      <c r="O68" s="540" t="inlineStr">
        <is>
          <t>Mutasi dll</t>
        </is>
      </c>
    </row>
    <row r="69">
      <c r="A69" s="595" t="n"/>
      <c r="B69" s="596" t="n"/>
      <c r="C69" s="597" t="n"/>
      <c r="D69" s="595" t="n"/>
      <c r="E69" s="595" t="n"/>
      <c r="F69" s="595" t="n"/>
      <c r="G69" s="595" t="n"/>
      <c r="H69" s="105" t="inlineStr">
        <is>
          <t>Atau Pembelian</t>
        </is>
      </c>
      <c r="I69" s="105" t="n"/>
      <c r="J69" s="105" t="inlineStr">
        <is>
          <t>Register x)</t>
        </is>
      </c>
      <c r="K69" s="105" t="inlineStr">
        <is>
          <t>Perolehan</t>
        </is>
      </c>
      <c r="L69" s="105" t="inlineStr">
        <is>
          <t>(B)</t>
        </is>
      </c>
      <c r="M69" s="105" t="inlineStr">
        <is>
          <t>(KB)</t>
        </is>
      </c>
      <c r="N69" s="105" t="inlineStr">
        <is>
          <t>(RB)</t>
        </is>
      </c>
      <c r="O69" s="595" t="n"/>
    </row>
    <row r="70">
      <c r="A70" s="47" t="n">
        <v>1</v>
      </c>
      <c r="B70" s="47" t="n">
        <v>2</v>
      </c>
      <c r="C70" s="592" t="n"/>
      <c r="D70" s="539" t="n">
        <v>3</v>
      </c>
      <c r="E70" s="539" t="n">
        <v>4</v>
      </c>
      <c r="F70" s="542" t="n">
        <v>5</v>
      </c>
      <c r="G70" s="542" t="n">
        <v>6</v>
      </c>
      <c r="H70" s="104" t="n">
        <v>7</v>
      </c>
      <c r="I70" s="104" t="n">
        <v>8</v>
      </c>
      <c r="J70" s="104" t="n">
        <v>9</v>
      </c>
      <c r="K70" s="104" t="n">
        <v>10</v>
      </c>
      <c r="L70" s="104" t="n">
        <v>11</v>
      </c>
      <c r="M70" s="104" t="n">
        <v>12</v>
      </c>
      <c r="N70" s="104" t="n">
        <v>13</v>
      </c>
      <c r="O70" s="539" t="n">
        <v>14</v>
      </c>
    </row>
    <row r="71" ht="31.5" customHeight="1" s="79">
      <c r="A71" s="9">
        <f>A59+1</f>
        <v/>
      </c>
      <c r="B71" s="563" t="inlineStr">
        <is>
          <t>Kursi Kerja Pejabat Eselon III</t>
        </is>
      </c>
      <c r="C71" s="592" t="n"/>
      <c r="D71" s="40" t="inlineStr">
        <is>
          <t>INDACHI/ 741 CR</t>
        </is>
      </c>
      <c r="E71" s="109" t="n"/>
      <c r="F71" s="109" t="n"/>
      <c r="G71" s="43" t="inlineStr">
        <is>
          <t>Besi Plastik</t>
        </is>
      </c>
      <c r="H71" s="43" t="n">
        <v>2018</v>
      </c>
      <c r="I71" s="43" t="inlineStr">
        <is>
          <t>02.06.04.03.005</t>
        </is>
      </c>
      <c r="J71" s="44" t="inlineStr">
        <is>
          <t>0015</t>
        </is>
      </c>
      <c r="K71" s="63" t="n">
        <v>1969099</v>
      </c>
      <c r="L71" s="43" t="inlineStr">
        <is>
          <t>Baik</t>
        </is>
      </c>
      <c r="M71" s="109" t="n"/>
      <c r="N71" s="109" t="n"/>
      <c r="O71" s="40" t="inlineStr">
        <is>
          <t>Bu Baity</t>
        </is>
      </c>
    </row>
    <row r="72" ht="47.25" customHeight="1" s="79">
      <c r="A72" s="7">
        <f>A71+1</f>
        <v/>
      </c>
      <c r="B72" s="567" t="inlineStr">
        <is>
          <t>Kursi Kerja Pejabat Eselon IV</t>
        </is>
      </c>
      <c r="C72" s="592" t="n"/>
      <c r="D72" s="10" t="inlineStr">
        <is>
          <t>Tiger T98 AH /Esselon IV</t>
        </is>
      </c>
      <c r="E72" s="12" t="n"/>
      <c r="F72" s="12" t="n"/>
      <c r="G72" s="9" t="inlineStr">
        <is>
          <t>Besi Plastik</t>
        </is>
      </c>
      <c r="H72" s="9" t="n">
        <v>2011</v>
      </c>
      <c r="I72" s="9" t="inlineStr">
        <is>
          <t>02.06.04.03.006</t>
        </is>
      </c>
      <c r="J72" s="11" t="inlineStr">
        <is>
          <t>0005</t>
        </is>
      </c>
      <c r="K72" s="20" t="n">
        <v>585000</v>
      </c>
      <c r="L72" s="9" t="inlineStr">
        <is>
          <t>Baik</t>
        </is>
      </c>
      <c r="M72" s="12" t="n"/>
      <c r="N72" s="12" t="n"/>
      <c r="O72" s="32" t="inlineStr">
        <is>
          <t>Bu Hanna</t>
        </is>
      </c>
    </row>
    <row r="73">
      <c r="A73" s="221" t="n"/>
      <c r="B73" s="123" t="n"/>
      <c r="C73" s="123" t="n"/>
      <c r="D73" s="124" t="n"/>
      <c r="E73" s="125" t="n"/>
      <c r="F73" s="125" t="n"/>
      <c r="G73" s="94" t="n"/>
      <c r="H73" s="94" t="n"/>
      <c r="I73" s="94" t="n"/>
      <c r="J73" s="126" t="n"/>
      <c r="K73" s="127" t="n"/>
      <c r="L73" s="94" t="n"/>
      <c r="M73" s="125" t="n"/>
      <c r="N73" s="125" t="n"/>
      <c r="O73" s="125" t="n"/>
    </row>
    <row r="74">
      <c r="C74" s="5" t="inlineStr">
        <is>
          <t>Mengetahui :</t>
        </is>
      </c>
      <c r="L74" s="23" t="inlineStr">
        <is>
          <t>Banjarmasin,        Desember 2025</t>
        </is>
      </c>
    </row>
    <row r="75">
      <c r="C75" s="5" t="n"/>
      <c r="L75" s="5" t="n"/>
    </row>
    <row r="76">
      <c r="C76" s="5" t="inlineStr">
        <is>
          <t>Kepala Bakesbangpol Kota Banjarmasin,</t>
        </is>
      </c>
      <c r="L76" s="5" t="inlineStr">
        <is>
          <t>Pengurus Barang</t>
        </is>
      </c>
    </row>
    <row r="77">
      <c r="C77" s="5" t="n"/>
      <c r="L77" s="5" t="n"/>
    </row>
    <row r="78">
      <c r="C78" s="5" t="n"/>
      <c r="F78" s="88" t="n"/>
      <c r="L78" s="5" t="n"/>
    </row>
    <row r="79">
      <c r="C79" s="5" t="n"/>
      <c r="L79" s="5" t="n"/>
    </row>
    <row r="80">
      <c r="C80" s="6" t="inlineStr">
        <is>
          <t>Dr. H. LUKMAN FADLUN, SH, MH</t>
        </is>
      </c>
      <c r="L80" s="6" t="inlineStr">
        <is>
          <t>TRISNAWATI M ULYO HAPSARI, SE</t>
        </is>
      </c>
    </row>
    <row r="81">
      <c r="C81" s="5" t="inlineStr">
        <is>
          <t>Pembina Utama Muda</t>
        </is>
      </c>
      <c r="L81" s="23">
        <f>'RUANG DEPAN BIDANG KET'!M80</f>
        <v/>
      </c>
    </row>
    <row r="82">
      <c r="C82" s="23" t="inlineStr">
        <is>
          <t>NIP. 19691013 200003 1 004</t>
        </is>
      </c>
    </row>
    <row r="83">
      <c r="K83" s="24" t="n"/>
    </row>
    <row r="84" ht="47.25" customHeight="1" s="79">
      <c r="A84" s="7">
        <f>A48+1</f>
        <v/>
      </c>
      <c r="B84" s="563" t="inlineStr">
        <is>
          <t>Meja Kerja Pejabat Eselon IV</t>
        </is>
      </c>
      <c r="C84" s="592" t="n"/>
      <c r="D84" s="40" t="inlineStr">
        <is>
          <t>SAGA OD 022/ Meja Kerja Staf</t>
        </is>
      </c>
      <c r="E84" s="41" t="n"/>
      <c r="F84" s="41" t="n"/>
      <c r="G84" s="42" t="inlineStr">
        <is>
          <t>Kayu Pertikel</t>
        </is>
      </c>
      <c r="H84" s="43" t="n">
        <v>2011</v>
      </c>
      <c r="I84" s="43" t="inlineStr">
        <is>
          <t>02.06.04.01.006</t>
        </is>
      </c>
      <c r="J84" s="44" t="inlineStr">
        <is>
          <t>0023</t>
        </is>
      </c>
      <c r="K84" s="63" t="n">
        <v>485000</v>
      </c>
      <c r="L84" s="43" t="inlineStr">
        <is>
          <t>Baik</t>
        </is>
      </c>
      <c r="M84" s="41" t="n"/>
      <c r="N84" s="45" t="n"/>
      <c r="O84" s="170" t="n"/>
    </row>
    <row r="85">
      <c r="A85" s="7">
        <f>A58+1</f>
        <v/>
      </c>
      <c r="B85" s="563" t="inlineStr">
        <is>
          <t>Kursi Kerja Pejabat Eselon III</t>
        </is>
      </c>
      <c r="C85" s="592" t="n"/>
      <c r="D85" s="91" t="inlineStr">
        <is>
          <t>- / -</t>
        </is>
      </c>
      <c r="E85" s="41" t="n"/>
      <c r="F85" s="41" t="n"/>
      <c r="G85" s="43" t="inlineStr">
        <is>
          <t>Besi Plastik</t>
        </is>
      </c>
      <c r="H85" s="43" t="n">
        <v>2006</v>
      </c>
      <c r="I85" s="43" t="inlineStr">
        <is>
          <t>02.06.04.03.005</t>
        </is>
      </c>
      <c r="J85" s="44" t="inlineStr">
        <is>
          <t>0005</t>
        </is>
      </c>
      <c r="K85" s="63" t="n">
        <v>1343750</v>
      </c>
      <c r="L85" s="43" t="inlineStr">
        <is>
          <t>Baik</t>
        </is>
      </c>
      <c r="M85" s="41" t="n"/>
      <c r="N85" s="41" t="n"/>
      <c r="O85" s="41" t="n"/>
    </row>
    <row r="86">
      <c r="B86" s="22" t="n"/>
    </row>
  </sheetData>
  <mergeCells count="71">
    <mergeCell ref="B47:C47"/>
    <mergeCell ref="B16:C16"/>
    <mergeCell ref="E39:E40"/>
    <mergeCell ref="B54:C54"/>
    <mergeCell ref="B25:C25"/>
    <mergeCell ref="B72:C72"/>
    <mergeCell ref="B59:C59"/>
    <mergeCell ref="F38:F40"/>
    <mergeCell ref="B68:C69"/>
    <mergeCell ref="B46:C46"/>
    <mergeCell ref="B10:C11"/>
    <mergeCell ref="B22:C22"/>
    <mergeCell ref="B56:C56"/>
    <mergeCell ref="B27:C27"/>
    <mergeCell ref="B71:C71"/>
    <mergeCell ref="E10:E11"/>
    <mergeCell ref="A6:B6"/>
    <mergeCell ref="B18:C18"/>
    <mergeCell ref="B43:C43"/>
    <mergeCell ref="B12:C12"/>
    <mergeCell ref="B58:C58"/>
    <mergeCell ref="L38:N38"/>
    <mergeCell ref="F67:F69"/>
    <mergeCell ref="B52:C52"/>
    <mergeCell ref="B21:C21"/>
    <mergeCell ref="G9:G11"/>
    <mergeCell ref="F9:F11"/>
    <mergeCell ref="B48:C48"/>
    <mergeCell ref="B70:C70"/>
    <mergeCell ref="B67:C67"/>
    <mergeCell ref="B42:C42"/>
    <mergeCell ref="B23:C23"/>
    <mergeCell ref="L9:N9"/>
    <mergeCell ref="B14:C14"/>
    <mergeCell ref="B17:C17"/>
    <mergeCell ref="B57:C57"/>
    <mergeCell ref="A3:B3"/>
    <mergeCell ref="B53:C53"/>
    <mergeCell ref="D68:D69"/>
    <mergeCell ref="B13:C13"/>
    <mergeCell ref="B38:C38"/>
    <mergeCell ref="B44:C44"/>
    <mergeCell ref="G67:G69"/>
    <mergeCell ref="B19:C19"/>
    <mergeCell ref="A5:B5"/>
    <mergeCell ref="G38:G40"/>
    <mergeCell ref="B84:C84"/>
    <mergeCell ref="A10:A11"/>
    <mergeCell ref="B9:C9"/>
    <mergeCell ref="B49:C49"/>
    <mergeCell ref="A68:A69"/>
    <mergeCell ref="A4:B4"/>
    <mergeCell ref="D39:D40"/>
    <mergeCell ref="L67:N67"/>
    <mergeCell ref="B24:C24"/>
    <mergeCell ref="O10:O11"/>
    <mergeCell ref="B55:C55"/>
    <mergeCell ref="B15:C15"/>
    <mergeCell ref="D10:D11"/>
    <mergeCell ref="B51:C51"/>
    <mergeCell ref="B20:C20"/>
    <mergeCell ref="A39:A40"/>
    <mergeCell ref="B45:C45"/>
    <mergeCell ref="B85:C85"/>
    <mergeCell ref="E68:E69"/>
    <mergeCell ref="O39:O40"/>
    <mergeCell ref="B50:C50"/>
    <mergeCell ref="B26:C26"/>
    <mergeCell ref="B41:C41"/>
    <mergeCell ref="O68:O69"/>
    <mergeCell ref="B39:C40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6"/>
  <sheetViews>
    <sheetView view="pageBreakPreview" topLeftCell="A70" zoomScaleNormal="55" workbookViewId="0">
      <selection activeCell="N79" sqref="N79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t="inlineStr">
        <is>
          <t>Badan Kesatuan Bangsa dan Politik Kota Banjarmasin</t>
        </is>
      </c>
      <c r="G5" s="1" t="n"/>
      <c r="H5" s="29" t="n"/>
    </row>
    <row r="6" ht="18.75" customHeight="1" s="79">
      <c r="A6" s="545" t="inlineStr">
        <is>
          <t>Ruangan</t>
        </is>
      </c>
      <c r="C6" s="88" t="inlineStr">
        <is>
          <t>DEPAN BIDANG</t>
        </is>
      </c>
      <c r="G6" s="1" t="n"/>
    </row>
    <row r="7">
      <c r="A7" s="108" t="n"/>
      <c r="B7" s="108" t="n"/>
    </row>
    <row r="8">
      <c r="A8" s="108" t="inlineStr">
        <is>
          <t xml:space="preserve">NO.KODE LOKASI : </t>
        </is>
      </c>
      <c r="B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</row>
    <row r="10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</row>
    <row r="12">
      <c r="A12" s="47" t="n">
        <v>1</v>
      </c>
      <c r="B12" s="47" t="n">
        <v>2</v>
      </c>
      <c r="C12" s="592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</row>
    <row r="13" ht="31.5" customHeight="1" s="79">
      <c r="A13" s="7" t="n">
        <v>1</v>
      </c>
      <c r="B13" s="563" t="inlineStr">
        <is>
          <t>Filling Besi / Metal</t>
        </is>
      </c>
      <c r="C13" s="592" t="n"/>
      <c r="D13" s="40" t="inlineStr">
        <is>
          <t>BROTHER / -</t>
        </is>
      </c>
      <c r="E13" s="41" t="n"/>
      <c r="F13" s="41" t="n"/>
      <c r="G13" s="42" t="inlineStr">
        <is>
          <t>Besi</t>
        </is>
      </c>
      <c r="H13" s="43" t="n">
        <v>2006</v>
      </c>
      <c r="I13" s="43" t="inlineStr">
        <is>
          <t>02.06.01.04.004</t>
        </is>
      </c>
      <c r="J13" s="44" t="inlineStr">
        <is>
          <t>0001</t>
        </is>
      </c>
      <c r="K13" s="63" t="n">
        <v>1220000</v>
      </c>
      <c r="L13" s="43" t="inlineStr">
        <is>
          <t>Baik</t>
        </is>
      </c>
      <c r="M13" s="41" t="n"/>
      <c r="N13" s="41" t="n"/>
      <c r="O13" s="40" t="inlineStr">
        <is>
          <t>Depan Bid Ideologi</t>
        </is>
      </c>
    </row>
    <row r="14" ht="47.25" customHeight="1" s="79">
      <c r="A14" s="7">
        <f>A13+1</f>
        <v/>
      </c>
      <c r="B14" s="563" t="inlineStr">
        <is>
          <t>Filling Besi / Metal</t>
        </is>
      </c>
      <c r="C14" s="592" t="n"/>
      <c r="D14" s="40" t="inlineStr">
        <is>
          <t>BROTHER / -</t>
        </is>
      </c>
      <c r="E14" s="41" t="n"/>
      <c r="F14" s="41" t="n"/>
      <c r="G14" s="42" t="inlineStr">
        <is>
          <t>Besi</t>
        </is>
      </c>
      <c r="H14" s="43" t="n">
        <v>2006</v>
      </c>
      <c r="I14" s="43" t="inlineStr">
        <is>
          <t>02.06.01.04.004</t>
        </is>
      </c>
      <c r="J14" s="44" t="inlineStr">
        <is>
          <t>0006</t>
        </is>
      </c>
      <c r="K14" s="63" t="n">
        <v>1220000</v>
      </c>
      <c r="L14" s="43" t="inlineStr">
        <is>
          <t>Baik</t>
        </is>
      </c>
      <c r="M14" s="41" t="n"/>
      <c r="N14" s="41" t="n"/>
      <c r="O14" s="40" t="inlineStr">
        <is>
          <t>Depan Bid Hansenibud</t>
        </is>
      </c>
    </row>
    <row r="15" ht="31.5" customHeight="1" s="79">
      <c r="A15" s="7">
        <f>A14+1</f>
        <v/>
      </c>
      <c r="B15" s="567" t="inlineStr">
        <is>
          <t>Kursi Besi/Metal</t>
        </is>
      </c>
      <c r="C15" s="592" t="n"/>
      <c r="D15" s="38" t="inlineStr">
        <is>
          <t>- / Warna Cream</t>
        </is>
      </c>
      <c r="E15" s="12" t="n"/>
      <c r="F15" s="12" t="n"/>
      <c r="G15" s="47" t="inlineStr">
        <is>
          <t>Besi</t>
        </is>
      </c>
      <c r="H15" s="9" t="n">
        <v>1997</v>
      </c>
      <c r="I15" s="9" t="inlineStr">
        <is>
          <t>02.06.02.01.005</t>
        </is>
      </c>
      <c r="J15" s="11" t="inlineStr">
        <is>
          <t>0002</t>
        </is>
      </c>
      <c r="K15" s="33" t="inlineStr">
        <is>
          <t>148648.50</t>
        </is>
      </c>
      <c r="L15" s="9" t="inlineStr">
        <is>
          <t>Baik</t>
        </is>
      </c>
      <c r="M15" s="32" t="n"/>
      <c r="N15" s="12" t="n"/>
      <c r="O15" s="32" t="inlineStr">
        <is>
          <t>Ibu Yani</t>
        </is>
      </c>
    </row>
    <row r="16" ht="31.5" customHeight="1" s="79">
      <c r="A16" s="7">
        <f>A15+1</f>
        <v/>
      </c>
      <c r="B16" s="567" t="inlineStr">
        <is>
          <t>Kursi Rapat</t>
        </is>
      </c>
      <c r="C16" s="592" t="n"/>
      <c r="D16" s="26" t="inlineStr">
        <is>
          <t>Chitose / Warna Biru</t>
        </is>
      </c>
      <c r="E16" s="12" t="n"/>
      <c r="F16" s="12" t="n"/>
      <c r="G16" s="30" t="inlineStr">
        <is>
          <t>Besi</t>
        </is>
      </c>
      <c r="H16" s="9" t="n">
        <v>2009</v>
      </c>
      <c r="I16" s="9" t="inlineStr">
        <is>
          <t>02.06.02.01.027</t>
        </is>
      </c>
      <c r="J16" s="11" t="inlineStr">
        <is>
          <t>0001</t>
        </is>
      </c>
      <c r="K16" s="20" t="n">
        <v>350000</v>
      </c>
      <c r="L16" s="9" t="inlineStr">
        <is>
          <t>Baik</t>
        </is>
      </c>
      <c r="M16" s="12" t="n"/>
      <c r="N16" s="4" t="n"/>
      <c r="O16" s="32" t="inlineStr">
        <is>
          <t>Riyan</t>
        </is>
      </c>
    </row>
    <row r="17" ht="31.5" customHeight="1" s="79">
      <c r="A17" s="7">
        <f>A16+1</f>
        <v/>
      </c>
      <c r="B17" s="567" t="inlineStr">
        <is>
          <t>Kursi Rapat</t>
        </is>
      </c>
      <c r="C17" s="592" t="n"/>
      <c r="D17" s="26" t="inlineStr">
        <is>
          <t>Indachi /       D 910</t>
        </is>
      </c>
      <c r="E17" s="12" t="n"/>
      <c r="F17" s="12" t="n"/>
      <c r="G17" s="30" t="inlineStr">
        <is>
          <t>Besi dan Plastik</t>
        </is>
      </c>
      <c r="H17" s="9" t="n">
        <v>2014</v>
      </c>
      <c r="I17" s="9" t="inlineStr">
        <is>
          <t>02.06.02.01.027</t>
        </is>
      </c>
      <c r="J17" s="11" t="inlineStr">
        <is>
          <t>0013</t>
        </is>
      </c>
      <c r="K17" s="20" t="n">
        <v>743915</v>
      </c>
      <c r="L17" s="9" t="inlineStr">
        <is>
          <t>Baik</t>
        </is>
      </c>
      <c r="M17" s="12" t="n"/>
      <c r="N17" s="4" t="n"/>
      <c r="O17" s="32" t="inlineStr">
        <is>
          <t>Arin</t>
        </is>
      </c>
    </row>
    <row r="18" ht="31.5" customHeight="1" s="79">
      <c r="A18" s="7">
        <f>A17+1</f>
        <v/>
      </c>
      <c r="B18" s="567" t="inlineStr">
        <is>
          <t>Kursi Rapat</t>
        </is>
      </c>
      <c r="C18" s="592" t="n"/>
      <c r="D18" s="26" t="inlineStr">
        <is>
          <t>Indachi /       D 910</t>
        </is>
      </c>
      <c r="E18" s="12" t="n"/>
      <c r="F18" s="12" t="n"/>
      <c r="G18" s="30" t="inlineStr">
        <is>
          <t>Besi dan Plastik</t>
        </is>
      </c>
      <c r="H18" s="9" t="n">
        <v>2014</v>
      </c>
      <c r="I18" s="9" t="inlineStr">
        <is>
          <t>02.06.02.01.027</t>
        </is>
      </c>
      <c r="J18" s="11" t="inlineStr">
        <is>
          <t>0014</t>
        </is>
      </c>
      <c r="K18" s="20" t="n">
        <v>743917</v>
      </c>
      <c r="L18" s="9" t="inlineStr">
        <is>
          <t>Baik</t>
        </is>
      </c>
      <c r="M18" s="12" t="n"/>
      <c r="N18" s="4" t="n"/>
      <c r="O18" s="32" t="inlineStr">
        <is>
          <t>Bu Jannah</t>
        </is>
      </c>
    </row>
    <row r="19" ht="47.25" customHeight="1" s="79">
      <c r="A19" s="7">
        <f>A18+1</f>
        <v/>
      </c>
      <c r="B19" s="567" t="inlineStr">
        <is>
          <t>Kursi Putar</t>
        </is>
      </c>
      <c r="C19" s="592" t="n"/>
      <c r="D19" s="26" t="inlineStr">
        <is>
          <t>USHUTO/ Kursi Kerja 6033</t>
        </is>
      </c>
      <c r="E19" s="12" t="n"/>
      <c r="F19" s="12" t="n"/>
      <c r="G19" s="30" t="inlineStr">
        <is>
          <t>Besi Plastik</t>
        </is>
      </c>
      <c r="H19" s="9" t="n">
        <v>2013</v>
      </c>
      <c r="I19" s="9" t="inlineStr">
        <is>
          <t>02.06.02.01.030</t>
        </is>
      </c>
      <c r="J19" s="11" t="inlineStr">
        <is>
          <t>0028</t>
        </is>
      </c>
      <c r="K19" s="20" t="n">
        <v>486971.68</v>
      </c>
      <c r="L19" s="9" t="inlineStr">
        <is>
          <t>Baik</t>
        </is>
      </c>
      <c r="M19" s="12" t="n"/>
      <c r="N19" s="4" t="n"/>
      <c r="O19" s="32" t="inlineStr">
        <is>
          <t>Arief</t>
        </is>
      </c>
    </row>
    <row r="20" ht="31.5" customHeight="1" s="79">
      <c r="A20" s="7">
        <f>A19+1</f>
        <v/>
      </c>
      <c r="B20" s="567" t="inlineStr">
        <is>
          <t>Kursi Putar</t>
        </is>
      </c>
      <c r="C20" s="592" t="n"/>
      <c r="D20" s="26" t="inlineStr">
        <is>
          <t>Indachi /        D 920</t>
        </is>
      </c>
      <c r="E20" s="12" t="n"/>
      <c r="F20" s="12" t="n"/>
      <c r="G20" s="30" t="inlineStr">
        <is>
          <t>Besi Plastik</t>
        </is>
      </c>
      <c r="H20" s="9" t="n">
        <v>2014</v>
      </c>
      <c r="I20" s="9" t="inlineStr">
        <is>
          <t>02.06.02.01.030</t>
        </is>
      </c>
      <c r="J20" s="11" t="inlineStr">
        <is>
          <t>0030</t>
        </is>
      </c>
      <c r="K20" s="20" t="n">
        <v>794180</v>
      </c>
      <c r="L20" s="9" t="inlineStr">
        <is>
          <t>Baik</t>
        </is>
      </c>
      <c r="M20" s="12" t="n"/>
      <c r="N20" s="4" t="n"/>
      <c r="O20" s="32" t="inlineStr">
        <is>
          <t>Olip</t>
        </is>
      </c>
    </row>
    <row r="21" ht="47.25" customHeight="1" s="79">
      <c r="A21" s="7">
        <f>A20+1</f>
        <v/>
      </c>
      <c r="B21" s="567" t="inlineStr">
        <is>
          <t>Kursi Putar</t>
        </is>
      </c>
      <c r="C21" s="592" t="n"/>
      <c r="D21" s="26" t="inlineStr">
        <is>
          <t>Indachi /        D 920</t>
        </is>
      </c>
      <c r="E21" s="12" t="n"/>
      <c r="F21" s="12" t="n"/>
      <c r="G21" s="30" t="inlineStr">
        <is>
          <t>Besi Plastik</t>
        </is>
      </c>
      <c r="H21" s="9" t="n">
        <v>2014</v>
      </c>
      <c r="I21" s="9" t="inlineStr">
        <is>
          <t>02.06.02.01.030</t>
        </is>
      </c>
      <c r="J21" s="11" t="inlineStr">
        <is>
          <t>0042</t>
        </is>
      </c>
      <c r="K21" s="20" t="n">
        <v>794180</v>
      </c>
      <c r="L21" s="9" t="inlineStr">
        <is>
          <t>Baik</t>
        </is>
      </c>
      <c r="M21" s="12" t="n"/>
      <c r="N21" s="4" t="n"/>
      <c r="O21" s="26" t="inlineStr">
        <is>
          <t>No Name Depan Wasnas</t>
        </is>
      </c>
    </row>
    <row r="22" ht="31.5" customHeight="1" s="79">
      <c r="A22" s="7">
        <f>A21+1</f>
        <v/>
      </c>
      <c r="B22" s="567" t="inlineStr">
        <is>
          <t>Kursi Putar</t>
        </is>
      </c>
      <c r="C22" s="592" t="n"/>
      <c r="D22" s="26" t="inlineStr">
        <is>
          <t>Indachi /        D 920</t>
        </is>
      </c>
      <c r="E22" s="12" t="n"/>
      <c r="F22" s="12" t="n"/>
      <c r="G22" s="30" t="inlineStr">
        <is>
          <t>Besi Plastik</t>
        </is>
      </c>
      <c r="H22" s="9" t="n">
        <v>2014</v>
      </c>
      <c r="I22" s="9" t="inlineStr">
        <is>
          <t>02.06.02.01.030</t>
        </is>
      </c>
      <c r="J22" s="11" t="inlineStr">
        <is>
          <t>0046</t>
        </is>
      </c>
      <c r="K22" s="20" t="n">
        <v>794180</v>
      </c>
      <c r="L22" s="9" t="inlineStr">
        <is>
          <t>Baik</t>
        </is>
      </c>
      <c r="M22" s="12" t="n"/>
      <c r="N22" s="4" t="n"/>
      <c r="O22" s="32" t="inlineStr">
        <is>
          <t>Adit</t>
        </is>
      </c>
    </row>
    <row r="23">
      <c r="A23" s="7">
        <f>A22+1</f>
        <v/>
      </c>
      <c r="B23" s="567" t="inlineStr">
        <is>
          <t>Kursi Lipat</t>
        </is>
      </c>
      <c r="C23" s="592" t="n"/>
      <c r="D23" s="10" t="inlineStr">
        <is>
          <t>MATRIX / -</t>
        </is>
      </c>
      <c r="E23" s="12" t="n"/>
      <c r="F23" s="12" t="n"/>
      <c r="G23" s="9" t="n"/>
      <c r="H23" s="9" t="n">
        <v>2018</v>
      </c>
      <c r="I23" s="9" t="inlineStr">
        <is>
          <t>02.06.02.01.034</t>
        </is>
      </c>
      <c r="J23" s="11" t="inlineStr">
        <is>
          <t>0004</t>
        </is>
      </c>
      <c r="K23" s="20" t="n">
        <v>333232</v>
      </c>
      <c r="L23" s="9" t="inlineStr">
        <is>
          <t>Baik</t>
        </is>
      </c>
      <c r="M23" s="12" t="n"/>
      <c r="N23" s="12" t="n"/>
      <c r="O23" s="32" t="inlineStr">
        <is>
          <t>Rini</t>
        </is>
      </c>
    </row>
    <row r="24">
      <c r="A24" s="7">
        <f>A23+1</f>
        <v/>
      </c>
      <c r="B24" s="567" t="inlineStr">
        <is>
          <t>Kursi Lipat</t>
        </is>
      </c>
      <c r="C24" s="592" t="n"/>
      <c r="D24" s="10" t="inlineStr">
        <is>
          <t>MATRIX / -</t>
        </is>
      </c>
      <c r="E24" s="12" t="n"/>
      <c r="F24" s="12" t="n"/>
      <c r="G24" s="9" t="n"/>
      <c r="H24" s="9" t="n">
        <v>2018</v>
      </c>
      <c r="I24" s="9" t="inlineStr">
        <is>
          <t>02.06.02.01.034</t>
        </is>
      </c>
      <c r="J24" s="11" t="inlineStr">
        <is>
          <t>0006</t>
        </is>
      </c>
      <c r="K24" s="20" t="n">
        <v>333232</v>
      </c>
      <c r="L24" s="9" t="inlineStr">
        <is>
          <t>Baik</t>
        </is>
      </c>
      <c r="M24" s="12" t="n"/>
      <c r="N24" s="12" t="n"/>
      <c r="O24" s="32" t="inlineStr">
        <is>
          <t>Lutfi</t>
        </is>
      </c>
    </row>
    <row r="25">
      <c r="A25" s="7">
        <f>A24+1</f>
        <v/>
      </c>
      <c r="B25" s="567" t="inlineStr">
        <is>
          <t>Kursi Lipat</t>
        </is>
      </c>
      <c r="C25" s="592" t="n"/>
      <c r="D25" s="10" t="inlineStr">
        <is>
          <t>MATRIX / -</t>
        </is>
      </c>
      <c r="E25" s="12" t="n"/>
      <c r="F25" s="12" t="n"/>
      <c r="G25" s="9" t="n"/>
      <c r="H25" s="9" t="n">
        <v>2018</v>
      </c>
      <c r="I25" s="9" t="inlineStr">
        <is>
          <t>02.06.02.01.034</t>
        </is>
      </c>
      <c r="J25" s="11" t="inlineStr">
        <is>
          <t>0009</t>
        </is>
      </c>
      <c r="K25" s="20" t="n">
        <v>333232</v>
      </c>
      <c r="L25" s="9" t="inlineStr">
        <is>
          <t>Baik</t>
        </is>
      </c>
      <c r="M25" s="12" t="n"/>
      <c r="N25" s="12" t="n"/>
      <c r="O25" s="32" t="inlineStr">
        <is>
          <t>Ibu Sanah</t>
        </is>
      </c>
    </row>
    <row r="26" ht="78.75" customHeight="1" s="79">
      <c r="A26" s="7">
        <f>A25+1</f>
        <v/>
      </c>
      <c r="B26" s="563" t="inlineStr">
        <is>
          <t>PC Unit</t>
        </is>
      </c>
      <c r="C26" s="592" t="n"/>
      <c r="D26" s="40" t="inlineStr">
        <is>
          <t>Intel - Casing ATX-LG/MB MSI G41M-P28- LG wide 16</t>
        </is>
      </c>
      <c r="E26" s="41" t="n"/>
      <c r="F26" s="41" t="n"/>
      <c r="G26" s="42" t="inlineStr">
        <is>
          <t>Besi Plastik</t>
        </is>
      </c>
      <c r="H26" s="42" t="inlineStr">
        <is>
          <t>2012                     6 inci</t>
        </is>
      </c>
      <c r="I26" s="43" t="inlineStr">
        <is>
          <t>02.06.03.02.001</t>
        </is>
      </c>
      <c r="J26" s="44" t="inlineStr">
        <is>
          <t>0010</t>
        </is>
      </c>
      <c r="K26" s="63" t="n">
        <v>3980000</v>
      </c>
      <c r="L26" s="43" t="inlineStr">
        <is>
          <t>Baik</t>
        </is>
      </c>
      <c r="M26" s="41" t="n"/>
      <c r="N26" s="45" t="n"/>
      <c r="O26" s="109" t="inlineStr">
        <is>
          <t>Ibu Jannah</t>
        </is>
      </c>
    </row>
    <row r="27" ht="110.25" customHeight="1" s="79">
      <c r="A27" s="7">
        <f>A26+1</f>
        <v/>
      </c>
      <c r="B27" s="567" t="inlineStr">
        <is>
          <t>PC Unit</t>
        </is>
      </c>
      <c r="C27" s="592" t="n"/>
      <c r="D27" s="26" t="inlineStr">
        <is>
          <t>Intel - Casing DE Case-LG / Pentium ® G 2020Asrock HGI-LG LED 16</t>
        </is>
      </c>
      <c r="E27" s="32" t="n"/>
      <c r="F27" s="32" t="n"/>
      <c r="G27" s="30" t="inlineStr">
        <is>
          <t>Besi Plastik</t>
        </is>
      </c>
      <c r="H27" s="9" t="n">
        <v>2013</v>
      </c>
      <c r="I27" s="9" t="inlineStr">
        <is>
          <t>02.06.03.02.001</t>
        </is>
      </c>
      <c r="J27" s="11" t="inlineStr">
        <is>
          <t>0012</t>
        </is>
      </c>
      <c r="K27" s="20" t="n">
        <v>3922641.51</v>
      </c>
      <c r="L27" s="9" t="inlineStr">
        <is>
          <t>Baik</t>
        </is>
      </c>
      <c r="M27" s="32" t="n"/>
      <c r="N27" s="32" t="n"/>
      <c r="O27" s="32" t="inlineStr">
        <is>
          <t>Inu Yani</t>
        </is>
      </c>
    </row>
    <row r="38">
      <c r="A38" s="538" t="inlineStr">
        <is>
          <t>No.</t>
        </is>
      </c>
      <c r="B38" s="538" t="inlineStr">
        <is>
          <t>Nama Barang</t>
        </is>
      </c>
      <c r="C38" s="589" t="n"/>
      <c r="D38" s="538" t="inlineStr">
        <is>
          <t>Merk/</t>
        </is>
      </c>
      <c r="E38" s="538" t="inlineStr">
        <is>
          <t>No. Seri</t>
        </is>
      </c>
      <c r="F38" s="655" t="inlineStr">
        <is>
          <t>Ukuran</t>
        </is>
      </c>
      <c r="G38" s="655" t="inlineStr">
        <is>
          <t>Bahan</t>
        </is>
      </c>
      <c r="H38" s="538" t="inlineStr">
        <is>
          <t xml:space="preserve">Tahun </t>
        </is>
      </c>
      <c r="I38" s="538" t="n"/>
      <c r="J38" s="538" t="inlineStr">
        <is>
          <t xml:space="preserve">Jumlah </t>
        </is>
      </c>
      <c r="K38" s="538" t="inlineStr">
        <is>
          <t xml:space="preserve">Harga </t>
        </is>
      </c>
      <c r="L38" s="544" t="inlineStr">
        <is>
          <t xml:space="preserve">Keadaan Barang </t>
        </is>
      </c>
      <c r="M38" s="591" t="n"/>
      <c r="N38" s="592" t="n"/>
      <c r="O38" s="538" t="inlineStr">
        <is>
          <t>Keterangan</t>
        </is>
      </c>
    </row>
    <row r="39">
      <c r="A39" s="543" t="inlineStr">
        <is>
          <t>Urut</t>
        </is>
      </c>
      <c r="B39" s="543" t="inlineStr">
        <is>
          <t>Jenis Barang</t>
        </is>
      </c>
      <c r="C39" s="593" t="n"/>
      <c r="D39" s="543" t="inlineStr">
        <is>
          <t>Model</t>
        </is>
      </c>
      <c r="E39" s="543" t="inlineStr">
        <is>
          <t>Pabrik</t>
        </is>
      </c>
      <c r="F39" s="594" t="n"/>
      <c r="G39" s="594" t="n"/>
      <c r="H39" s="104" t="inlineStr">
        <is>
          <t>Pembuatan</t>
        </is>
      </c>
      <c r="I39" s="104" t="inlineStr">
        <is>
          <t xml:space="preserve">No/. Kode Barang </t>
        </is>
      </c>
      <c r="J39" s="104" t="inlineStr">
        <is>
          <t>Barang</t>
        </is>
      </c>
      <c r="K39" s="104" t="inlineStr">
        <is>
          <t>Beli/</t>
        </is>
      </c>
      <c r="L39" s="104" t="inlineStr">
        <is>
          <t>Baik</t>
        </is>
      </c>
      <c r="M39" s="104" t="inlineStr">
        <is>
          <t>Kurang Baik</t>
        </is>
      </c>
      <c r="N39" s="104" t="inlineStr">
        <is>
          <t>Rusak Berat</t>
        </is>
      </c>
      <c r="O39" s="540" t="inlineStr">
        <is>
          <t>Mutasi dll</t>
        </is>
      </c>
    </row>
    <row r="40">
      <c r="A40" s="595" t="n"/>
      <c r="B40" s="596" t="n"/>
      <c r="C40" s="597" t="n"/>
      <c r="D40" s="595" t="n"/>
      <c r="E40" s="595" t="n"/>
      <c r="F40" s="595" t="n"/>
      <c r="G40" s="595" t="n"/>
      <c r="H40" s="105" t="inlineStr">
        <is>
          <t>Atau Pembelian</t>
        </is>
      </c>
      <c r="I40" s="105" t="n"/>
      <c r="J40" s="105" t="inlineStr">
        <is>
          <t>Register x)</t>
        </is>
      </c>
      <c r="K40" s="105" t="inlineStr">
        <is>
          <t>Perolehan</t>
        </is>
      </c>
      <c r="L40" s="105" t="inlineStr">
        <is>
          <t>(B)</t>
        </is>
      </c>
      <c r="M40" s="105" t="inlineStr">
        <is>
          <t>(KB)</t>
        </is>
      </c>
      <c r="N40" s="105" t="inlineStr">
        <is>
          <t>(RB)</t>
        </is>
      </c>
      <c r="O40" s="595" t="n"/>
    </row>
    <row r="41">
      <c r="A41" s="47" t="n">
        <v>1</v>
      </c>
      <c r="B41" s="47" t="n">
        <v>2</v>
      </c>
      <c r="C41" s="592" t="n"/>
      <c r="D41" s="539" t="n">
        <v>3</v>
      </c>
      <c r="E41" s="539" t="n">
        <v>4</v>
      </c>
      <c r="F41" s="542" t="n">
        <v>5</v>
      </c>
      <c r="G41" s="542" t="n">
        <v>6</v>
      </c>
      <c r="H41" s="104" t="n">
        <v>7</v>
      </c>
      <c r="I41" s="104" t="n">
        <v>8</v>
      </c>
      <c r="J41" s="104" t="n">
        <v>9</v>
      </c>
      <c r="K41" s="104" t="n">
        <v>10</v>
      </c>
      <c r="L41" s="104" t="n">
        <v>11</v>
      </c>
      <c r="M41" s="104" t="n">
        <v>12</v>
      </c>
      <c r="N41" s="104" t="n">
        <v>13</v>
      </c>
      <c r="O41" s="539" t="n">
        <v>14</v>
      </c>
    </row>
    <row r="42" ht="31.5" customHeight="1" s="79">
      <c r="A42" s="7">
        <f>A27+1</f>
        <v/>
      </c>
      <c r="B42" s="563" t="inlineStr">
        <is>
          <t>PC Unit</t>
        </is>
      </c>
      <c r="C42" s="592" t="n"/>
      <c r="D42" s="40" t="inlineStr">
        <is>
          <t>Lenovo / C260</t>
        </is>
      </c>
      <c r="E42" s="41" t="n"/>
      <c r="F42" s="41" t="n"/>
      <c r="G42" s="42" t="inlineStr">
        <is>
          <t>Besi Plastik</t>
        </is>
      </c>
      <c r="H42" s="42" t="n">
        <v>2015</v>
      </c>
      <c r="I42" s="43" t="inlineStr">
        <is>
          <t>02.06.03.02.001</t>
        </is>
      </c>
      <c r="J42" s="44" t="inlineStr">
        <is>
          <t>0014</t>
        </is>
      </c>
      <c r="K42" s="63" t="n">
        <v>6026316</v>
      </c>
      <c r="L42" s="43" t="inlineStr">
        <is>
          <t>Baik</t>
        </is>
      </c>
      <c r="M42" s="41" t="n"/>
      <c r="N42" s="41" t="n"/>
      <c r="O42" s="109" t="inlineStr">
        <is>
          <t>Olip</t>
        </is>
      </c>
    </row>
    <row r="43" ht="31.5" customHeight="1" s="79">
      <c r="A43" s="7">
        <f>A42+1</f>
        <v/>
      </c>
      <c r="B43" s="563" t="inlineStr">
        <is>
          <t>Printer</t>
        </is>
      </c>
      <c r="C43" s="592" t="n"/>
      <c r="D43" s="48" t="inlineStr">
        <is>
          <t>EPSON /        L 360</t>
        </is>
      </c>
      <c r="E43" s="41" t="n"/>
      <c r="F43" s="41" t="n"/>
      <c r="G43" s="43" t="inlineStr">
        <is>
          <t>Besi Plastik</t>
        </is>
      </c>
      <c r="H43" s="43" t="n">
        <v>2016</v>
      </c>
      <c r="I43" s="43" t="inlineStr">
        <is>
          <t>02.06.03.05.003</t>
        </is>
      </c>
      <c r="J43" s="44" t="inlineStr">
        <is>
          <t>0020</t>
        </is>
      </c>
      <c r="K43" s="63" t="n">
        <v>3142612</v>
      </c>
      <c r="L43" s="43" t="inlineStr">
        <is>
          <t>Baik</t>
        </is>
      </c>
      <c r="M43" s="41" t="n"/>
      <c r="N43" s="41" t="n"/>
      <c r="O43" s="109" t="inlineStr">
        <is>
          <t>bu Jannah</t>
        </is>
      </c>
    </row>
    <row r="44" ht="31.5" customHeight="1" s="79">
      <c r="A44" s="9">
        <f>A43+1</f>
        <v/>
      </c>
      <c r="B44" s="563" t="inlineStr">
        <is>
          <t>Printer</t>
        </is>
      </c>
      <c r="C44" s="592" t="n"/>
      <c r="D44" s="48" t="inlineStr">
        <is>
          <t>EPSON /        L 360</t>
        </is>
      </c>
      <c r="E44" s="41" t="n"/>
      <c r="F44" s="41" t="n"/>
      <c r="G44" s="43" t="inlineStr">
        <is>
          <t>Besi Plastik</t>
        </is>
      </c>
      <c r="H44" s="43" t="n">
        <v>2016</v>
      </c>
      <c r="I44" s="43" t="inlineStr">
        <is>
          <t>02.06.03.05.003</t>
        </is>
      </c>
      <c r="J44" s="44" t="inlineStr">
        <is>
          <t>0022</t>
        </is>
      </c>
      <c r="K44" s="63" t="n">
        <v>3142612</v>
      </c>
      <c r="L44" s="43" t="inlineStr">
        <is>
          <t>Baik</t>
        </is>
      </c>
      <c r="M44" s="41" t="n"/>
      <c r="N44" s="41" t="n"/>
      <c r="O44" s="109" t="inlineStr">
        <is>
          <t>Olip</t>
        </is>
      </c>
    </row>
    <row r="45" ht="31.5" customHeight="1" s="79">
      <c r="A45" s="7">
        <f>A44+1</f>
        <v/>
      </c>
      <c r="B45" s="563" t="inlineStr">
        <is>
          <t>Printer</t>
        </is>
      </c>
      <c r="C45" s="592" t="n"/>
      <c r="D45" s="48" t="inlineStr">
        <is>
          <t>EPSON /L120</t>
        </is>
      </c>
      <c r="E45" s="41" t="n"/>
      <c r="F45" s="41" t="n"/>
      <c r="G45" s="43" t="inlineStr">
        <is>
          <t>Besi Plastik</t>
        </is>
      </c>
      <c r="H45" s="43" t="n">
        <v>2017</v>
      </c>
      <c r="I45" s="43" t="inlineStr">
        <is>
          <t>02.06.03.05.003</t>
        </is>
      </c>
      <c r="J45" s="44" t="inlineStr">
        <is>
          <t>0027</t>
        </is>
      </c>
      <c r="K45" s="63" t="n">
        <v>2173757</v>
      </c>
      <c r="L45" s="43" t="inlineStr">
        <is>
          <t>Baik</t>
        </is>
      </c>
      <c r="M45" s="41" t="n"/>
      <c r="N45" s="41" t="n"/>
      <c r="O45" s="109" t="inlineStr">
        <is>
          <t>Adir</t>
        </is>
      </c>
    </row>
    <row r="46" ht="31.5" customHeight="1" s="79">
      <c r="A46" s="7">
        <f>A45+1</f>
        <v/>
      </c>
      <c r="B46" s="563" t="inlineStr">
        <is>
          <t>Printer</t>
        </is>
      </c>
      <c r="C46" s="592" t="n"/>
      <c r="D46" s="48" t="inlineStr">
        <is>
          <t>EPSON /L3110</t>
        </is>
      </c>
      <c r="E46" s="41" t="n"/>
      <c r="F46" s="41" t="n"/>
      <c r="G46" s="43" t="inlineStr">
        <is>
          <t>Campuran</t>
        </is>
      </c>
      <c r="H46" s="43" t="n">
        <v>2020</v>
      </c>
      <c r="I46" s="43" t="inlineStr">
        <is>
          <t>02.06.03.05.003</t>
        </is>
      </c>
      <c r="J46" s="44" t="inlineStr">
        <is>
          <t>0034</t>
        </is>
      </c>
      <c r="K46" s="63">
        <f>5516570/2</f>
        <v/>
      </c>
      <c r="L46" s="43" t="inlineStr">
        <is>
          <t>Baik</t>
        </is>
      </c>
      <c r="M46" s="41" t="n"/>
      <c r="N46" s="41" t="n"/>
      <c r="O46" s="109" t="inlineStr">
        <is>
          <t>Aan</t>
        </is>
      </c>
    </row>
    <row r="47" ht="31.5" customHeight="1" s="79">
      <c r="A47" s="7">
        <f>A46+1</f>
        <v/>
      </c>
      <c r="B47" s="563" t="inlineStr">
        <is>
          <t>Meja Kerja Pejabat Eselon IV</t>
        </is>
      </c>
      <c r="C47" s="592" t="n"/>
      <c r="D47" s="40" t="inlineStr">
        <is>
          <t>Blue Shark/ Meja Kerja</t>
        </is>
      </c>
      <c r="E47" s="41" t="n"/>
      <c r="F47" s="41" t="n"/>
      <c r="G47" s="42" t="inlineStr">
        <is>
          <t>Kayu Pertikel</t>
        </is>
      </c>
      <c r="H47" s="43" t="n">
        <v>2008</v>
      </c>
      <c r="I47" s="43" t="inlineStr">
        <is>
          <t>02.06.04.01.006</t>
        </is>
      </c>
      <c r="J47" s="44" t="inlineStr">
        <is>
          <t>0002</t>
        </is>
      </c>
      <c r="K47" s="63" t="n">
        <v>372666.67</v>
      </c>
      <c r="L47" s="43" t="inlineStr">
        <is>
          <t>Baik</t>
        </is>
      </c>
      <c r="M47" s="41" t="n"/>
      <c r="N47" s="45" t="n"/>
      <c r="O47" s="109" t="inlineStr">
        <is>
          <t>Lutfi</t>
        </is>
      </c>
    </row>
    <row r="48" ht="47.25" customHeight="1" s="79">
      <c r="A48" s="7">
        <f>A47+1</f>
        <v/>
      </c>
      <c r="B48" s="563" t="inlineStr">
        <is>
          <t>Meja Kerja Pejabat Eselon IV</t>
        </is>
      </c>
      <c r="C48" s="592" t="n"/>
      <c r="D48" s="40" t="inlineStr">
        <is>
          <t>SAGA OD 022/ Meja Kerja Staf</t>
        </is>
      </c>
      <c r="E48" s="41" t="n"/>
      <c r="F48" s="41" t="n"/>
      <c r="G48" s="42" t="inlineStr">
        <is>
          <t>Kayu Pertikel</t>
        </is>
      </c>
      <c r="H48" s="43" t="n">
        <v>2011</v>
      </c>
      <c r="I48" s="43" t="inlineStr">
        <is>
          <t>02.06.04.01.006</t>
        </is>
      </c>
      <c r="J48" s="44" t="inlineStr">
        <is>
          <t>0022</t>
        </is>
      </c>
      <c r="K48" s="63" t="n">
        <v>485000</v>
      </c>
      <c r="L48" s="43" t="inlineStr">
        <is>
          <t>Baik</t>
        </is>
      </c>
      <c r="M48" s="41" t="n"/>
      <c r="N48" s="45" t="n"/>
      <c r="O48" s="109" t="inlineStr">
        <is>
          <t>Ibu Sanah</t>
        </is>
      </c>
    </row>
    <row r="49" ht="47.25" customHeight="1" s="79">
      <c r="A49" s="7">
        <f>A48+1</f>
        <v/>
      </c>
      <c r="B49" s="563" t="inlineStr">
        <is>
          <t>Meja Kerja Pejabat Eselon IV</t>
        </is>
      </c>
      <c r="C49" s="592" t="n"/>
      <c r="D49" s="40" t="inlineStr">
        <is>
          <t>Solid MTS-2805/ Meja Kerja Staf</t>
        </is>
      </c>
      <c r="E49" s="41" t="n"/>
      <c r="F49" s="41" t="n"/>
      <c r="G49" s="42" t="inlineStr">
        <is>
          <t>Kayu Pertikel</t>
        </is>
      </c>
      <c r="H49" s="43" t="n">
        <v>2010</v>
      </c>
      <c r="I49" s="43" t="inlineStr">
        <is>
          <t>02.06.04.01.006</t>
        </is>
      </c>
      <c r="J49" s="44" t="inlineStr">
        <is>
          <t>0025</t>
        </is>
      </c>
      <c r="K49" s="63" t="n">
        <v>485000</v>
      </c>
      <c r="L49" s="43" t="inlineStr">
        <is>
          <t>Baik</t>
        </is>
      </c>
      <c r="M49" s="41" t="n"/>
      <c r="N49" s="45" t="n"/>
      <c r="O49" s="109" t="inlineStr">
        <is>
          <t>Arief</t>
        </is>
      </c>
    </row>
    <row r="50" ht="47.25" customHeight="1" s="79">
      <c r="A50" s="7">
        <f>A49+1</f>
        <v/>
      </c>
      <c r="B50" s="563" t="inlineStr">
        <is>
          <t>Meja Kerja Pejabat Eselon IV</t>
        </is>
      </c>
      <c r="C50" s="592" t="n"/>
      <c r="D50" s="40" t="inlineStr">
        <is>
          <t>General/ Meja Kerja Staf</t>
        </is>
      </c>
      <c r="E50" s="41" t="n"/>
      <c r="F50" s="41" t="n"/>
      <c r="G50" s="42" t="inlineStr">
        <is>
          <t>Kayu Pertikel</t>
        </is>
      </c>
      <c r="H50" s="43" t="n">
        <v>2010</v>
      </c>
      <c r="I50" s="43" t="inlineStr">
        <is>
          <t>02.06.04.01.006</t>
        </is>
      </c>
      <c r="J50" s="44" t="inlineStr">
        <is>
          <t>0031</t>
        </is>
      </c>
      <c r="K50" s="63" t="n">
        <v>275000</v>
      </c>
      <c r="L50" s="43" t="inlineStr">
        <is>
          <t>Baik</t>
        </is>
      </c>
      <c r="M50" s="41" t="n"/>
      <c r="N50" s="45" t="n"/>
      <c r="O50" s="109" t="inlineStr">
        <is>
          <t>Arin</t>
        </is>
      </c>
    </row>
    <row r="51" ht="62.25" customHeight="1" s="79">
      <c r="A51" s="7">
        <f>A50+1</f>
        <v/>
      </c>
      <c r="B51" s="563" t="inlineStr">
        <is>
          <t>Meja Kerja Pejabat Eselon IV</t>
        </is>
      </c>
      <c r="C51" s="592" t="n"/>
      <c r="D51" s="40" t="inlineStr">
        <is>
          <t>ZETTA MT201/ Meja Kerja Staf</t>
        </is>
      </c>
      <c r="E51" s="41" t="n"/>
      <c r="F51" s="41" t="n"/>
      <c r="G51" s="42" t="inlineStr">
        <is>
          <t>Kayu Pertikel</t>
        </is>
      </c>
      <c r="H51" s="43" t="n">
        <v>2016</v>
      </c>
      <c r="I51" s="43" t="inlineStr">
        <is>
          <t>02.06.04.01.006</t>
        </is>
      </c>
      <c r="J51" s="44" t="inlineStr">
        <is>
          <t>0032</t>
        </is>
      </c>
      <c r="K51" s="63" t="n">
        <v>2282609</v>
      </c>
      <c r="L51" s="43" t="inlineStr">
        <is>
          <t>Baik</t>
        </is>
      </c>
      <c r="M51" s="41" t="n"/>
      <c r="N51" s="45" t="n"/>
      <c r="O51" s="109" t="inlineStr">
        <is>
          <t>Riyan</t>
        </is>
      </c>
    </row>
    <row r="52" ht="62.25" customHeight="1" s="79">
      <c r="A52" s="7">
        <f>A51+1</f>
        <v/>
      </c>
      <c r="B52" s="563" t="inlineStr">
        <is>
          <t>Meja Kerja Pejabat Eselon IV</t>
        </is>
      </c>
      <c r="C52" s="592" t="n"/>
      <c r="D52" s="40" t="inlineStr">
        <is>
          <t>ZETTA MT201/ Meja Kerja Staf</t>
        </is>
      </c>
      <c r="E52" s="41" t="n"/>
      <c r="F52" s="41" t="n"/>
      <c r="G52" s="42" t="inlineStr">
        <is>
          <t>Kayu Pertikel</t>
        </is>
      </c>
      <c r="H52" s="43" t="n">
        <v>2016</v>
      </c>
      <c r="I52" s="43" t="inlineStr">
        <is>
          <t>02.06.04.01.006</t>
        </is>
      </c>
      <c r="J52" s="44" t="inlineStr">
        <is>
          <t>0033</t>
        </is>
      </c>
      <c r="K52" s="63" t="n">
        <v>2282609</v>
      </c>
      <c r="L52" s="43" t="inlineStr">
        <is>
          <t>Baik</t>
        </is>
      </c>
      <c r="M52" s="41" t="n"/>
      <c r="N52" s="45" t="n"/>
      <c r="O52" s="109" t="inlineStr">
        <is>
          <t>Baitie</t>
        </is>
      </c>
    </row>
    <row r="53" ht="62.25" customHeight="1" s="79">
      <c r="A53" s="7">
        <f>A52+1</f>
        <v/>
      </c>
      <c r="B53" s="563" t="inlineStr">
        <is>
          <t>Meja Kerja Pejabat Eselon IV</t>
        </is>
      </c>
      <c r="C53" s="592" t="n"/>
      <c r="D53" s="40" t="inlineStr">
        <is>
          <t>ZETTA MT201/ Meja Kerja Staf</t>
        </is>
      </c>
      <c r="E53" s="41" t="n"/>
      <c r="F53" s="41" t="n"/>
      <c r="G53" s="42" t="inlineStr">
        <is>
          <t>Kayu Pertikel</t>
        </is>
      </c>
      <c r="H53" s="43" t="n">
        <v>2017</v>
      </c>
      <c r="I53" s="43" t="inlineStr">
        <is>
          <t>02.06.04.01.006</t>
        </is>
      </c>
      <c r="J53" s="44" t="inlineStr">
        <is>
          <t>0034</t>
        </is>
      </c>
      <c r="K53" s="63" t="n">
        <v>2284351</v>
      </c>
      <c r="L53" s="43" t="inlineStr">
        <is>
          <t>Baik</t>
        </is>
      </c>
      <c r="M53" s="41" t="n"/>
      <c r="N53" s="45" t="n"/>
      <c r="O53" s="109" t="inlineStr">
        <is>
          <t>Rini</t>
        </is>
      </c>
    </row>
    <row r="54" ht="62.25" customHeight="1" s="79">
      <c r="A54" s="7">
        <f>A53+1</f>
        <v/>
      </c>
      <c r="B54" s="563" t="inlineStr">
        <is>
          <t>Meja Kerja Pejabat Eselon IV</t>
        </is>
      </c>
      <c r="C54" s="592" t="n"/>
      <c r="D54" s="40" t="inlineStr">
        <is>
          <t>SAGA MTB 120/ Meja Kerja Staf</t>
        </is>
      </c>
      <c r="E54" s="41" t="n"/>
      <c r="F54" s="41" t="n"/>
      <c r="G54" s="42" t="n"/>
      <c r="H54" s="43" t="n">
        <v>2017</v>
      </c>
      <c r="I54" s="43" t="inlineStr">
        <is>
          <t>02.06.04.01.006</t>
        </is>
      </c>
      <c r="J54" s="44" t="inlineStr">
        <is>
          <t>0035</t>
        </is>
      </c>
      <c r="K54" s="63" t="n">
        <v>1116794</v>
      </c>
      <c r="L54" s="43" t="inlineStr">
        <is>
          <t>Baik</t>
        </is>
      </c>
      <c r="M54" s="41" t="n"/>
      <c r="N54" s="45" t="n"/>
      <c r="O54" s="109" t="inlineStr">
        <is>
          <t>Olip</t>
        </is>
      </c>
    </row>
    <row r="55" ht="48.75" customHeight="1" s="79">
      <c r="A55" s="7">
        <f>A54+1</f>
        <v/>
      </c>
      <c r="B55" s="563" t="inlineStr">
        <is>
          <t>Meja Kerja Pejabat Eselon IV</t>
        </is>
      </c>
      <c r="C55" s="592" t="n"/>
      <c r="D55" s="40" t="inlineStr">
        <is>
          <t>SAGA MTB 120/ Meja Kerja Staf</t>
        </is>
      </c>
      <c r="E55" s="41" t="n"/>
      <c r="F55" s="41" t="n"/>
      <c r="G55" s="42" t="n"/>
      <c r="H55" s="43" t="n">
        <v>2017</v>
      </c>
      <c r="I55" s="43" t="inlineStr">
        <is>
          <t>02.06.04.01.006</t>
        </is>
      </c>
      <c r="J55" s="44" t="inlineStr">
        <is>
          <t>0036</t>
        </is>
      </c>
      <c r="K55" s="63" t="n">
        <v>1116794</v>
      </c>
      <c r="L55" s="43" t="inlineStr">
        <is>
          <t>Baik</t>
        </is>
      </c>
      <c r="M55" s="41" t="n"/>
      <c r="N55" s="45" t="n"/>
      <c r="O55" s="109" t="inlineStr">
        <is>
          <t>Bu Yani</t>
        </is>
      </c>
    </row>
    <row r="56" ht="32.25" customHeight="1" s="79">
      <c r="A56" s="7">
        <f>A55+1</f>
        <v/>
      </c>
      <c r="B56" s="563" t="inlineStr">
        <is>
          <t>Meja Kerja Pejabat Eselon IV</t>
        </is>
      </c>
      <c r="C56" s="592" t="n"/>
      <c r="D56" s="40" t="inlineStr">
        <is>
          <t>ZETTA /MT201</t>
        </is>
      </c>
      <c r="E56" s="41" t="n"/>
      <c r="F56" s="41" t="n"/>
      <c r="G56" s="42" t="n"/>
      <c r="H56" s="43" t="n">
        <v>2018</v>
      </c>
      <c r="I56" s="43" t="inlineStr">
        <is>
          <t>02.06.04.01.006</t>
        </is>
      </c>
      <c r="J56" s="44" t="inlineStr">
        <is>
          <t>0037</t>
        </is>
      </c>
      <c r="K56" s="63" t="n">
        <v>2019589</v>
      </c>
      <c r="L56" s="43" t="inlineStr">
        <is>
          <t>Baik</t>
        </is>
      </c>
      <c r="M56" s="41" t="n"/>
      <c r="N56" s="45" t="n"/>
      <c r="O56" s="109" t="inlineStr">
        <is>
          <t>Adit</t>
        </is>
      </c>
    </row>
    <row r="57" ht="32.25" customHeight="1" s="79">
      <c r="A57" s="7">
        <f>A56+1</f>
        <v/>
      </c>
      <c r="B57" s="563" t="inlineStr">
        <is>
          <t>Meja Kerja Pejabat Eselon IV</t>
        </is>
      </c>
      <c r="C57" s="592" t="n"/>
      <c r="D57" s="40" t="inlineStr">
        <is>
          <t>ZETTA /MT201</t>
        </is>
      </c>
      <c r="E57" s="41" t="n"/>
      <c r="F57" s="41" t="n"/>
      <c r="G57" s="42" t="n"/>
      <c r="H57" s="43" t="n">
        <v>2018</v>
      </c>
      <c r="I57" s="43" t="inlineStr">
        <is>
          <t>02.06.04.01.006</t>
        </is>
      </c>
      <c r="J57" s="44" t="inlineStr">
        <is>
          <t>0038</t>
        </is>
      </c>
      <c r="K57" s="65" t="n">
        <v>2019589</v>
      </c>
      <c r="L57" s="43" t="inlineStr">
        <is>
          <t>Baik</t>
        </is>
      </c>
      <c r="M57" s="41" t="n"/>
      <c r="N57" s="45" t="n"/>
      <c r="O57" s="109" t="inlineStr">
        <is>
          <t>Bu Hanna</t>
        </is>
      </c>
    </row>
    <row r="58" ht="31.5" customHeight="1" s="79">
      <c r="A58" s="7">
        <f>A57+1</f>
        <v/>
      </c>
      <c r="B58" s="563" t="inlineStr">
        <is>
          <t>Meja Kerja Pejabat Eselon IV</t>
        </is>
      </c>
      <c r="C58" s="592" t="n"/>
      <c r="D58" s="40" t="inlineStr">
        <is>
          <t>ZETTA /MT201</t>
        </is>
      </c>
      <c r="E58" s="41" t="n"/>
      <c r="F58" s="41" t="n"/>
      <c r="G58" s="42" t="n"/>
      <c r="H58" s="43" t="n">
        <v>2018</v>
      </c>
      <c r="I58" s="43" t="inlineStr">
        <is>
          <t>02.06.04.01.006</t>
        </is>
      </c>
      <c r="J58" s="44" t="inlineStr">
        <is>
          <t>0039</t>
        </is>
      </c>
      <c r="K58" s="65" t="n">
        <v>2019589</v>
      </c>
      <c r="L58" s="43" t="inlineStr">
        <is>
          <t>Baik</t>
        </is>
      </c>
      <c r="M58" s="41" t="n"/>
      <c r="N58" s="45" t="n"/>
      <c r="O58" s="109" t="inlineStr">
        <is>
          <t>Bu Jannah</t>
        </is>
      </c>
    </row>
    <row r="59" ht="31.5" customHeight="1" s="79">
      <c r="A59" s="7">
        <f>A85+1</f>
        <v/>
      </c>
      <c r="B59" s="563" t="inlineStr">
        <is>
          <t>Kursi Kerja Pejabat Eselon III</t>
        </is>
      </c>
      <c r="C59" s="592" t="n"/>
      <c r="D59" s="48" t="inlineStr">
        <is>
          <t>RAKUDA/ RK 235</t>
        </is>
      </c>
      <c r="E59" s="41" t="n"/>
      <c r="F59" s="41" t="n"/>
      <c r="G59" s="43" t="inlineStr">
        <is>
          <t>Besi Plastik</t>
        </is>
      </c>
      <c r="H59" s="43" t="n">
        <v>2015</v>
      </c>
      <c r="I59" s="43" t="inlineStr">
        <is>
          <t>02.06.04.03.005</t>
        </is>
      </c>
      <c r="J59" s="44" t="inlineStr">
        <is>
          <t>0013</t>
        </is>
      </c>
      <c r="K59" s="63" t="n">
        <v>2400000</v>
      </c>
      <c r="L59" s="43" t="inlineStr">
        <is>
          <t>Baik</t>
        </is>
      </c>
      <c r="M59" s="41" t="n"/>
      <c r="N59" s="41" t="n"/>
      <c r="O59" s="109" t="inlineStr">
        <is>
          <t>Untung</t>
        </is>
      </c>
    </row>
    <row r="60">
      <c r="A60" s="73" t="n"/>
      <c r="B60" s="128" t="n"/>
      <c r="C60" s="128" t="n"/>
      <c r="D60" s="129" t="n"/>
      <c r="E60" s="130" t="n"/>
      <c r="F60" s="130" t="n"/>
      <c r="G60" s="131" t="n"/>
      <c r="H60" s="131" t="n"/>
      <c r="I60" s="131" t="n"/>
      <c r="J60" s="132" t="n"/>
      <c r="K60" s="133" t="n"/>
      <c r="L60" s="131" t="n"/>
      <c r="M60" s="130" t="n"/>
      <c r="N60" s="130" t="n"/>
      <c r="O60" s="130" t="n"/>
    </row>
    <row r="61">
      <c r="A61" s="221" t="n"/>
      <c r="B61" s="123" t="n"/>
      <c r="C61" s="123" t="n"/>
      <c r="D61" s="124" t="n"/>
      <c r="E61" s="125" t="n"/>
      <c r="F61" s="125" t="n"/>
      <c r="G61" s="94" t="n"/>
      <c r="H61" s="94" t="n"/>
      <c r="I61" s="94" t="n"/>
      <c r="J61" s="126" t="n"/>
      <c r="K61" s="134" t="n"/>
      <c r="L61" s="94" t="n"/>
      <c r="M61" s="125" t="n"/>
      <c r="N61" s="125" t="n"/>
      <c r="O61" s="125" t="n"/>
    </row>
    <row r="62">
      <c r="A62" s="221" t="n"/>
      <c r="B62" s="123" t="n"/>
      <c r="C62" s="123" t="n"/>
      <c r="D62" s="124" t="n"/>
      <c r="E62" s="125" t="n"/>
      <c r="F62" s="125" t="n"/>
      <c r="G62" s="94" t="n"/>
      <c r="H62" s="94" t="n"/>
      <c r="I62" s="94" t="n"/>
      <c r="J62" s="126" t="n"/>
      <c r="K62" s="134" t="n"/>
      <c r="L62" s="94" t="n"/>
      <c r="M62" s="125" t="n"/>
      <c r="N62" s="125" t="n"/>
      <c r="O62" s="125" t="n"/>
    </row>
    <row r="63">
      <c r="A63" s="221" t="n"/>
      <c r="B63" s="123" t="n"/>
      <c r="C63" s="123" t="n"/>
      <c r="D63" s="124" t="n"/>
      <c r="E63" s="125" t="n"/>
      <c r="F63" s="125" t="n"/>
      <c r="G63" s="94" t="n"/>
      <c r="H63" s="94" t="n"/>
      <c r="I63" s="94" t="n"/>
      <c r="J63" s="126" t="n"/>
      <c r="K63" s="134" t="n"/>
      <c r="L63" s="94" t="n"/>
      <c r="M63" s="125" t="n"/>
      <c r="N63" s="125" t="n"/>
      <c r="O63" s="125" t="n"/>
    </row>
    <row r="64">
      <c r="A64" s="221" t="n"/>
      <c r="B64" s="123" t="n"/>
      <c r="C64" s="123" t="n"/>
      <c r="D64" s="124" t="n"/>
      <c r="E64" s="125" t="n"/>
      <c r="F64" s="125" t="n"/>
      <c r="G64" s="94" t="n"/>
      <c r="H64" s="94" t="n"/>
      <c r="I64" s="94" t="n"/>
      <c r="J64" s="126" t="n"/>
      <c r="K64" s="134" t="n"/>
      <c r="L64" s="94" t="n"/>
      <c r="M64" s="125" t="n"/>
      <c r="N64" s="125" t="n"/>
      <c r="O64" s="125" t="n"/>
    </row>
    <row r="65">
      <c r="A65" s="221" t="n"/>
      <c r="B65" s="123" t="n"/>
      <c r="C65" s="123" t="n"/>
      <c r="D65" s="124" t="n"/>
      <c r="E65" s="125" t="n"/>
      <c r="F65" s="125" t="n"/>
      <c r="G65" s="94" t="n"/>
      <c r="H65" s="94" t="n"/>
      <c r="I65" s="94" t="n"/>
      <c r="J65" s="126" t="n"/>
      <c r="K65" s="134" t="n"/>
      <c r="L65" s="94" t="n"/>
      <c r="M65" s="125" t="n"/>
      <c r="N65" s="125" t="n"/>
      <c r="O65" s="125" t="n"/>
    </row>
    <row r="66">
      <c r="A66" s="81" t="n"/>
      <c r="B66" s="135" t="n"/>
      <c r="C66" s="135" t="n"/>
      <c r="D66" s="136" t="n"/>
      <c r="E66" s="137" t="n"/>
      <c r="F66" s="137" t="n"/>
      <c r="G66" s="138" t="n"/>
      <c r="H66" s="138" t="n"/>
      <c r="I66" s="138" t="n"/>
      <c r="J66" s="139" t="n"/>
      <c r="K66" s="140" t="n"/>
      <c r="L66" s="138" t="n"/>
      <c r="M66" s="137" t="n"/>
      <c r="N66" s="137" t="n"/>
      <c r="O66" s="137" t="n"/>
    </row>
    <row r="67">
      <c r="A67" s="538" t="inlineStr">
        <is>
          <t>No.</t>
        </is>
      </c>
      <c r="B67" s="538" t="inlineStr">
        <is>
          <t>Nama Barang</t>
        </is>
      </c>
      <c r="C67" s="589" t="n"/>
      <c r="D67" s="538" t="inlineStr">
        <is>
          <t>Merk/</t>
        </is>
      </c>
      <c r="E67" s="538" t="inlineStr">
        <is>
          <t>No. Seri</t>
        </is>
      </c>
      <c r="F67" s="655" t="inlineStr">
        <is>
          <t>Ukuran</t>
        </is>
      </c>
      <c r="G67" s="655" t="inlineStr">
        <is>
          <t>Bahan</t>
        </is>
      </c>
      <c r="H67" s="538" t="inlineStr">
        <is>
          <t xml:space="preserve">Tahun </t>
        </is>
      </c>
      <c r="I67" s="538" t="n"/>
      <c r="J67" s="538" t="inlineStr">
        <is>
          <t xml:space="preserve">Jumlah </t>
        </is>
      </c>
      <c r="K67" s="538" t="inlineStr">
        <is>
          <t xml:space="preserve">Harga </t>
        </is>
      </c>
      <c r="L67" s="544" t="inlineStr">
        <is>
          <t xml:space="preserve">Keadaan Barang </t>
        </is>
      </c>
      <c r="M67" s="591" t="n"/>
      <c r="N67" s="592" t="n"/>
      <c r="O67" s="538" t="inlineStr">
        <is>
          <t>Keterangan</t>
        </is>
      </c>
    </row>
    <row r="68">
      <c r="A68" s="543" t="inlineStr">
        <is>
          <t>Urut</t>
        </is>
      </c>
      <c r="B68" s="543" t="inlineStr">
        <is>
          <t>Jenis Barang</t>
        </is>
      </c>
      <c r="C68" s="593" t="n"/>
      <c r="D68" s="543" t="inlineStr">
        <is>
          <t>Model</t>
        </is>
      </c>
      <c r="E68" s="543" t="inlineStr">
        <is>
          <t>Pabrik</t>
        </is>
      </c>
      <c r="F68" s="594" t="n"/>
      <c r="G68" s="594" t="n"/>
      <c r="H68" s="104" t="inlineStr">
        <is>
          <t>Pembuatan</t>
        </is>
      </c>
      <c r="I68" s="104" t="inlineStr">
        <is>
          <t xml:space="preserve">No/. Kode Barang </t>
        </is>
      </c>
      <c r="J68" s="104" t="inlineStr">
        <is>
          <t>Barang</t>
        </is>
      </c>
      <c r="K68" s="104" t="inlineStr">
        <is>
          <t>Beli/</t>
        </is>
      </c>
      <c r="L68" s="104" t="inlineStr">
        <is>
          <t>Baik</t>
        </is>
      </c>
      <c r="M68" s="104" t="inlineStr">
        <is>
          <t>Kurang Baik</t>
        </is>
      </c>
      <c r="N68" s="104" t="inlineStr">
        <is>
          <t>Rusak Berat</t>
        </is>
      </c>
      <c r="O68" s="540" t="inlineStr">
        <is>
          <t>Mutasi dll</t>
        </is>
      </c>
    </row>
    <row r="69">
      <c r="A69" s="595" t="n"/>
      <c r="B69" s="596" t="n"/>
      <c r="C69" s="597" t="n"/>
      <c r="D69" s="595" t="n"/>
      <c r="E69" s="595" t="n"/>
      <c r="F69" s="595" t="n"/>
      <c r="G69" s="595" t="n"/>
      <c r="H69" s="105" t="inlineStr">
        <is>
          <t>Atau Pembelian</t>
        </is>
      </c>
      <c r="I69" s="105" t="n"/>
      <c r="J69" s="105" t="inlineStr">
        <is>
          <t>Register x)</t>
        </is>
      </c>
      <c r="K69" s="105" t="inlineStr">
        <is>
          <t>Perolehan</t>
        </is>
      </c>
      <c r="L69" s="105" t="inlineStr">
        <is>
          <t>(B)</t>
        </is>
      </c>
      <c r="M69" s="105" t="inlineStr">
        <is>
          <t>(KB)</t>
        </is>
      </c>
      <c r="N69" s="105" t="inlineStr">
        <is>
          <t>(RB)</t>
        </is>
      </c>
      <c r="O69" s="595" t="n"/>
    </row>
    <row r="70">
      <c r="A70" s="47" t="n">
        <v>1</v>
      </c>
      <c r="B70" s="47" t="n">
        <v>2</v>
      </c>
      <c r="C70" s="592" t="n"/>
      <c r="D70" s="539" t="n">
        <v>3</v>
      </c>
      <c r="E70" s="539" t="n">
        <v>4</v>
      </c>
      <c r="F70" s="542" t="n">
        <v>5</v>
      </c>
      <c r="G70" s="542" t="n">
        <v>6</v>
      </c>
      <c r="H70" s="104" t="n">
        <v>7</v>
      </c>
      <c r="I70" s="104" t="n">
        <v>8</v>
      </c>
      <c r="J70" s="104" t="n">
        <v>9</v>
      </c>
      <c r="K70" s="104" t="n">
        <v>10</v>
      </c>
      <c r="L70" s="104" t="n">
        <v>11</v>
      </c>
      <c r="M70" s="104" t="n">
        <v>12</v>
      </c>
      <c r="N70" s="104" t="n">
        <v>13</v>
      </c>
      <c r="O70" s="539" t="n">
        <v>14</v>
      </c>
    </row>
    <row r="71" ht="31.5" customHeight="1" s="79">
      <c r="A71" s="9">
        <f>A59+1</f>
        <v/>
      </c>
      <c r="B71" s="563" t="inlineStr">
        <is>
          <t>Kursi Kerja Pejabat Eselon III</t>
        </is>
      </c>
      <c r="C71" s="592" t="n"/>
      <c r="D71" s="40" t="inlineStr">
        <is>
          <t>INDACHI/ 741 CR</t>
        </is>
      </c>
      <c r="E71" s="109" t="n"/>
      <c r="F71" s="109" t="n"/>
      <c r="G71" s="43" t="inlineStr">
        <is>
          <t>Besi Plastik</t>
        </is>
      </c>
      <c r="H71" s="43" t="n">
        <v>2018</v>
      </c>
      <c r="I71" s="43" t="inlineStr">
        <is>
          <t>02.06.04.03.005</t>
        </is>
      </c>
      <c r="J71" s="44" t="inlineStr">
        <is>
          <t>0015</t>
        </is>
      </c>
      <c r="K71" s="63" t="n">
        <v>1969099</v>
      </c>
      <c r="L71" s="43" t="inlineStr">
        <is>
          <t>Baik</t>
        </is>
      </c>
      <c r="M71" s="109" t="n"/>
      <c r="N71" s="109" t="n"/>
      <c r="O71" s="40" t="inlineStr">
        <is>
          <t>Bu Baity</t>
        </is>
      </c>
    </row>
    <row r="72" ht="47.25" customHeight="1" s="79">
      <c r="A72" s="7">
        <f>A71+1</f>
        <v/>
      </c>
      <c r="B72" s="567" t="inlineStr">
        <is>
          <t>Kursi Kerja Pejabat Eselon IV</t>
        </is>
      </c>
      <c r="C72" s="592" t="n"/>
      <c r="D72" s="10" t="inlineStr">
        <is>
          <t>Tiger T98 AH /Esselon IV</t>
        </is>
      </c>
      <c r="E72" s="12" t="n"/>
      <c r="F72" s="12" t="n"/>
      <c r="G72" s="9" t="inlineStr">
        <is>
          <t>Besi Plastik</t>
        </is>
      </c>
      <c r="H72" s="9" t="n">
        <v>2011</v>
      </c>
      <c r="I72" s="9" t="inlineStr">
        <is>
          <t>02.06.04.03.006</t>
        </is>
      </c>
      <c r="J72" s="11" t="inlineStr">
        <is>
          <t>0005</t>
        </is>
      </c>
      <c r="K72" s="20" t="n">
        <v>585000</v>
      </c>
      <c r="L72" s="9" t="inlineStr">
        <is>
          <t>Baik</t>
        </is>
      </c>
      <c r="M72" s="12" t="n"/>
      <c r="N72" s="12" t="n"/>
      <c r="O72" s="32" t="inlineStr">
        <is>
          <t>Bu Hanna</t>
        </is>
      </c>
    </row>
    <row r="73">
      <c r="A73" s="221" t="n"/>
      <c r="B73" s="123" t="n"/>
      <c r="C73" s="123" t="n"/>
      <c r="D73" s="124" t="n"/>
      <c r="E73" s="125" t="n"/>
      <c r="F73" s="125" t="n"/>
      <c r="G73" s="94" t="n"/>
      <c r="H73" s="94" t="n"/>
      <c r="I73" s="94" t="n"/>
      <c r="J73" s="126" t="n"/>
      <c r="K73" s="127" t="n"/>
      <c r="L73" s="94" t="n"/>
      <c r="M73" s="125" t="n"/>
      <c r="N73" s="125" t="n"/>
      <c r="O73" s="125" t="n"/>
    </row>
    <row r="74">
      <c r="C74" s="5" t="inlineStr">
        <is>
          <t>Mengetahui :</t>
        </is>
      </c>
      <c r="L74" s="23" t="inlineStr">
        <is>
          <t>Banjarmasin,        Desember 2025</t>
        </is>
      </c>
    </row>
    <row r="75" ht="9" customHeight="1" s="79">
      <c r="C75" s="5" t="n"/>
      <c r="L75" s="5" t="n"/>
    </row>
    <row r="76">
      <c r="C76" s="5" t="inlineStr">
        <is>
          <t>Kepala Bakesbangpol Kota Banjarmasin,</t>
        </is>
      </c>
      <c r="L76" s="5" t="inlineStr">
        <is>
          <t>Pengurus Barang</t>
        </is>
      </c>
    </row>
    <row r="77">
      <c r="C77" s="5" t="n"/>
      <c r="L77" s="5" t="n"/>
    </row>
    <row r="78">
      <c r="C78" s="5" t="n"/>
      <c r="F78" s="88" t="n"/>
      <c r="L78" s="5" t="n"/>
    </row>
    <row r="79">
      <c r="C79" s="5" t="n"/>
      <c r="L79" s="5" t="n"/>
    </row>
    <row r="80">
      <c r="C80" s="6" t="inlineStr">
        <is>
          <t>Dr. H. LUKMAN FADLUN, SH, MH</t>
        </is>
      </c>
      <c r="L80" s="6" t="inlineStr">
        <is>
          <t>TRISNAWATI M ULYO HAPSARI, SE</t>
        </is>
      </c>
    </row>
    <row r="81">
      <c r="C81" s="5" t="inlineStr">
        <is>
          <t>Pembina Utama Muda</t>
        </is>
      </c>
      <c r="L81" s="23">
        <f>'RUANG DEPAN BIDANG'!L81</f>
        <v/>
      </c>
    </row>
    <row r="82">
      <c r="C82" s="23" t="inlineStr">
        <is>
          <t>NIP. 19691013 200003 1 004</t>
        </is>
      </c>
    </row>
    <row r="83">
      <c r="K83" s="24" t="n"/>
    </row>
    <row r="84" ht="47.25" customHeight="1" s="79">
      <c r="A84" s="7">
        <f>A48+1</f>
        <v/>
      </c>
      <c r="B84" s="563" t="inlineStr">
        <is>
          <t>Meja Kerja Pejabat Eselon IV</t>
        </is>
      </c>
      <c r="C84" s="592" t="n"/>
      <c r="D84" s="40" t="inlineStr">
        <is>
          <t>SAGA OD 022/ Meja Kerja Staf</t>
        </is>
      </c>
      <c r="E84" s="41" t="n"/>
      <c r="F84" s="41" t="n"/>
      <c r="G84" s="42" t="inlineStr">
        <is>
          <t>Kayu Pertikel</t>
        </is>
      </c>
      <c r="H84" s="43" t="n">
        <v>2011</v>
      </c>
      <c r="I84" s="43" t="inlineStr">
        <is>
          <t>02.06.04.01.006</t>
        </is>
      </c>
      <c r="J84" s="44" t="inlineStr">
        <is>
          <t>0023</t>
        </is>
      </c>
      <c r="K84" s="63" t="n">
        <v>485000</v>
      </c>
      <c r="L84" s="43" t="inlineStr">
        <is>
          <t>Baik</t>
        </is>
      </c>
      <c r="M84" s="41" t="n"/>
      <c r="N84" s="45" t="n"/>
      <c r="O84" s="170" t="n"/>
    </row>
    <row r="85">
      <c r="A85" s="7">
        <f>A58+1</f>
        <v/>
      </c>
      <c r="B85" s="563" t="inlineStr">
        <is>
          <t>Kursi Kerja Pejabat Eselon III</t>
        </is>
      </c>
      <c r="C85" s="592" t="n"/>
      <c r="D85" s="91" t="inlineStr">
        <is>
          <t>- / -</t>
        </is>
      </c>
      <c r="E85" s="41" t="n"/>
      <c r="F85" s="41" t="n"/>
      <c r="G85" s="43" t="inlineStr">
        <is>
          <t>Besi Plastik</t>
        </is>
      </c>
      <c r="H85" s="43" t="n">
        <v>2006</v>
      </c>
      <c r="I85" s="43" t="inlineStr">
        <is>
          <t>02.06.04.03.005</t>
        </is>
      </c>
      <c r="J85" s="44" t="inlineStr">
        <is>
          <t>0005</t>
        </is>
      </c>
      <c r="K85" s="63" t="n">
        <v>1343750</v>
      </c>
      <c r="L85" s="43" t="inlineStr">
        <is>
          <t>Baik</t>
        </is>
      </c>
      <c r="M85" s="41" t="n"/>
      <c r="N85" s="41" t="n"/>
      <c r="O85" s="41" t="n"/>
    </row>
    <row r="86">
      <c r="B86" s="22" t="n"/>
    </row>
  </sheetData>
  <mergeCells count="71">
    <mergeCell ref="B47:C47"/>
    <mergeCell ref="B16:C16"/>
    <mergeCell ref="B54:C54"/>
    <mergeCell ref="E39:E40"/>
    <mergeCell ref="B72:C72"/>
    <mergeCell ref="B25:C25"/>
    <mergeCell ref="B59:C59"/>
    <mergeCell ref="B68:C69"/>
    <mergeCell ref="F38:F40"/>
    <mergeCell ref="B46:C46"/>
    <mergeCell ref="B10:C11"/>
    <mergeCell ref="B22:C22"/>
    <mergeCell ref="B27:C27"/>
    <mergeCell ref="B56:C56"/>
    <mergeCell ref="B71:C71"/>
    <mergeCell ref="E10:E11"/>
    <mergeCell ref="A6:B6"/>
    <mergeCell ref="B18:C18"/>
    <mergeCell ref="B43:C43"/>
    <mergeCell ref="B58:C58"/>
    <mergeCell ref="B12:C12"/>
    <mergeCell ref="B70:C70"/>
    <mergeCell ref="F67:F69"/>
    <mergeCell ref="B48:C48"/>
    <mergeCell ref="B52:C52"/>
    <mergeCell ref="L38:N38"/>
    <mergeCell ref="G9:G11"/>
    <mergeCell ref="F9:F11"/>
    <mergeCell ref="B21:C21"/>
    <mergeCell ref="B67:C67"/>
    <mergeCell ref="B42:C42"/>
    <mergeCell ref="B23:C23"/>
    <mergeCell ref="L9:N9"/>
    <mergeCell ref="B14:C14"/>
    <mergeCell ref="B17:C17"/>
    <mergeCell ref="B57:C57"/>
    <mergeCell ref="A3:B3"/>
    <mergeCell ref="B53:C53"/>
    <mergeCell ref="D68:D69"/>
    <mergeCell ref="B13:C13"/>
    <mergeCell ref="B44:C44"/>
    <mergeCell ref="B38:C38"/>
    <mergeCell ref="G67:G69"/>
    <mergeCell ref="B19:C19"/>
    <mergeCell ref="A5:B5"/>
    <mergeCell ref="B84:C84"/>
    <mergeCell ref="G38:G40"/>
    <mergeCell ref="A10:A11"/>
    <mergeCell ref="B9:C9"/>
    <mergeCell ref="B49:C49"/>
    <mergeCell ref="A68:A69"/>
    <mergeCell ref="A4:B4"/>
    <mergeCell ref="B55:C55"/>
    <mergeCell ref="L67:N67"/>
    <mergeCell ref="D39:D40"/>
    <mergeCell ref="B24:C24"/>
    <mergeCell ref="O10:O11"/>
    <mergeCell ref="B15:C15"/>
    <mergeCell ref="D10:D11"/>
    <mergeCell ref="B51:C51"/>
    <mergeCell ref="B20:C20"/>
    <mergeCell ref="A39:A40"/>
    <mergeCell ref="B45:C45"/>
    <mergeCell ref="B85:C85"/>
    <mergeCell ref="E68:E69"/>
    <mergeCell ref="O39:O40"/>
    <mergeCell ref="B50:C50"/>
    <mergeCell ref="B26:C26"/>
    <mergeCell ref="B41:C41"/>
    <mergeCell ref="O68:O69"/>
    <mergeCell ref="B39:C40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346"/>
  <sheetViews>
    <sheetView view="pageBreakPreview" topLeftCell="A331" zoomScaleNormal="55" workbookViewId="0">
      <selection activeCell="L343" sqref="L343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9.375" customWidth="1" style="79" min="17" max="17"/>
    <col width="22.875" customWidth="1" style="79" min="18" max="18"/>
    <col width="13.375" customWidth="1" style="79" min="19" max="19"/>
    <col width="12.25" customWidth="1" style="79" min="20" max="20"/>
    <col width="13" customWidth="1" style="79" min="21" max="21"/>
    <col width="12.375" customWidth="1" style="79" min="22" max="22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t="inlineStr">
        <is>
          <t>Badan Kesatuan Bangsa dan Politik Kota Banjarmasin</t>
        </is>
      </c>
      <c r="G5" s="1" t="n"/>
      <c r="H5" s="29" t="n"/>
    </row>
    <row r="6" ht="18.75" customHeight="1" s="79">
      <c r="A6" s="545" t="inlineStr">
        <is>
          <t>Ruangan</t>
        </is>
      </c>
      <c r="C6" s="88" t="inlineStr">
        <is>
          <t>ALL RUANGAN</t>
        </is>
      </c>
      <c r="G6" s="1" t="n"/>
    </row>
    <row r="7">
      <c r="A7" s="108" t="n"/>
      <c r="B7" s="108" t="n"/>
    </row>
    <row r="8">
      <c r="A8" s="108" t="inlineStr">
        <is>
          <t xml:space="preserve">NO.KODE LOKASI : </t>
        </is>
      </c>
      <c r="B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  <c r="P9" s="214" t="n"/>
      <c r="Q9" s="538" t="inlineStr">
        <is>
          <t>Nama Barang</t>
        </is>
      </c>
      <c r="R9" s="589" t="n"/>
      <c r="S9" s="538" t="inlineStr">
        <is>
          <t xml:space="preserve">Tahun </t>
        </is>
      </c>
      <c r="T9" s="538" t="inlineStr">
        <is>
          <t xml:space="preserve">Jumlah </t>
        </is>
      </c>
      <c r="U9" s="538" t="inlineStr">
        <is>
          <t>Barang</t>
        </is>
      </c>
      <c r="V9" s="538" t="inlineStr">
        <is>
          <t xml:space="preserve">Tahun </t>
        </is>
      </c>
    </row>
    <row r="10" ht="18" customHeight="1" s="79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  <c r="P10" s="214" t="n"/>
      <c r="Q10" s="543" t="inlineStr">
        <is>
          <t>Jenis Barang</t>
        </is>
      </c>
      <c r="R10" s="593" t="n"/>
      <c r="S10" s="104" t="inlineStr">
        <is>
          <t>Pembuatan</t>
        </is>
      </c>
      <c r="T10" s="104" t="inlineStr">
        <is>
          <t>Barang</t>
        </is>
      </c>
      <c r="U10" s="104" t="inlineStr">
        <is>
          <t>Yang</t>
        </is>
      </c>
      <c r="V10" s="104" t="inlineStr">
        <is>
          <t>Pembuatan</t>
        </is>
      </c>
    </row>
    <row r="11" ht="18" customHeight="1" s="79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  <c r="P11" s="214" t="n"/>
      <c r="Q11" s="596" t="n"/>
      <c r="R11" s="597" t="n"/>
      <c r="S11" s="105" t="inlineStr">
        <is>
          <t>Atau Pembelian</t>
        </is>
      </c>
      <c r="T11" s="105" t="inlineStr">
        <is>
          <t>Register x)</t>
        </is>
      </c>
      <c r="U11" s="105" t="inlineStr">
        <is>
          <t>Dihapus</t>
        </is>
      </c>
      <c r="V11" s="105" t="inlineStr">
        <is>
          <t>Atau Pembelian</t>
        </is>
      </c>
    </row>
    <row r="12" ht="18" customHeight="1" s="79">
      <c r="A12" s="47" t="n">
        <v>1</v>
      </c>
      <c r="B12" s="47" t="n">
        <v>2</v>
      </c>
      <c r="C12" s="592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  <c r="P12" s="214" t="n"/>
      <c r="Q12" s="213" t="n"/>
      <c r="R12" s="213" t="n"/>
      <c r="S12" s="213" t="n"/>
      <c r="T12" s="213" t="n"/>
      <c r="U12" s="213" t="n"/>
      <c r="V12" s="214" t="n"/>
    </row>
    <row r="13" ht="31.5" customHeight="1" s="79">
      <c r="A13" s="47" t="n">
        <v>1</v>
      </c>
      <c r="B13" s="567" t="inlineStr">
        <is>
          <t>Lemari Besi</t>
        </is>
      </c>
      <c r="C13" s="592" t="n"/>
      <c r="D13" s="26" t="inlineStr">
        <is>
          <t>Platinum / Alba -</t>
        </is>
      </c>
      <c r="E13" s="32" t="n"/>
      <c r="F13" s="32" t="n"/>
      <c r="G13" s="9" t="inlineStr">
        <is>
          <t>Besi</t>
        </is>
      </c>
      <c r="H13" s="9" t="n">
        <v>1992</v>
      </c>
      <c r="I13" s="9" t="inlineStr">
        <is>
          <t>02.06.01.04.001</t>
        </is>
      </c>
      <c r="J13" s="11" t="inlineStr">
        <is>
          <t>0001</t>
        </is>
      </c>
      <c r="K13" s="20" t="n">
        <v>1225000</v>
      </c>
      <c r="L13" s="9" t="inlineStr">
        <is>
          <t>Baik</t>
        </is>
      </c>
      <c r="M13" s="26" t="inlineStr">
        <is>
          <t>di KIB Kurang Baik</t>
        </is>
      </c>
      <c r="N13" s="32" t="n"/>
      <c r="O13" s="32" t="inlineStr">
        <is>
          <t>Selasar</t>
        </is>
      </c>
      <c r="P13" s="214" t="n"/>
      <c r="Q13" s="217">
        <f>B13</f>
        <v/>
      </c>
      <c r="R13" s="217" t="n"/>
      <c r="S13" s="218">
        <f>H13</f>
        <v/>
      </c>
      <c r="T13" s="218">
        <f>J13</f>
        <v/>
      </c>
      <c r="U13" s="220" t="inlineStr">
        <is>
          <t>-</t>
        </is>
      </c>
      <c r="V13" s="217" t="inlineStr">
        <is>
          <t xml:space="preserve">1992, 1994,2000, 2008, 2009, 2012, 2013, 2014, </t>
        </is>
      </c>
      <c r="W13" s="217" t="n"/>
      <c r="X13" s="88" t="n"/>
      <c r="Y13" s="88" t="n"/>
    </row>
    <row r="14" ht="31.5" customHeight="1" s="79">
      <c r="A14" s="47">
        <f>A13+1</f>
        <v/>
      </c>
      <c r="B14" s="567" t="inlineStr">
        <is>
          <t>Lemari Besi</t>
        </is>
      </c>
      <c r="C14" s="592" t="n"/>
      <c r="D14" s="26" t="inlineStr">
        <is>
          <t>Brother / -</t>
        </is>
      </c>
      <c r="E14" s="32" t="n"/>
      <c r="F14" s="32" t="n"/>
      <c r="G14" s="9" t="inlineStr">
        <is>
          <t>Besi</t>
        </is>
      </c>
      <c r="H14" s="9" t="n">
        <v>1992</v>
      </c>
      <c r="I14" s="9" t="inlineStr">
        <is>
          <t>02.06.01.04.001</t>
        </is>
      </c>
      <c r="J14" s="11" t="inlineStr">
        <is>
          <t>0002</t>
        </is>
      </c>
      <c r="K14" s="20" t="n">
        <v>1225000</v>
      </c>
      <c r="L14" s="9" t="inlineStr">
        <is>
          <t>Baik</t>
        </is>
      </c>
      <c r="M14" s="26" t="inlineStr">
        <is>
          <t>di KIB Kurang Baik</t>
        </is>
      </c>
      <c r="N14" s="32" t="n"/>
      <c r="O14" s="32" t="inlineStr">
        <is>
          <t>Selasar</t>
        </is>
      </c>
      <c r="P14" s="214" t="n"/>
      <c r="Q14" s="217">
        <f>B14</f>
        <v/>
      </c>
      <c r="R14" s="217" t="n"/>
      <c r="S14" s="218">
        <f>H14</f>
        <v/>
      </c>
      <c r="T14" s="218">
        <f>J14</f>
        <v/>
      </c>
      <c r="U14" s="220" t="inlineStr">
        <is>
          <t>-</t>
        </is>
      </c>
      <c r="V14" s="218" t="n"/>
      <c r="W14" s="222" t="n"/>
      <c r="X14" s="88" t="n"/>
      <c r="Y14" s="88" t="n"/>
    </row>
    <row r="15" ht="31.5" customHeight="1" s="79">
      <c r="A15" s="47">
        <f>A14+1</f>
        <v/>
      </c>
      <c r="B15" s="567" t="inlineStr">
        <is>
          <t>Lemari Besi</t>
        </is>
      </c>
      <c r="C15" s="592" t="n"/>
      <c r="D15" s="26" t="inlineStr">
        <is>
          <t>Brother / -</t>
        </is>
      </c>
      <c r="E15" s="32" t="n"/>
      <c r="F15" s="32" t="n"/>
      <c r="G15" s="9" t="inlineStr">
        <is>
          <t>Besi</t>
        </is>
      </c>
      <c r="H15" s="9" t="n">
        <v>1994</v>
      </c>
      <c r="I15" s="9" t="inlineStr">
        <is>
          <t>02.06.01.04.001</t>
        </is>
      </c>
      <c r="J15" s="11" t="inlineStr">
        <is>
          <t>0004</t>
        </is>
      </c>
      <c r="K15" s="20" t="n">
        <v>1225000</v>
      </c>
      <c r="L15" s="9" t="inlineStr">
        <is>
          <t>Baik</t>
        </is>
      </c>
      <c r="M15" s="26" t="inlineStr">
        <is>
          <t>di KIB Kurang Baik</t>
        </is>
      </c>
      <c r="N15" s="32" t="n"/>
      <c r="O15" s="32" t="inlineStr">
        <is>
          <t>Selasar</t>
        </is>
      </c>
      <c r="P15" s="214" t="n"/>
      <c r="Q15" s="217">
        <f>B15</f>
        <v/>
      </c>
      <c r="R15" s="217" t="n"/>
      <c r="S15" s="218">
        <f>H15</f>
        <v/>
      </c>
      <c r="T15" s="218">
        <f>J15</f>
        <v/>
      </c>
      <c r="U15" s="220" t="inlineStr">
        <is>
          <t>-</t>
        </is>
      </c>
      <c r="V15" s="218" t="n"/>
      <c r="W15" s="222" t="n"/>
      <c r="X15" s="88" t="n"/>
      <c r="Y15" s="88" t="n"/>
    </row>
    <row r="16" ht="31.5" customHeight="1" s="79">
      <c r="A16" s="47">
        <f>A15+1</f>
        <v/>
      </c>
      <c r="B16" s="567" t="inlineStr">
        <is>
          <t>Lemari Besi</t>
        </is>
      </c>
      <c r="C16" s="592" t="n"/>
      <c r="D16" s="26" t="inlineStr">
        <is>
          <t>Lion / Brangkas</t>
        </is>
      </c>
      <c r="E16" s="32" t="n"/>
      <c r="F16" s="32" t="n"/>
      <c r="G16" s="9" t="inlineStr">
        <is>
          <t>Besi</t>
        </is>
      </c>
      <c r="H16" s="9" t="n">
        <v>2000</v>
      </c>
      <c r="I16" s="9" t="inlineStr">
        <is>
          <t>02/06.01.04.001</t>
        </is>
      </c>
      <c r="J16" s="11" t="inlineStr">
        <is>
          <t>0006</t>
        </is>
      </c>
      <c r="K16" s="89" t="n">
        <v>5190000</v>
      </c>
      <c r="L16" s="9" t="inlineStr">
        <is>
          <t>Baik</t>
        </is>
      </c>
      <c r="M16" s="32" t="n"/>
      <c r="N16" s="32" t="n"/>
      <c r="O16" s="26" t="inlineStr">
        <is>
          <t>Subbag Keuangan</t>
        </is>
      </c>
      <c r="P16" s="214" t="n"/>
      <c r="Q16" s="217">
        <f>B16</f>
        <v/>
      </c>
      <c r="R16" s="217" t="n"/>
      <c r="S16" s="218">
        <f>H16</f>
        <v/>
      </c>
      <c r="T16" s="218">
        <f>J16</f>
        <v/>
      </c>
      <c r="U16" s="220" t="inlineStr">
        <is>
          <t>-</t>
        </is>
      </c>
      <c r="V16" s="218" t="n"/>
      <c r="W16" s="222" t="n"/>
      <c r="X16" s="88" t="n"/>
      <c r="Y16" s="88" t="n"/>
    </row>
    <row r="17" ht="31.5" customHeight="1" s="79">
      <c r="A17" s="47">
        <f>A16+1</f>
        <v/>
      </c>
      <c r="B17" s="567" t="inlineStr">
        <is>
          <t>Lemari Besi</t>
        </is>
      </c>
      <c r="C17" s="592" t="n"/>
      <c r="D17" s="26" t="inlineStr">
        <is>
          <t>Brother / -</t>
        </is>
      </c>
      <c r="E17" s="12" t="n"/>
      <c r="F17" s="12" t="n"/>
      <c r="G17" s="9" t="inlineStr">
        <is>
          <t>Besi</t>
        </is>
      </c>
      <c r="H17" s="9" t="n">
        <v>2008</v>
      </c>
      <c r="I17" s="9" t="inlineStr">
        <is>
          <t>02.06.01.04.001</t>
        </is>
      </c>
      <c r="J17" s="11" t="inlineStr">
        <is>
          <t>0007</t>
        </is>
      </c>
      <c r="K17" s="172" t="n">
        <v>1730000</v>
      </c>
      <c r="L17" s="9" t="inlineStr">
        <is>
          <t>Baik</t>
        </is>
      </c>
      <c r="M17" s="12" t="n"/>
      <c r="N17" s="12" t="n"/>
      <c r="O17" s="10" t="inlineStr">
        <is>
          <t>Kabid Ideologi</t>
        </is>
      </c>
      <c r="P17" s="214" t="n"/>
      <c r="Q17" s="217">
        <f>B17</f>
        <v/>
      </c>
      <c r="R17" s="217" t="n"/>
      <c r="S17" s="218">
        <f>H17</f>
        <v/>
      </c>
      <c r="T17" s="218">
        <f>J17</f>
        <v/>
      </c>
      <c r="U17" s="220" t="inlineStr">
        <is>
          <t>0009</t>
        </is>
      </c>
      <c r="V17" s="218" t="n"/>
      <c r="W17" s="222" t="n"/>
      <c r="X17" s="88" t="n"/>
      <c r="Y17" s="88" t="n"/>
    </row>
    <row r="18" ht="31.5" customHeight="1" s="79">
      <c r="A18" s="47">
        <f>A17+1</f>
        <v/>
      </c>
      <c r="B18" s="567" t="inlineStr">
        <is>
          <t>Lemari Besi</t>
        </is>
      </c>
      <c r="C18" s="592" t="n"/>
      <c r="D18" s="26" t="inlineStr">
        <is>
          <t>BROTHER / -</t>
        </is>
      </c>
      <c r="E18" s="32" t="n"/>
      <c r="F18" s="32" t="n"/>
      <c r="G18" s="9" t="inlineStr">
        <is>
          <t>Besi</t>
        </is>
      </c>
      <c r="H18" s="9" t="n">
        <v>2008</v>
      </c>
      <c r="I18" s="9" t="inlineStr">
        <is>
          <t>02.06.01.04.001</t>
        </is>
      </c>
      <c r="J18" s="11" t="inlineStr">
        <is>
          <t>0008</t>
        </is>
      </c>
      <c r="K18" s="20" t="n">
        <v>1730000</v>
      </c>
      <c r="L18" s="9" t="inlineStr">
        <is>
          <t>Baik</t>
        </is>
      </c>
      <c r="M18" s="32" t="n"/>
      <c r="N18" s="32" t="n"/>
      <c r="O18" s="26" t="inlineStr">
        <is>
          <t>Ruang Sekretariat</t>
        </is>
      </c>
      <c r="P18" s="214" t="n"/>
      <c r="Q18" s="217">
        <f>B18</f>
        <v/>
      </c>
      <c r="R18" s="217" t="n"/>
      <c r="S18" s="218">
        <f>H18</f>
        <v/>
      </c>
      <c r="T18" s="218">
        <f>J18</f>
        <v/>
      </c>
      <c r="U18" s="220" t="n"/>
      <c r="V18" s="218" t="n"/>
      <c r="W18" s="222" t="n"/>
      <c r="X18" s="88" t="n"/>
      <c r="Y18" s="88" t="n"/>
    </row>
    <row r="19" ht="18" customHeight="1" s="79">
      <c r="A19" s="47">
        <f>A18+1</f>
        <v/>
      </c>
      <c r="B19" s="567" t="inlineStr">
        <is>
          <t>Lemari Besi</t>
        </is>
      </c>
      <c r="C19" s="592" t="n"/>
      <c r="D19" s="26" t="inlineStr">
        <is>
          <t>Lion / -</t>
        </is>
      </c>
      <c r="E19" s="32" t="n"/>
      <c r="F19" s="32" t="n"/>
      <c r="G19" s="9" t="inlineStr">
        <is>
          <t>Besi</t>
        </is>
      </c>
      <c r="H19" s="9" t="n">
        <v>2009</v>
      </c>
      <c r="I19" s="9" t="inlineStr">
        <is>
          <t>02.06.01.04.001</t>
        </is>
      </c>
      <c r="J19" s="11" t="inlineStr">
        <is>
          <t>0010</t>
        </is>
      </c>
      <c r="K19" s="20" t="n">
        <v>2500000</v>
      </c>
      <c r="L19" s="9" t="inlineStr">
        <is>
          <t>Baik</t>
        </is>
      </c>
      <c r="M19" s="32" t="n"/>
      <c r="N19" s="32" t="n"/>
      <c r="O19" s="32" t="inlineStr">
        <is>
          <t>Selasar</t>
        </is>
      </c>
      <c r="P19" s="214" t="n"/>
      <c r="Q19" s="217">
        <f>B19</f>
        <v/>
      </c>
      <c r="R19" s="217" t="n"/>
      <c r="S19" s="218">
        <f>H19</f>
        <v/>
      </c>
      <c r="T19" s="218">
        <f>J19</f>
        <v/>
      </c>
      <c r="U19" s="220" t="inlineStr">
        <is>
          <t>-</t>
        </is>
      </c>
      <c r="V19" s="218" t="n"/>
      <c r="W19" s="222" t="n"/>
      <c r="X19" s="88" t="n"/>
      <c r="Y19" s="88" t="n"/>
    </row>
    <row r="20" ht="47.25" customHeight="1" s="79">
      <c r="A20" s="47">
        <f>A19+1</f>
        <v/>
      </c>
      <c r="B20" s="567" t="inlineStr">
        <is>
          <t>Lemari Besi</t>
        </is>
      </c>
      <c r="C20" s="592" t="n"/>
      <c r="D20" s="26" t="inlineStr">
        <is>
          <t>KRISBROW / KW 17 - 195</t>
        </is>
      </c>
      <c r="E20" s="32" t="n"/>
      <c r="F20" s="32" t="n"/>
      <c r="G20" s="9" t="inlineStr">
        <is>
          <t>Besi</t>
        </is>
      </c>
      <c r="H20" s="9" t="n">
        <v>2012</v>
      </c>
      <c r="I20" s="9" t="inlineStr">
        <is>
          <t>02.06.01.04.001</t>
        </is>
      </c>
      <c r="J20" s="11" t="inlineStr">
        <is>
          <t>0011</t>
        </is>
      </c>
      <c r="K20" s="89" t="n">
        <v>3400000</v>
      </c>
      <c r="L20" s="9" t="inlineStr">
        <is>
          <t>Baik</t>
        </is>
      </c>
      <c r="M20" s="32" t="n"/>
      <c r="N20" s="32" t="n"/>
      <c r="O20" s="26" t="inlineStr">
        <is>
          <t>Subbag Umpeg</t>
        </is>
      </c>
      <c r="P20" s="214" t="n"/>
      <c r="Q20" s="217">
        <f>B20</f>
        <v/>
      </c>
      <c r="R20" s="217" t="n"/>
      <c r="S20" s="218">
        <f>H20</f>
        <v/>
      </c>
      <c r="T20" s="218">
        <f>J20</f>
        <v/>
      </c>
      <c r="U20" s="220" t="inlineStr">
        <is>
          <t>-</t>
        </is>
      </c>
      <c r="V20" s="218" t="n"/>
      <c r="W20" s="222" t="n"/>
      <c r="X20" s="88" t="n"/>
      <c r="Y20" s="88" t="n"/>
    </row>
    <row r="21" ht="47.25" customHeight="1" s="79">
      <c r="A21" s="47">
        <f>A20+1</f>
        <v/>
      </c>
      <c r="B21" s="567" t="inlineStr">
        <is>
          <t>Lemari Besi</t>
        </is>
      </c>
      <c r="C21" s="592" t="n"/>
      <c r="D21" s="10" t="inlineStr">
        <is>
          <t>KRISBROW / KW17-195</t>
        </is>
      </c>
      <c r="E21" s="12" t="n"/>
      <c r="F21" s="12" t="n"/>
      <c r="G21" s="9" t="inlineStr">
        <is>
          <t>Besi</t>
        </is>
      </c>
      <c r="H21" s="9" t="n">
        <v>2012</v>
      </c>
      <c r="I21" s="9" t="inlineStr">
        <is>
          <t>02.06.01.04.001</t>
        </is>
      </c>
      <c r="J21" s="11" t="inlineStr">
        <is>
          <t>0012</t>
        </is>
      </c>
      <c r="K21" s="172" t="n">
        <v>3400000</v>
      </c>
      <c r="L21" s="9" t="inlineStr">
        <is>
          <t>Baik</t>
        </is>
      </c>
      <c r="M21" s="12" t="n"/>
      <c r="N21" s="12" t="n"/>
      <c r="O21" s="26" t="inlineStr">
        <is>
          <t>Kabid Politik</t>
        </is>
      </c>
      <c r="P21" s="214" t="n"/>
      <c r="Q21" s="217">
        <f>B21</f>
        <v/>
      </c>
      <c r="R21" s="217" t="n"/>
      <c r="S21" s="218">
        <f>H21</f>
        <v/>
      </c>
      <c r="T21" s="218">
        <f>J21</f>
        <v/>
      </c>
      <c r="U21" s="217" t="n"/>
      <c r="V21" s="218" t="n"/>
      <c r="W21" s="222" t="n"/>
      <c r="X21" s="88" t="n"/>
      <c r="Y21" s="88" t="n"/>
    </row>
    <row r="22" ht="31.5" customHeight="1" s="79">
      <c r="A22" s="47">
        <f>A21+1</f>
        <v/>
      </c>
      <c r="B22" s="563" t="inlineStr">
        <is>
          <t>Lemari Besi</t>
        </is>
      </c>
      <c r="C22" s="592" t="n"/>
      <c r="D22" s="48" t="inlineStr">
        <is>
          <t>LION / L 33 Swing Door</t>
        </is>
      </c>
      <c r="E22" s="41" t="n"/>
      <c r="F22" s="41" t="n"/>
      <c r="G22" s="43" t="inlineStr">
        <is>
          <t>Besi</t>
        </is>
      </c>
      <c r="H22" s="43" t="n">
        <v>2013</v>
      </c>
      <c r="I22" s="43" t="inlineStr">
        <is>
          <t>02.06.01.04.001</t>
        </is>
      </c>
      <c r="J22" s="44" t="inlineStr">
        <is>
          <t>0013</t>
        </is>
      </c>
      <c r="K22" s="173" t="n">
        <v>2820699</v>
      </c>
      <c r="L22" s="43" t="inlineStr">
        <is>
          <t>Baik</t>
        </is>
      </c>
      <c r="M22" s="41" t="n"/>
      <c r="N22" s="41" t="n"/>
      <c r="O22" s="48" t="inlineStr">
        <is>
          <t>Kabid Wasnas</t>
        </is>
      </c>
      <c r="P22" s="214" t="n"/>
      <c r="Q22" s="217">
        <f>B22</f>
        <v/>
      </c>
      <c r="R22" s="217" t="n"/>
      <c r="S22" s="218">
        <f>H22</f>
        <v/>
      </c>
      <c r="T22" s="218">
        <f>J22</f>
        <v/>
      </c>
      <c r="U22" s="220" t="inlineStr">
        <is>
          <t>-</t>
        </is>
      </c>
      <c r="V22" s="218" t="n"/>
      <c r="W22" s="222" t="n"/>
      <c r="X22" s="88" t="n"/>
      <c r="Y22" s="88" t="n"/>
    </row>
    <row r="23" ht="31.5" customHeight="1" s="79">
      <c r="A23" s="47">
        <f>A22+1</f>
        <v/>
      </c>
      <c r="B23" s="567" t="inlineStr">
        <is>
          <t>Lemari Besi</t>
        </is>
      </c>
      <c r="C23" s="592" t="n"/>
      <c r="D23" s="26" t="inlineStr">
        <is>
          <t>LION / L 33 Swing Door</t>
        </is>
      </c>
      <c r="E23" s="32" t="n"/>
      <c r="F23" s="32" t="n"/>
      <c r="G23" s="9" t="inlineStr">
        <is>
          <t>Besi</t>
        </is>
      </c>
      <c r="H23" s="9" t="n">
        <v>2013</v>
      </c>
      <c r="I23" s="9" t="inlineStr">
        <is>
          <t>02.06.01.04.001</t>
        </is>
      </c>
      <c r="J23" s="11" t="inlineStr">
        <is>
          <t>0014</t>
        </is>
      </c>
      <c r="K23" s="20" t="n">
        <v>2820699</v>
      </c>
      <c r="L23" s="9" t="inlineStr">
        <is>
          <t>Baik</t>
        </is>
      </c>
      <c r="M23" s="32" t="n"/>
      <c r="N23" s="32" t="n"/>
      <c r="O23" s="26" t="inlineStr">
        <is>
          <t>Ruang Sekretariat</t>
        </is>
      </c>
      <c r="P23" s="214" t="n"/>
      <c r="Q23" s="217">
        <f>B23</f>
        <v/>
      </c>
      <c r="R23" s="217" t="n"/>
      <c r="S23" s="218">
        <f>H23</f>
        <v/>
      </c>
      <c r="T23" s="218">
        <f>J23</f>
        <v/>
      </c>
      <c r="U23" s="217" t="n"/>
      <c r="V23" s="218" t="n"/>
      <c r="W23" s="222" t="n"/>
      <c r="X23" s="88" t="n"/>
      <c r="Y23" s="88" t="n"/>
    </row>
    <row r="24" ht="31.5" customHeight="1" s="79">
      <c r="A24" s="47">
        <f>A23+1</f>
        <v/>
      </c>
      <c r="B24" s="567" t="inlineStr">
        <is>
          <t>Lemari Besi</t>
        </is>
      </c>
      <c r="C24" s="592" t="n"/>
      <c r="D24" s="26" t="inlineStr">
        <is>
          <t>Brother /             B 203</t>
        </is>
      </c>
      <c r="E24" s="32" t="n"/>
      <c r="F24" s="32" t="n"/>
      <c r="G24" s="9" t="inlineStr">
        <is>
          <t>Besi</t>
        </is>
      </c>
      <c r="H24" s="9" t="n">
        <v>2014</v>
      </c>
      <c r="I24" s="9" t="inlineStr">
        <is>
          <t>02.06.01.04.001</t>
        </is>
      </c>
      <c r="J24" s="11" t="inlineStr">
        <is>
          <t>0015</t>
        </is>
      </c>
      <c r="K24" s="20" t="n">
        <v>3669674</v>
      </c>
      <c r="L24" s="9" t="inlineStr">
        <is>
          <t>Baik</t>
        </is>
      </c>
      <c r="M24" s="32" t="n"/>
      <c r="N24" s="32" t="n"/>
      <c r="O24" s="32" t="inlineStr">
        <is>
          <t>Selasar</t>
        </is>
      </c>
      <c r="P24" s="214" t="n"/>
      <c r="Q24" s="217">
        <f>B24</f>
        <v/>
      </c>
      <c r="R24" s="217" t="n"/>
      <c r="S24" s="218">
        <f>H24</f>
        <v/>
      </c>
      <c r="T24" s="218">
        <f>J24</f>
        <v/>
      </c>
      <c r="V24" s="218" t="n"/>
      <c r="W24" s="222" t="n"/>
      <c r="X24" s="88" t="n"/>
      <c r="Y24" s="88" t="n"/>
    </row>
    <row r="25" ht="31.5" customHeight="1" s="79">
      <c r="A25" s="47">
        <f>A24+1</f>
        <v/>
      </c>
      <c r="B25" s="567" t="inlineStr">
        <is>
          <t>Lemari Besi</t>
        </is>
      </c>
      <c r="C25" s="592" t="n"/>
      <c r="D25" s="26" t="inlineStr">
        <is>
          <t>Brother / B-203</t>
        </is>
      </c>
      <c r="E25" s="32" t="n"/>
      <c r="F25" s="32" t="n"/>
      <c r="G25" s="9" t="inlineStr">
        <is>
          <t>Besi</t>
        </is>
      </c>
      <c r="H25" s="9" t="n">
        <v>2014</v>
      </c>
      <c r="I25" s="9" t="inlineStr">
        <is>
          <t>02.06.01.04.001</t>
        </is>
      </c>
      <c r="J25" s="11" t="inlineStr">
        <is>
          <t>0016</t>
        </is>
      </c>
      <c r="K25" s="20" t="n">
        <v>3669674</v>
      </c>
      <c r="L25" s="9" t="inlineStr">
        <is>
          <t>Baik</t>
        </is>
      </c>
      <c r="M25" s="32" t="n"/>
      <c r="N25" s="32" t="n"/>
      <c r="O25" s="26" t="inlineStr">
        <is>
          <t>Ruang Sekretariat</t>
        </is>
      </c>
      <c r="P25" s="214" t="n"/>
      <c r="Q25" s="217">
        <f>B25</f>
        <v/>
      </c>
      <c r="R25" s="217" t="n"/>
      <c r="S25" s="218">
        <f>H25</f>
        <v/>
      </c>
      <c r="T25" s="218">
        <f>J25</f>
        <v/>
      </c>
      <c r="U25" s="217" t="n"/>
      <c r="V25" s="218" t="n"/>
      <c r="W25" s="222" t="n"/>
      <c r="X25" s="88" t="n"/>
      <c r="Y25" s="88" t="n"/>
    </row>
    <row r="26" ht="47.25" customHeight="1" s="79">
      <c r="A26" s="47">
        <f>A25+1</f>
        <v/>
      </c>
      <c r="B26" s="563" t="inlineStr">
        <is>
          <t>Lemari Besi</t>
        </is>
      </c>
      <c r="C26" s="592" t="n"/>
      <c r="D26" s="48" t="inlineStr">
        <is>
          <t>Brother /             B 203</t>
        </is>
      </c>
      <c r="E26" s="41" t="n"/>
      <c r="F26" s="41" t="n"/>
      <c r="G26" s="43" t="inlineStr">
        <is>
          <t>Besi</t>
        </is>
      </c>
      <c r="H26" s="43" t="n">
        <v>2014</v>
      </c>
      <c r="I26" s="43" t="inlineStr">
        <is>
          <t>02.06.01.04.001</t>
        </is>
      </c>
      <c r="J26" s="44" t="inlineStr">
        <is>
          <t>0017</t>
        </is>
      </c>
      <c r="K26" s="63" t="n">
        <v>3669674</v>
      </c>
      <c r="L26" s="43" t="inlineStr">
        <is>
          <t>Baik</t>
        </is>
      </c>
      <c r="M26" s="41" t="n"/>
      <c r="N26" s="41" t="n"/>
      <c r="O26" s="40" t="inlineStr">
        <is>
          <t>Kabid Hansenibud</t>
        </is>
      </c>
      <c r="P26" s="214" t="n"/>
      <c r="Q26" s="217">
        <f>B26</f>
        <v/>
      </c>
      <c r="R26" s="217" t="n"/>
      <c r="S26" s="218">
        <f>H26</f>
        <v/>
      </c>
      <c r="T26" s="218">
        <f>J26</f>
        <v/>
      </c>
      <c r="U26" s="217" t="n"/>
      <c r="V26" s="218" t="n"/>
      <c r="W26" s="222" t="n"/>
      <c r="X26" s="88" t="n"/>
      <c r="Y26" s="88" t="n"/>
    </row>
    <row r="27" ht="31.5" customHeight="1" s="79">
      <c r="A27" s="47">
        <f>A26+1</f>
        <v/>
      </c>
      <c r="B27" s="563" t="inlineStr">
        <is>
          <t>Filling Besi / Metal</t>
        </is>
      </c>
      <c r="C27" s="592" t="n"/>
      <c r="D27" s="40" t="inlineStr">
        <is>
          <t>BROTHER / -</t>
        </is>
      </c>
      <c r="E27" s="41" t="n"/>
      <c r="F27" s="41" t="n"/>
      <c r="G27" s="42" t="inlineStr">
        <is>
          <t>Besi</t>
        </is>
      </c>
      <c r="H27" s="43" t="n">
        <v>2006</v>
      </c>
      <c r="I27" s="43" t="inlineStr">
        <is>
          <t>02.06.01.04.004</t>
        </is>
      </c>
      <c r="J27" s="44" t="inlineStr">
        <is>
          <t>0001</t>
        </is>
      </c>
      <c r="K27" s="63" t="n">
        <v>1220000</v>
      </c>
      <c r="L27" s="43" t="inlineStr">
        <is>
          <t>Baik</t>
        </is>
      </c>
      <c r="M27" s="41" t="n"/>
      <c r="N27" s="41" t="n"/>
      <c r="O27" s="40" t="inlineStr">
        <is>
          <t>Depan Bid Ideologi</t>
        </is>
      </c>
      <c r="P27" s="214" t="n"/>
      <c r="Q27" s="217">
        <f>B27</f>
        <v/>
      </c>
      <c r="R27" s="217" t="n"/>
      <c r="S27" s="218">
        <f>H27</f>
        <v/>
      </c>
      <c r="T27" s="218">
        <f>J27</f>
        <v/>
      </c>
      <c r="U27" s="220" t="inlineStr">
        <is>
          <t>-</t>
        </is>
      </c>
      <c r="V27" s="218" t="n"/>
      <c r="W27" s="222" t="n"/>
      <c r="X27" s="88" t="n"/>
      <c r="Y27" s="88" t="n"/>
    </row>
    <row r="28" ht="31.5" customHeight="1" s="79">
      <c r="A28" s="47">
        <f>A27+1</f>
        <v/>
      </c>
      <c r="B28" s="567" t="inlineStr">
        <is>
          <t>Filling Besi / Metal</t>
        </is>
      </c>
      <c r="C28" s="592" t="n"/>
      <c r="D28" s="26" t="inlineStr">
        <is>
          <t>BROTHER / -</t>
        </is>
      </c>
      <c r="E28" s="32" t="n"/>
      <c r="F28" s="32" t="n"/>
      <c r="G28" s="30" t="inlineStr">
        <is>
          <t>Besi</t>
        </is>
      </c>
      <c r="H28" s="9" t="n">
        <v>2006</v>
      </c>
      <c r="I28" s="9" t="inlineStr">
        <is>
          <t>02.06.01.04.004</t>
        </is>
      </c>
      <c r="J28" s="11" t="inlineStr">
        <is>
          <t>0002</t>
        </is>
      </c>
      <c r="K28" s="20" t="n">
        <v>1220000</v>
      </c>
      <c r="L28" s="9" t="inlineStr">
        <is>
          <t>Baik</t>
        </is>
      </c>
      <c r="M28" s="31" t="inlineStr">
        <is>
          <t>Di KIB Kurang Baik</t>
        </is>
      </c>
      <c r="N28" s="32" t="n"/>
      <c r="O28" s="26" t="inlineStr">
        <is>
          <t>Ruang Sekretariat</t>
        </is>
      </c>
      <c r="P28" s="214" t="n"/>
      <c r="Q28" s="217">
        <f>B28</f>
        <v/>
      </c>
      <c r="R28" s="217" t="n"/>
      <c r="S28" s="218">
        <f>H28</f>
        <v/>
      </c>
      <c r="T28" s="218">
        <f>J28</f>
        <v/>
      </c>
      <c r="U28" s="217" t="n"/>
      <c r="V28" s="218" t="n"/>
      <c r="W28" s="222" t="n"/>
      <c r="X28" s="88" t="n"/>
      <c r="Y28" s="88" t="n"/>
    </row>
    <row r="29" ht="47.25" customHeight="1" s="79">
      <c r="A29" s="47">
        <f>A28+1</f>
        <v/>
      </c>
      <c r="B29" s="563" t="inlineStr">
        <is>
          <t>Filling Besi / Metal</t>
        </is>
      </c>
      <c r="C29" s="592" t="n"/>
      <c r="D29" s="40" t="inlineStr">
        <is>
          <t>BROTHER / -</t>
        </is>
      </c>
      <c r="E29" s="41" t="n"/>
      <c r="F29" s="41" t="n"/>
      <c r="G29" s="42" t="inlineStr">
        <is>
          <t>Besi</t>
        </is>
      </c>
      <c r="H29" s="43" t="n">
        <v>2006</v>
      </c>
      <c r="I29" s="43" t="inlineStr">
        <is>
          <t>02.06.01.04.004</t>
        </is>
      </c>
      <c r="J29" s="44" t="inlineStr">
        <is>
          <t>0006</t>
        </is>
      </c>
      <c r="K29" s="63" t="n">
        <v>1220000</v>
      </c>
      <c r="L29" s="43" t="inlineStr">
        <is>
          <t>Baik</t>
        </is>
      </c>
      <c r="M29" s="41" t="n"/>
      <c r="N29" s="41" t="n"/>
      <c r="O29" s="40" t="inlineStr">
        <is>
          <t>Depan Bid Hansenibud</t>
        </is>
      </c>
      <c r="P29" s="214" t="n"/>
      <c r="Q29" s="217">
        <f>B29</f>
        <v/>
      </c>
      <c r="R29" s="217" t="n"/>
      <c r="S29" s="218">
        <f>H29</f>
        <v/>
      </c>
      <c r="T29" s="218">
        <f>J29</f>
        <v/>
      </c>
      <c r="U29" s="217" t="n"/>
      <c r="V29" s="218" t="n"/>
      <c r="W29" s="222" t="n"/>
      <c r="X29" s="88" t="n"/>
      <c r="Y29" s="88" t="n"/>
    </row>
    <row r="30" ht="31.5" customHeight="1" s="79">
      <c r="A30" s="47">
        <f>A29+1</f>
        <v/>
      </c>
      <c r="B30" s="567" t="inlineStr">
        <is>
          <t>Filling Besi / Metal</t>
        </is>
      </c>
      <c r="C30" s="592" t="n"/>
      <c r="D30" s="26" t="inlineStr">
        <is>
          <t>BROTHER / -</t>
        </is>
      </c>
      <c r="E30" s="32" t="n"/>
      <c r="F30" s="32" t="n"/>
      <c r="G30" s="30" t="inlineStr">
        <is>
          <t>Besi</t>
        </is>
      </c>
      <c r="H30" s="9" t="n">
        <v>2008</v>
      </c>
      <c r="I30" s="9" t="inlineStr">
        <is>
          <t>02.06.01.04.004</t>
        </is>
      </c>
      <c r="J30" s="11" t="inlineStr">
        <is>
          <t>0003</t>
        </is>
      </c>
      <c r="K30" s="20" t="n">
        <v>1220000</v>
      </c>
      <c r="L30" s="9" t="inlineStr">
        <is>
          <t>Baik</t>
        </is>
      </c>
      <c r="M30" s="32" t="n"/>
      <c r="N30" s="32" t="n"/>
      <c r="O30" s="26" t="inlineStr">
        <is>
          <t>Ruang Sekretariat</t>
        </is>
      </c>
      <c r="P30" s="214" t="n"/>
      <c r="Q30" s="217">
        <f>B30</f>
        <v/>
      </c>
      <c r="R30" s="217" t="n"/>
      <c r="S30" s="218">
        <f>H30</f>
        <v/>
      </c>
      <c r="T30" s="218">
        <f>J30</f>
        <v/>
      </c>
      <c r="U30" s="219" t="inlineStr">
        <is>
          <t>0004</t>
        </is>
      </c>
      <c r="V30" s="218" t="n"/>
      <c r="W30" s="222" t="n"/>
      <c r="X30" s="88" t="n"/>
      <c r="Y30" s="88" t="n"/>
    </row>
    <row r="31" ht="18" customHeight="1" s="79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231">
        <f>SUM(K13:K30)</f>
        <v/>
      </c>
      <c r="L31" s="75" t="n"/>
      <c r="M31" s="75" t="n"/>
      <c r="N31" s="75" t="n"/>
      <c r="O31" s="75" t="n"/>
      <c r="P31" s="214" t="n"/>
      <c r="Q31" s="217">
        <f>B43</f>
        <v/>
      </c>
      <c r="R31" s="217" t="n"/>
      <c r="S31" s="218">
        <f>H43</f>
        <v/>
      </c>
      <c r="T31" s="218">
        <f>J43</f>
        <v/>
      </c>
      <c r="U31" s="220" t="inlineStr">
        <is>
          <t>-</t>
        </is>
      </c>
      <c r="V31" s="218" t="n"/>
      <c r="W31" s="222" t="n"/>
      <c r="X31" s="88" t="n"/>
      <c r="Y31" s="88" t="n"/>
    </row>
    <row r="32" ht="18" customHeight="1" s="79">
      <c r="A32" s="157" t="n"/>
      <c r="B32" s="67" t="n"/>
      <c r="C32" s="67" t="n"/>
      <c r="D32" s="68" t="n"/>
      <c r="E32" s="69" t="n"/>
      <c r="F32" s="69" t="n"/>
      <c r="G32" s="80" t="n"/>
      <c r="H32" s="222" t="n"/>
      <c r="I32" s="222" t="n"/>
      <c r="J32" s="71" t="n"/>
      <c r="K32" s="72" t="n"/>
      <c r="L32" s="222" t="n"/>
      <c r="M32" s="69" t="n"/>
      <c r="N32" s="69" t="n"/>
      <c r="O32" s="68" t="n"/>
      <c r="P32" s="214" t="n"/>
      <c r="Q32" s="217" t="n"/>
      <c r="R32" s="217" t="n"/>
      <c r="S32" s="218" t="n"/>
      <c r="T32" s="218" t="n"/>
      <c r="U32" s="217" t="n"/>
      <c r="V32" s="218" t="n"/>
      <c r="W32" s="222" t="n"/>
      <c r="X32" s="88" t="n"/>
      <c r="Y32" s="88" t="n"/>
    </row>
    <row r="33" ht="18" customHeight="1" s="79">
      <c r="A33" s="157" t="n"/>
      <c r="B33" s="67" t="n"/>
      <c r="C33" s="67" t="n"/>
      <c r="D33" s="68" t="n"/>
      <c r="E33" s="69" t="n"/>
      <c r="F33" s="69" t="n"/>
      <c r="G33" s="80" t="n"/>
      <c r="H33" s="222" t="n"/>
      <c r="I33" s="222" t="n"/>
      <c r="J33" s="71" t="n"/>
      <c r="K33" s="72" t="n"/>
      <c r="L33" s="222" t="n"/>
      <c r="M33" s="69" t="n"/>
      <c r="N33" s="69" t="n"/>
      <c r="O33" s="68" t="n"/>
      <c r="P33" s="214" t="n"/>
      <c r="Q33" s="217" t="n"/>
      <c r="R33" s="217" t="n"/>
      <c r="S33" s="218" t="n"/>
      <c r="T33" s="218" t="n"/>
      <c r="U33" s="217" t="n"/>
      <c r="V33" s="218" t="n"/>
      <c r="W33" s="222" t="n"/>
      <c r="X33" s="88" t="n"/>
      <c r="Y33" s="88" t="n"/>
    </row>
    <row r="34" ht="18" customHeight="1" s="79">
      <c r="A34" s="157" t="n"/>
      <c r="B34" s="67" t="n"/>
      <c r="C34" s="67" t="n"/>
      <c r="D34" s="68" t="n"/>
      <c r="E34" s="69" t="n"/>
      <c r="F34" s="69" t="n"/>
      <c r="G34" s="80" t="n"/>
      <c r="H34" s="222" t="n"/>
      <c r="I34" s="222" t="n"/>
      <c r="J34" s="71" t="n"/>
      <c r="K34" s="72" t="n"/>
      <c r="L34" s="222" t="n"/>
      <c r="M34" s="69" t="n"/>
      <c r="N34" s="69" t="n"/>
      <c r="O34" s="68" t="n"/>
      <c r="P34" s="214" t="n"/>
      <c r="Q34" s="217" t="n"/>
      <c r="R34" s="217" t="n"/>
      <c r="S34" s="218" t="n"/>
      <c r="T34" s="218" t="n"/>
      <c r="U34" s="217" t="n"/>
      <c r="V34" s="218" t="n"/>
      <c r="W34" s="222" t="n"/>
      <c r="X34" s="88" t="n"/>
      <c r="Y34" s="88" t="n"/>
    </row>
    <row r="35" ht="18" customHeight="1" s="79">
      <c r="A35" s="157" t="n"/>
      <c r="B35" s="67" t="n"/>
      <c r="C35" s="67" t="n"/>
      <c r="D35" s="68" t="n"/>
      <c r="E35" s="69" t="n"/>
      <c r="F35" s="69" t="n"/>
      <c r="G35" s="80" t="n"/>
      <c r="H35" s="222" t="n"/>
      <c r="I35" s="222" t="n"/>
      <c r="J35" s="71" t="n"/>
      <c r="K35" s="72" t="n"/>
      <c r="L35" s="222" t="n"/>
      <c r="M35" s="69" t="n"/>
      <c r="N35" s="69" t="n"/>
      <c r="O35" s="68" t="n"/>
      <c r="P35" s="214" t="n"/>
      <c r="Q35" s="217" t="n"/>
      <c r="R35" s="217" t="n"/>
      <c r="S35" s="218" t="n"/>
      <c r="T35" s="218" t="n"/>
      <c r="U35" s="217" t="n"/>
      <c r="V35" s="218" t="n"/>
      <c r="W35" s="222" t="n"/>
      <c r="X35" s="88" t="n"/>
      <c r="Y35" s="88" t="n"/>
    </row>
    <row r="36" ht="18" customHeight="1" s="79">
      <c r="A36" s="157" t="n"/>
      <c r="B36" s="67" t="n"/>
      <c r="C36" s="67" t="n"/>
      <c r="D36" s="68" t="n"/>
      <c r="E36" s="69" t="n"/>
      <c r="F36" s="69" t="n"/>
      <c r="G36" s="80" t="n"/>
      <c r="H36" s="222" t="n"/>
      <c r="I36" s="222" t="n"/>
      <c r="J36" s="71" t="n"/>
      <c r="K36" s="72" t="n"/>
      <c r="L36" s="222" t="n"/>
      <c r="M36" s="69" t="n"/>
      <c r="N36" s="69" t="n"/>
      <c r="O36" s="68" t="n"/>
      <c r="P36" s="214" t="n"/>
      <c r="Q36" s="217" t="n"/>
      <c r="R36" s="217" t="n"/>
      <c r="S36" s="218" t="n"/>
      <c r="T36" s="218" t="n"/>
      <c r="U36" s="217" t="n"/>
      <c r="V36" s="218" t="n"/>
      <c r="W36" s="222" t="n"/>
      <c r="X36" s="88" t="n"/>
      <c r="Y36" s="88" t="n"/>
    </row>
    <row r="37" ht="18" customHeight="1" s="79">
      <c r="A37" s="157" t="n"/>
      <c r="B37" s="67" t="n"/>
      <c r="C37" s="67" t="n"/>
      <c r="D37" s="68" t="n"/>
      <c r="E37" s="69" t="n"/>
      <c r="F37" s="69" t="n"/>
      <c r="G37" s="80" t="n"/>
      <c r="H37" s="222" t="n"/>
      <c r="I37" s="222" t="n"/>
      <c r="J37" s="71" t="n"/>
      <c r="K37" s="72" t="n"/>
      <c r="L37" s="222" t="n"/>
      <c r="M37" s="69" t="n"/>
      <c r="N37" s="69" t="n"/>
      <c r="O37" s="68" t="n"/>
      <c r="P37" s="214" t="n"/>
      <c r="Q37" s="217" t="n"/>
      <c r="R37" s="217" t="n"/>
      <c r="S37" s="218" t="n"/>
      <c r="T37" s="218" t="n"/>
      <c r="U37" s="217" t="n"/>
      <c r="V37" s="218" t="n"/>
      <c r="W37" s="222" t="n"/>
      <c r="X37" s="88" t="n"/>
      <c r="Y37" s="88" t="n"/>
    </row>
    <row r="38" ht="18" customHeight="1" s="79">
      <c r="A38" s="186" t="n"/>
      <c r="B38" s="82" t="n"/>
      <c r="C38" s="82" t="n"/>
      <c r="D38" s="83" t="n"/>
      <c r="E38" s="111" t="n"/>
      <c r="F38" s="111" t="n"/>
      <c r="G38" s="85" t="n"/>
      <c r="H38" s="86" t="n"/>
      <c r="I38" s="86" t="n"/>
      <c r="J38" s="87" t="n"/>
      <c r="K38" s="114" t="n"/>
      <c r="L38" s="86" t="n"/>
      <c r="M38" s="111" t="n"/>
      <c r="N38" s="111" t="n"/>
      <c r="O38" s="83" t="n"/>
      <c r="P38" s="214" t="n"/>
      <c r="Q38" s="217" t="n"/>
      <c r="R38" s="217" t="n"/>
      <c r="S38" s="218" t="n"/>
      <c r="T38" s="218" t="n"/>
      <c r="U38" s="217" t="n"/>
      <c r="V38" s="218" t="n"/>
      <c r="W38" s="222" t="n"/>
      <c r="X38" s="88" t="n"/>
      <c r="Y38" s="88" t="n"/>
    </row>
    <row r="39" ht="18" customHeight="1" s="79">
      <c r="A39" s="538" t="inlineStr">
        <is>
          <t>No.</t>
        </is>
      </c>
      <c r="B39" s="538" t="inlineStr">
        <is>
          <t>Nama Barang</t>
        </is>
      </c>
      <c r="C39" s="589" t="n"/>
      <c r="D39" s="538" t="inlineStr">
        <is>
          <t>Merk/</t>
        </is>
      </c>
      <c r="E39" s="538" t="inlineStr">
        <is>
          <t>No. Seri</t>
        </is>
      </c>
      <c r="F39" s="655" t="inlineStr">
        <is>
          <t>Ukuran</t>
        </is>
      </c>
      <c r="G39" s="655" t="inlineStr">
        <is>
          <t>Bahan</t>
        </is>
      </c>
      <c r="H39" s="538" t="inlineStr">
        <is>
          <t xml:space="preserve">Tahun </t>
        </is>
      </c>
      <c r="I39" s="538" t="n"/>
      <c r="J39" s="538" t="inlineStr">
        <is>
          <t xml:space="preserve">Jumlah </t>
        </is>
      </c>
      <c r="K39" s="538" t="inlineStr">
        <is>
          <t xml:space="preserve">Harga </t>
        </is>
      </c>
      <c r="L39" s="544" t="inlineStr">
        <is>
          <t xml:space="preserve">Keadaan Barang </t>
        </is>
      </c>
      <c r="M39" s="591" t="n"/>
      <c r="N39" s="592" t="n"/>
      <c r="O39" s="538" t="inlineStr">
        <is>
          <t>Keterangan</t>
        </is>
      </c>
      <c r="P39" s="214" t="n"/>
      <c r="Q39" s="217">
        <f>B39</f>
        <v/>
      </c>
      <c r="R39" s="217" t="n"/>
      <c r="S39" s="218">
        <f>H39</f>
        <v/>
      </c>
      <c r="T39" s="218">
        <f>J39</f>
        <v/>
      </c>
      <c r="U39" s="217" t="n"/>
      <c r="V39" s="218" t="n"/>
      <c r="W39" s="222" t="n"/>
      <c r="X39" s="88" t="n"/>
      <c r="Y39" s="88" t="n"/>
    </row>
    <row r="40" ht="18" customHeight="1" s="79">
      <c r="A40" s="543" t="inlineStr">
        <is>
          <t>Urut</t>
        </is>
      </c>
      <c r="B40" s="543" t="inlineStr">
        <is>
          <t>Jenis Barang</t>
        </is>
      </c>
      <c r="C40" s="593" t="n"/>
      <c r="D40" s="543" t="inlineStr">
        <is>
          <t>Model</t>
        </is>
      </c>
      <c r="E40" s="543" t="inlineStr">
        <is>
          <t>Pabrik</t>
        </is>
      </c>
      <c r="F40" s="594" t="n"/>
      <c r="G40" s="594" t="n"/>
      <c r="H40" s="104" t="inlineStr">
        <is>
          <t>Pembuatan</t>
        </is>
      </c>
      <c r="I40" s="104" t="inlineStr">
        <is>
          <t xml:space="preserve">No/. Kode Barang </t>
        </is>
      </c>
      <c r="J40" s="104" t="inlineStr">
        <is>
          <t>Barang</t>
        </is>
      </c>
      <c r="K40" s="104" t="inlineStr">
        <is>
          <t>Beli/</t>
        </is>
      </c>
      <c r="L40" s="104" t="inlineStr">
        <is>
          <t>Baik</t>
        </is>
      </c>
      <c r="M40" s="104" t="inlineStr">
        <is>
          <t>Kurang Baik</t>
        </is>
      </c>
      <c r="N40" s="104" t="inlineStr">
        <is>
          <t>Rusak Berat</t>
        </is>
      </c>
      <c r="O40" s="540" t="inlineStr">
        <is>
          <t>Mutasi dll</t>
        </is>
      </c>
      <c r="P40" s="214" t="n"/>
      <c r="Q40" s="217">
        <f>B40</f>
        <v/>
      </c>
      <c r="R40" s="217" t="n"/>
      <c r="S40" s="218">
        <f>H40</f>
        <v/>
      </c>
      <c r="T40" s="218">
        <f>J40</f>
        <v/>
      </c>
      <c r="U40" s="217" t="n"/>
      <c r="V40" s="218" t="n"/>
      <c r="W40" s="222" t="n"/>
      <c r="X40" s="88" t="n"/>
      <c r="Y40" s="88" t="n"/>
    </row>
    <row r="41" ht="18" customHeight="1" s="79">
      <c r="A41" s="595" t="n"/>
      <c r="B41" s="596" t="n"/>
      <c r="C41" s="597" t="n"/>
      <c r="D41" s="595" t="n"/>
      <c r="E41" s="595" t="n"/>
      <c r="F41" s="595" t="n"/>
      <c r="G41" s="595" t="n"/>
      <c r="H41" s="105" t="inlineStr">
        <is>
          <t>Atau Pembelian</t>
        </is>
      </c>
      <c r="I41" s="105" t="n"/>
      <c r="J41" s="105" t="inlineStr">
        <is>
          <t>Register x)</t>
        </is>
      </c>
      <c r="K41" s="105" t="inlineStr">
        <is>
          <t>Perolehan</t>
        </is>
      </c>
      <c r="L41" s="105" t="inlineStr">
        <is>
          <t>(B)</t>
        </is>
      </c>
      <c r="M41" s="105" t="inlineStr">
        <is>
          <t>(KB)</t>
        </is>
      </c>
      <c r="N41" s="105" t="inlineStr">
        <is>
          <t>(RB)</t>
        </is>
      </c>
      <c r="O41" s="595" t="n"/>
      <c r="P41" s="214" t="n"/>
      <c r="Q41" s="217" t="n"/>
      <c r="R41" s="217" t="n"/>
      <c r="S41" s="218">
        <f>H41</f>
        <v/>
      </c>
      <c r="T41" s="218">
        <f>J41</f>
        <v/>
      </c>
      <c r="U41" s="217" t="n"/>
      <c r="V41" s="218" t="n"/>
      <c r="W41" s="222" t="n"/>
      <c r="X41" s="88" t="n"/>
      <c r="Y41" s="88" t="n"/>
    </row>
    <row r="42" ht="18" customHeight="1" s="79">
      <c r="A42" s="47" t="n">
        <v>1</v>
      </c>
      <c r="B42" s="47" t="n">
        <v>2</v>
      </c>
      <c r="C42" s="592" t="n"/>
      <c r="D42" s="539" t="n">
        <v>3</v>
      </c>
      <c r="E42" s="539" t="n">
        <v>4</v>
      </c>
      <c r="F42" s="542" t="n">
        <v>5</v>
      </c>
      <c r="G42" s="542" t="n">
        <v>6</v>
      </c>
      <c r="H42" s="104" t="n">
        <v>7</v>
      </c>
      <c r="I42" s="104" t="n">
        <v>8</v>
      </c>
      <c r="J42" s="104" t="n">
        <v>9</v>
      </c>
      <c r="K42" s="104" t="n">
        <v>10</v>
      </c>
      <c r="L42" s="104" t="n">
        <v>11</v>
      </c>
      <c r="M42" s="104" t="n">
        <v>12</v>
      </c>
      <c r="N42" s="104" t="n">
        <v>13</v>
      </c>
      <c r="O42" s="539" t="n">
        <v>14</v>
      </c>
      <c r="P42" s="214" t="n"/>
      <c r="Q42" s="217" t="n"/>
      <c r="R42" s="217" t="n"/>
      <c r="S42" s="218" t="n"/>
      <c r="T42" s="218" t="n"/>
      <c r="U42" s="217" t="n"/>
      <c r="V42" s="218" t="n"/>
      <c r="W42" s="222" t="n"/>
      <c r="X42" s="88" t="n"/>
      <c r="Y42" s="88" t="n"/>
    </row>
    <row r="43" ht="31.5" customHeight="1" s="79">
      <c r="A43" s="47">
        <f>A30+1</f>
        <v/>
      </c>
      <c r="B43" s="567" t="inlineStr">
        <is>
          <t>Filling Besi / Metal</t>
        </is>
      </c>
      <c r="C43" s="592" t="n"/>
      <c r="D43" s="26" t="inlineStr">
        <is>
          <t>Secure Line / -</t>
        </is>
      </c>
      <c r="E43" s="32" t="n"/>
      <c r="F43" s="32" t="n"/>
      <c r="G43" s="30" t="inlineStr">
        <is>
          <t>Besi</t>
        </is>
      </c>
      <c r="H43" s="9" t="n">
        <v>2013</v>
      </c>
      <c r="I43" s="9" t="inlineStr">
        <is>
          <t>02.06.01.04.004</t>
        </is>
      </c>
      <c r="J43" s="11" t="inlineStr">
        <is>
          <t>0007</t>
        </is>
      </c>
      <c r="K43" s="20" t="n">
        <v>2880334</v>
      </c>
      <c r="L43" s="9" t="inlineStr">
        <is>
          <t>Baik</t>
        </is>
      </c>
      <c r="M43" s="32" t="n"/>
      <c r="N43" s="32" t="n"/>
      <c r="O43" s="26" t="inlineStr">
        <is>
          <t>Ruang Sekretariat</t>
        </is>
      </c>
      <c r="P43" s="214" t="n"/>
      <c r="Q43" s="217" t="n"/>
      <c r="R43" s="217" t="n"/>
      <c r="S43" s="218" t="n"/>
      <c r="T43" s="218" t="n"/>
      <c r="U43" s="217" t="n"/>
      <c r="V43" s="218" t="n"/>
      <c r="W43" s="222" t="n"/>
      <c r="X43" s="88" t="n"/>
      <c r="Y43" s="88" t="n"/>
    </row>
    <row r="44" ht="31.5" customHeight="1" s="79">
      <c r="A44" s="47">
        <f>A43+1</f>
        <v/>
      </c>
      <c r="B44" s="567" t="inlineStr">
        <is>
          <t>Filling Besi / Metal</t>
        </is>
      </c>
      <c r="C44" s="592" t="n"/>
      <c r="D44" s="26" t="inlineStr">
        <is>
          <t>Secure Line /-</t>
        </is>
      </c>
      <c r="E44" s="12" t="n"/>
      <c r="F44" s="12" t="n"/>
      <c r="G44" s="34" t="inlineStr">
        <is>
          <t>Besi</t>
        </is>
      </c>
      <c r="H44" s="9" t="n">
        <v>2013</v>
      </c>
      <c r="I44" s="9" t="inlineStr">
        <is>
          <t>02.06.01.04.004</t>
        </is>
      </c>
      <c r="J44" s="11" t="inlineStr">
        <is>
          <t>0008</t>
        </is>
      </c>
      <c r="K44" s="89" t="n">
        <v>2880334</v>
      </c>
      <c r="L44" s="9" t="inlineStr">
        <is>
          <t>Baik</t>
        </is>
      </c>
      <c r="M44" s="12" t="n"/>
      <c r="N44" s="35" t="n"/>
      <c r="O44" s="183" t="inlineStr">
        <is>
          <t>Subbag Sunram</t>
        </is>
      </c>
      <c r="P44" s="214" t="n"/>
      <c r="Q44" s="217">
        <f>B44</f>
        <v/>
      </c>
      <c r="R44" s="217" t="n"/>
      <c r="S44" s="218">
        <f>H44</f>
        <v/>
      </c>
      <c r="T44" s="218">
        <f>J44</f>
        <v/>
      </c>
      <c r="U44" s="220" t="inlineStr">
        <is>
          <t>-</t>
        </is>
      </c>
      <c r="V44" s="218" t="n"/>
      <c r="W44" s="222" t="n"/>
      <c r="X44" s="88" t="n"/>
      <c r="Y44" s="88" t="n"/>
    </row>
    <row r="45" ht="31.5" customHeight="1" s="79">
      <c r="A45" s="47">
        <f>A44+1</f>
        <v/>
      </c>
      <c r="B45" s="567" t="inlineStr">
        <is>
          <t>Filling Besi / Metal</t>
        </is>
      </c>
      <c r="C45" s="592" t="n"/>
      <c r="D45" s="26" t="inlineStr">
        <is>
          <t>Secure Line /-</t>
        </is>
      </c>
      <c r="E45" s="32" t="n"/>
      <c r="F45" s="32" t="n"/>
      <c r="G45" s="30" t="inlineStr">
        <is>
          <t>Besi</t>
        </is>
      </c>
      <c r="H45" s="9" t="n">
        <v>2013</v>
      </c>
      <c r="I45" s="9" t="inlineStr">
        <is>
          <t>02.06.01.04.004</t>
        </is>
      </c>
      <c r="J45" s="11" t="inlineStr">
        <is>
          <t>0009</t>
        </is>
      </c>
      <c r="K45" s="89" t="n">
        <v>2880334</v>
      </c>
      <c r="L45" s="9" t="inlineStr">
        <is>
          <t>Baik</t>
        </is>
      </c>
      <c r="M45" s="32" t="n"/>
      <c r="N45" s="51" t="n"/>
      <c r="O45" s="50" t="inlineStr">
        <is>
          <t>Subbag Umpeg</t>
        </is>
      </c>
      <c r="P45" s="214" t="n"/>
      <c r="Q45" s="217">
        <f>B45</f>
        <v/>
      </c>
      <c r="R45" s="217" t="n"/>
      <c r="S45" s="218">
        <f>H45</f>
        <v/>
      </c>
      <c r="T45" s="218">
        <f>J45</f>
        <v/>
      </c>
      <c r="U45" s="220" t="inlineStr">
        <is>
          <t>-</t>
        </is>
      </c>
      <c r="V45" s="218" t="n"/>
      <c r="W45" s="222" t="n"/>
      <c r="X45" s="88" t="n"/>
      <c r="Y45" s="88" t="n"/>
    </row>
    <row r="46" ht="31.5" customHeight="1" s="79">
      <c r="A46" s="47">
        <f>A45+1</f>
        <v/>
      </c>
      <c r="B46" s="567" t="inlineStr">
        <is>
          <t>Filling Besi / Metal</t>
        </is>
      </c>
      <c r="C46" s="592" t="n"/>
      <c r="D46" s="26" t="inlineStr">
        <is>
          <t>BROTHER / BS - 102</t>
        </is>
      </c>
      <c r="E46" s="32" t="n"/>
      <c r="F46" s="32" t="n"/>
      <c r="G46" s="30" t="inlineStr">
        <is>
          <t>Besi</t>
        </is>
      </c>
      <c r="H46" s="9" t="n">
        <v>2014</v>
      </c>
      <c r="I46" s="9" t="inlineStr">
        <is>
          <t>02.06.01.04.004</t>
        </is>
      </c>
      <c r="J46" s="11" t="inlineStr">
        <is>
          <t>0010</t>
        </is>
      </c>
      <c r="K46" s="20" t="n">
        <v>3292653</v>
      </c>
      <c r="L46" s="9" t="inlineStr">
        <is>
          <t>Baik</t>
        </is>
      </c>
      <c r="M46" s="32" t="n"/>
      <c r="N46" s="32" t="n"/>
      <c r="O46" s="26" t="inlineStr">
        <is>
          <t>Ruang Sekretariat</t>
        </is>
      </c>
      <c r="P46" s="214" t="n"/>
      <c r="Q46" s="217">
        <f>B46</f>
        <v/>
      </c>
      <c r="R46" s="217" t="n"/>
      <c r="S46" s="218">
        <f>H46</f>
        <v/>
      </c>
      <c r="T46" s="218">
        <f>J46</f>
        <v/>
      </c>
      <c r="U46" s="220" t="inlineStr">
        <is>
          <t>-</t>
        </is>
      </c>
      <c r="V46" s="218" t="n"/>
      <c r="W46" s="222" t="n"/>
      <c r="X46" s="88" t="n"/>
      <c r="Y46" s="88" t="n"/>
    </row>
    <row r="47" ht="31.5" customHeight="1" s="79">
      <c r="A47" s="47">
        <f>A46+1</f>
        <v/>
      </c>
      <c r="B47" s="567" t="inlineStr">
        <is>
          <t>Filling Besi / Metal</t>
        </is>
      </c>
      <c r="C47" s="592" t="n"/>
      <c r="D47" s="26" t="inlineStr">
        <is>
          <t>BROTHER / BS-102</t>
        </is>
      </c>
      <c r="E47" s="32" t="n"/>
      <c r="F47" s="32" t="n"/>
      <c r="G47" s="30" t="inlineStr">
        <is>
          <t>Besi</t>
        </is>
      </c>
      <c r="H47" s="9" t="n">
        <v>2014</v>
      </c>
      <c r="I47" s="9" t="inlineStr">
        <is>
          <t>02.06.01.04.004</t>
        </is>
      </c>
      <c r="J47" s="11" t="inlineStr">
        <is>
          <t>0011</t>
        </is>
      </c>
      <c r="K47" s="89" t="n">
        <v>3292653</v>
      </c>
      <c r="L47" s="9" t="inlineStr">
        <is>
          <t>Baik</t>
        </is>
      </c>
      <c r="M47" s="32" t="n"/>
      <c r="N47" s="32" t="n"/>
      <c r="O47" s="50" t="inlineStr">
        <is>
          <t>Subbag Umpeg</t>
        </is>
      </c>
      <c r="P47" s="214" t="n"/>
      <c r="Q47" s="217">
        <f>B47</f>
        <v/>
      </c>
      <c r="R47" s="217" t="n"/>
      <c r="S47" s="218">
        <f>H47</f>
        <v/>
      </c>
      <c r="T47" s="218">
        <f>J47</f>
        <v/>
      </c>
      <c r="U47" s="220" t="inlineStr">
        <is>
          <t>-</t>
        </is>
      </c>
      <c r="V47" s="218" t="n"/>
      <c r="W47" s="222" t="n"/>
      <c r="X47" s="88" t="n"/>
      <c r="Y47" s="88" t="n"/>
    </row>
    <row r="48" ht="31.5" customHeight="1" s="79">
      <c r="A48" s="47">
        <f>A47+1</f>
        <v/>
      </c>
      <c r="B48" s="567" t="inlineStr">
        <is>
          <t>Filling Besi / Metal</t>
        </is>
      </c>
      <c r="C48" s="592" t="n"/>
      <c r="D48" s="26" t="inlineStr">
        <is>
          <t>BROTHER / BS - 102</t>
        </is>
      </c>
      <c r="E48" s="12" t="n"/>
      <c r="F48" s="12" t="n"/>
      <c r="G48" s="30" t="inlineStr">
        <is>
          <t>Besi</t>
        </is>
      </c>
      <c r="H48" s="9" t="n">
        <v>2014</v>
      </c>
      <c r="I48" s="9" t="inlineStr">
        <is>
          <t>02.06.01.04.004</t>
        </is>
      </c>
      <c r="J48" s="11" t="inlineStr">
        <is>
          <t>0012</t>
        </is>
      </c>
      <c r="K48" s="172" t="n">
        <v>3292653</v>
      </c>
      <c r="L48" s="9" t="inlineStr">
        <is>
          <t>Baik</t>
        </is>
      </c>
      <c r="M48" s="12" t="n"/>
      <c r="N48" s="12" t="n"/>
      <c r="O48" s="26" t="inlineStr">
        <is>
          <t>Kabid Politik</t>
        </is>
      </c>
      <c r="P48" s="214" t="n"/>
      <c r="Q48" s="217">
        <f>B48</f>
        <v/>
      </c>
      <c r="R48" s="217" t="n"/>
      <c r="S48" s="218">
        <f>H48</f>
        <v/>
      </c>
      <c r="T48" s="218">
        <f>J48</f>
        <v/>
      </c>
      <c r="U48" s="220" t="inlineStr">
        <is>
          <t>-</t>
        </is>
      </c>
      <c r="V48" s="218" t="n"/>
      <c r="W48" s="222" t="n"/>
      <c r="X48" s="88" t="n"/>
      <c r="Y48" s="88" t="n"/>
    </row>
    <row r="49" ht="31.5" customHeight="1" s="79">
      <c r="A49" s="47">
        <f>A48+1</f>
        <v/>
      </c>
      <c r="B49" s="567" t="inlineStr">
        <is>
          <t>Filling Besi / Metal</t>
        </is>
      </c>
      <c r="C49" s="592" t="n"/>
      <c r="D49" s="26" t="inlineStr">
        <is>
          <t>BROTHER / BS - 102</t>
        </is>
      </c>
      <c r="E49" s="32" t="n"/>
      <c r="F49" s="32" t="n"/>
      <c r="G49" s="30" t="inlineStr">
        <is>
          <t>Besi</t>
        </is>
      </c>
      <c r="H49" s="9" t="n">
        <v>2014</v>
      </c>
      <c r="I49" s="9" t="inlineStr">
        <is>
          <t>02.06.01.04.004</t>
        </is>
      </c>
      <c r="J49" s="11" t="inlineStr">
        <is>
          <t>0013</t>
        </is>
      </c>
      <c r="K49" s="20" t="n">
        <v>3292652</v>
      </c>
      <c r="L49" s="9" t="inlineStr">
        <is>
          <t>Baik</t>
        </is>
      </c>
      <c r="M49" s="32" t="n"/>
      <c r="N49" s="32" t="n"/>
      <c r="O49" s="26" t="inlineStr">
        <is>
          <t>Ruang Sekretariat</t>
        </is>
      </c>
      <c r="P49" s="214" t="n"/>
      <c r="Q49" s="217">
        <f>B49</f>
        <v/>
      </c>
      <c r="R49" s="217" t="n"/>
      <c r="S49" s="218">
        <f>H49</f>
        <v/>
      </c>
      <c r="T49" s="218">
        <f>J49</f>
        <v/>
      </c>
      <c r="U49" s="220" t="inlineStr">
        <is>
          <t>-</t>
        </is>
      </c>
      <c r="V49" s="218" t="n"/>
      <c r="W49" s="222" t="n"/>
      <c r="X49" s="88" t="n"/>
      <c r="Y49" s="88" t="n"/>
    </row>
    <row r="50" ht="47.25" customHeight="1" s="79">
      <c r="A50" s="47">
        <f>A49+1</f>
        <v/>
      </c>
      <c r="B50" s="563" t="inlineStr">
        <is>
          <t>Filling Besi / Metal</t>
        </is>
      </c>
      <c r="C50" s="592" t="n"/>
      <c r="D50" s="40" t="inlineStr">
        <is>
          <t>BROTHER / BS - 102</t>
        </is>
      </c>
      <c r="E50" s="41" t="n"/>
      <c r="F50" s="41" t="n"/>
      <c r="G50" s="42" t="inlineStr">
        <is>
          <t>Besi</t>
        </is>
      </c>
      <c r="H50" s="43" t="n">
        <v>2014</v>
      </c>
      <c r="I50" s="43" t="inlineStr">
        <is>
          <t>02.06.01.04.004</t>
        </is>
      </c>
      <c r="J50" s="44" t="inlineStr">
        <is>
          <t>0014</t>
        </is>
      </c>
      <c r="K50" s="63" t="n">
        <v>3292652</v>
      </c>
      <c r="L50" s="43" t="inlineStr">
        <is>
          <t>Baik</t>
        </is>
      </c>
      <c r="M50" s="41" t="n"/>
      <c r="N50" s="45" t="n"/>
      <c r="O50" s="40" t="inlineStr">
        <is>
          <t>Kabid Hansenibud</t>
        </is>
      </c>
      <c r="P50" s="214" t="n"/>
      <c r="Q50" s="217">
        <f>B50</f>
        <v/>
      </c>
      <c r="R50" s="217" t="n"/>
      <c r="S50" s="218">
        <f>H50</f>
        <v/>
      </c>
      <c r="T50" s="218">
        <f>J50</f>
        <v/>
      </c>
      <c r="U50" s="220" t="inlineStr">
        <is>
          <t>-</t>
        </is>
      </c>
      <c r="V50" s="218" t="n"/>
      <c r="W50" s="222" t="n"/>
      <c r="X50" s="88" t="n"/>
      <c r="Y50" s="88" t="n"/>
    </row>
    <row r="51" ht="31.5" customHeight="1" s="79">
      <c r="A51" s="47">
        <f>A50+1</f>
        <v/>
      </c>
      <c r="B51" s="563" t="inlineStr">
        <is>
          <t>Filling Besi / Metal</t>
        </is>
      </c>
      <c r="C51" s="592" t="n"/>
      <c r="D51" s="40" t="inlineStr">
        <is>
          <t>BROTHER / B - 104</t>
        </is>
      </c>
      <c r="E51" s="41" t="n"/>
      <c r="F51" s="41" t="n"/>
      <c r="G51" s="42" t="inlineStr">
        <is>
          <t>Besi</t>
        </is>
      </c>
      <c r="H51" s="43" t="n">
        <v>2017</v>
      </c>
      <c r="I51" s="43" t="inlineStr">
        <is>
          <t>02.06.01.04.004</t>
        </is>
      </c>
      <c r="J51" s="44" t="inlineStr">
        <is>
          <t>0015</t>
        </is>
      </c>
      <c r="K51" s="173" t="n">
        <v>2081257</v>
      </c>
      <c r="L51" s="43" t="inlineStr">
        <is>
          <t>Baik</t>
        </is>
      </c>
      <c r="M51" s="41" t="n"/>
      <c r="N51" s="41" t="n"/>
      <c r="O51" s="48" t="inlineStr">
        <is>
          <t>Kabid Wasnas</t>
        </is>
      </c>
      <c r="P51" s="214" t="n"/>
      <c r="Q51" s="217">
        <f>B51</f>
        <v/>
      </c>
      <c r="R51" s="217" t="n"/>
      <c r="S51" s="218">
        <f>H51</f>
        <v/>
      </c>
      <c r="T51" s="218">
        <f>J51</f>
        <v/>
      </c>
      <c r="U51" s="217" t="n"/>
      <c r="V51" s="218" t="n"/>
      <c r="W51" s="222" t="n"/>
      <c r="X51" s="88" t="n"/>
      <c r="Y51" s="88" t="n"/>
    </row>
    <row r="52" ht="31.5" customHeight="1" s="79">
      <c r="A52" s="47">
        <f>A51+1</f>
        <v/>
      </c>
      <c r="B52" s="563" t="inlineStr">
        <is>
          <t>Filling Besi / Metal</t>
        </is>
      </c>
      <c r="C52" s="592" t="n"/>
      <c r="D52" s="40" t="inlineStr">
        <is>
          <t>BROTHER / B - 104</t>
        </is>
      </c>
      <c r="E52" s="41" t="n"/>
      <c r="F52" s="41" t="n"/>
      <c r="G52" s="42" t="n"/>
      <c r="H52" s="43" t="n">
        <v>2018</v>
      </c>
      <c r="I52" s="43" t="inlineStr">
        <is>
          <t>02.06.01.04.004</t>
        </is>
      </c>
      <c r="J52" s="44" t="inlineStr">
        <is>
          <t>0017</t>
        </is>
      </c>
      <c r="K52" s="173" t="n">
        <v>2095323</v>
      </c>
      <c r="L52" s="43" t="inlineStr">
        <is>
          <t>Baik</t>
        </is>
      </c>
      <c r="M52" s="41" t="n"/>
      <c r="N52" s="41" t="n"/>
      <c r="O52" s="48" t="inlineStr">
        <is>
          <t>Kabid Wasnas</t>
        </is>
      </c>
      <c r="P52" s="214" t="n"/>
      <c r="Q52" s="217">
        <f>B52</f>
        <v/>
      </c>
      <c r="R52" s="217" t="n"/>
      <c r="S52" s="218">
        <f>H52</f>
        <v/>
      </c>
      <c r="T52" s="218">
        <f>J52</f>
        <v/>
      </c>
      <c r="U52" s="220" t="inlineStr">
        <is>
          <t>0016</t>
        </is>
      </c>
      <c r="V52" s="218" t="n"/>
      <c r="W52" s="222" t="n"/>
      <c r="X52" s="88" t="n"/>
      <c r="Y52" s="88" t="n"/>
    </row>
    <row r="53" ht="31.5" customHeight="1" s="79">
      <c r="A53" s="47">
        <f>A52+1</f>
        <v/>
      </c>
      <c r="B53" s="567" t="inlineStr">
        <is>
          <t>Lemari Kaca</t>
        </is>
      </c>
      <c r="C53" s="592" t="n"/>
      <c r="D53" s="26" t="inlineStr">
        <is>
          <t>Brother / Besi Kaca</t>
        </is>
      </c>
      <c r="E53" s="32" t="n"/>
      <c r="F53" s="32" t="n"/>
      <c r="G53" s="9" t="inlineStr">
        <is>
          <t>Besi Kaca</t>
        </is>
      </c>
      <c r="H53" s="9" t="n">
        <v>2006</v>
      </c>
      <c r="I53" s="9" t="inlineStr">
        <is>
          <t>02.06.01.04.012</t>
        </is>
      </c>
      <c r="J53" s="11" t="inlineStr">
        <is>
          <t>0001</t>
        </is>
      </c>
      <c r="K53" s="89" t="n">
        <v>1820000</v>
      </c>
      <c r="L53" s="9" t="inlineStr">
        <is>
          <t>Baik</t>
        </is>
      </c>
      <c r="M53" s="32" t="n"/>
      <c r="N53" s="32" t="n"/>
      <c r="O53" s="26" t="inlineStr">
        <is>
          <t>Subbag Keuangan</t>
        </is>
      </c>
      <c r="P53" s="214" t="n"/>
      <c r="Q53" s="217">
        <f>B53</f>
        <v/>
      </c>
      <c r="R53" s="217" t="n"/>
      <c r="S53" s="218">
        <f>H53</f>
        <v/>
      </c>
      <c r="T53" s="218">
        <f>J53</f>
        <v/>
      </c>
      <c r="U53" s="217" t="n"/>
      <c r="V53" s="218" t="n"/>
      <c r="W53" s="222" t="n"/>
      <c r="X53" s="88" t="n"/>
      <c r="Y53" s="88" t="n"/>
    </row>
    <row r="54" ht="47.25" customHeight="1" s="79">
      <c r="A54" s="47">
        <f>A53+1</f>
        <v/>
      </c>
      <c r="B54" s="567" t="inlineStr">
        <is>
          <t>Lemari Kaca</t>
        </is>
      </c>
      <c r="C54" s="592" t="n"/>
      <c r="D54" s="10" t="inlineStr">
        <is>
          <t>Brother / Besi Kaca 8304</t>
        </is>
      </c>
      <c r="E54" s="12" t="n"/>
      <c r="F54" s="12" t="n"/>
      <c r="G54" s="9" t="inlineStr">
        <is>
          <t>Besi Kaca</t>
        </is>
      </c>
      <c r="H54" s="9" t="n">
        <v>2014</v>
      </c>
      <c r="I54" s="9" t="inlineStr">
        <is>
          <t>02.06.01.04.012</t>
        </is>
      </c>
      <c r="J54" s="11" t="inlineStr">
        <is>
          <t>0002</t>
        </is>
      </c>
      <c r="K54" s="89" t="n">
        <v>3050000</v>
      </c>
      <c r="L54" s="9" t="inlineStr">
        <is>
          <t>Baik</t>
        </is>
      </c>
      <c r="M54" s="12" t="n"/>
      <c r="N54" s="12" t="n"/>
      <c r="O54" s="50" t="inlineStr">
        <is>
          <t>Subbag Sunram</t>
        </is>
      </c>
      <c r="P54" s="214" t="n"/>
      <c r="Q54" s="217">
        <f>B54</f>
        <v/>
      </c>
      <c r="R54" s="217" t="n"/>
      <c r="S54" s="218">
        <f>H54</f>
        <v/>
      </c>
      <c r="T54" s="218">
        <f>J54</f>
        <v/>
      </c>
      <c r="U54" s="217" t="n"/>
      <c r="V54" s="218" t="n"/>
      <c r="W54" s="222" t="n"/>
      <c r="X54" s="88" t="n"/>
      <c r="Y54" s="88" t="n"/>
    </row>
    <row r="55" ht="63" customHeight="1" s="79">
      <c r="A55" s="47">
        <f>A54+1</f>
        <v/>
      </c>
      <c r="B55" s="567" t="inlineStr">
        <is>
          <t xml:space="preserve">Lemari Kayu </t>
        </is>
      </c>
      <c r="C55" s="592" t="n"/>
      <c r="D55" s="26" t="inlineStr">
        <is>
          <t xml:space="preserve">Buatan Lokal / - </t>
        </is>
      </c>
      <c r="E55" s="12" t="n"/>
      <c r="F55" s="12" t="n"/>
      <c r="G55" s="30" t="inlineStr">
        <is>
          <t>Kayu Kaca</t>
        </is>
      </c>
      <c r="H55" s="9" t="n">
        <v>2000</v>
      </c>
      <c r="I55" s="9" t="inlineStr">
        <is>
          <t>02.06.01.04.014</t>
        </is>
      </c>
      <c r="J55" s="11" t="inlineStr">
        <is>
          <t>0012</t>
        </is>
      </c>
      <c r="K55" s="20" t="n">
        <v>350000</v>
      </c>
      <c r="L55" s="9" t="inlineStr">
        <is>
          <t>Baik</t>
        </is>
      </c>
      <c r="M55" s="12" t="n"/>
      <c r="N55" s="12" t="n"/>
      <c r="O55" s="10" t="inlineStr">
        <is>
          <t>Ruang Dapur / Usul Peng- hapusan</t>
        </is>
      </c>
      <c r="P55" s="214" t="n"/>
      <c r="Q55" s="217">
        <f>B55</f>
        <v/>
      </c>
      <c r="R55" s="217" t="n"/>
      <c r="S55" s="218">
        <f>H55</f>
        <v/>
      </c>
      <c r="T55" s="218">
        <f>J55</f>
        <v/>
      </c>
      <c r="U55" s="218" t="inlineStr">
        <is>
          <t>;0011</t>
        </is>
      </c>
      <c r="V55" s="218" t="n"/>
      <c r="W55" s="222" t="n"/>
      <c r="X55" s="88" t="n"/>
      <c r="Y55" s="88" t="n"/>
    </row>
    <row r="56" ht="31.5" customHeight="1" s="79">
      <c r="A56" s="47">
        <f>A55+1</f>
        <v/>
      </c>
      <c r="B56" s="567" t="inlineStr">
        <is>
          <t>Lemari Kayu</t>
        </is>
      </c>
      <c r="C56" s="592" t="n"/>
      <c r="D56" s="26" t="inlineStr">
        <is>
          <t>Brother /                               4 Rak</t>
        </is>
      </c>
      <c r="E56" s="32" t="n"/>
      <c r="F56" s="32" t="n"/>
      <c r="G56" s="9" t="inlineStr">
        <is>
          <t>Kayu Partikel</t>
        </is>
      </c>
      <c r="H56" s="9" t="n">
        <v>2006</v>
      </c>
      <c r="I56" s="9" t="inlineStr">
        <is>
          <t>02.06.01.04.014</t>
        </is>
      </c>
      <c r="J56" s="11" t="inlineStr">
        <is>
          <t>0001</t>
        </is>
      </c>
      <c r="K56" s="89" t="n">
        <v>250000</v>
      </c>
      <c r="L56" s="9" t="inlineStr">
        <is>
          <t>Baik</t>
        </is>
      </c>
      <c r="M56" s="32" t="n"/>
      <c r="N56" s="32" t="n"/>
      <c r="O56" s="26" t="inlineStr">
        <is>
          <t>Subbag Keuangan</t>
        </is>
      </c>
      <c r="P56" s="214" t="n"/>
      <c r="Q56" s="217">
        <f>B56</f>
        <v/>
      </c>
      <c r="R56" s="217" t="n"/>
      <c r="S56" s="218">
        <f>H56</f>
        <v/>
      </c>
      <c r="T56" s="218">
        <f>J56</f>
        <v/>
      </c>
      <c r="U56" s="220" t="inlineStr">
        <is>
          <t>0010</t>
        </is>
      </c>
      <c r="V56" s="218" t="n">
        <v>2000</v>
      </c>
      <c r="W56" s="222" t="n"/>
      <c r="X56" s="88" t="n"/>
      <c r="Y56" s="88" t="n"/>
    </row>
    <row r="57" ht="31.5" customHeight="1" s="79">
      <c r="A57" s="47">
        <f>A56+1</f>
        <v/>
      </c>
      <c r="B57" s="567" t="inlineStr">
        <is>
          <t>Lemari Kayu</t>
        </is>
      </c>
      <c r="C57" s="592" t="n"/>
      <c r="D57" s="26" t="inlineStr">
        <is>
          <t>Big Panel /               4 Rak</t>
        </is>
      </c>
      <c r="E57" s="32" t="n"/>
      <c r="F57" s="32" t="n"/>
      <c r="G57" s="9" t="inlineStr">
        <is>
          <t>Kayu Partikel</t>
        </is>
      </c>
      <c r="H57" s="9" t="n">
        <v>2010</v>
      </c>
      <c r="I57" s="9" t="inlineStr">
        <is>
          <t>02.06.01.04.014</t>
        </is>
      </c>
      <c r="J57" s="11" t="inlineStr">
        <is>
          <t>0002</t>
        </is>
      </c>
      <c r="K57" s="89" t="n">
        <v>396000</v>
      </c>
      <c r="L57" s="9" t="inlineStr">
        <is>
          <t>Baik</t>
        </is>
      </c>
      <c r="M57" s="32" t="n"/>
      <c r="N57" s="27" t="n"/>
      <c r="O57" s="50" t="inlineStr">
        <is>
          <t>Subbag Umpeg</t>
        </is>
      </c>
      <c r="P57" s="214" t="n"/>
      <c r="Q57" s="217">
        <f>B57</f>
        <v/>
      </c>
      <c r="R57" s="217" t="n"/>
      <c r="S57" s="218">
        <f>H57</f>
        <v/>
      </c>
      <c r="T57" s="218">
        <f>J57</f>
        <v/>
      </c>
      <c r="U57" s="220" t="inlineStr">
        <is>
          <t>0013</t>
        </is>
      </c>
      <c r="V57" s="218" t="n">
        <v>2005</v>
      </c>
      <c r="W57" s="222" t="n"/>
      <c r="X57" s="88" t="n"/>
      <c r="Y57" s="88" t="n"/>
    </row>
    <row r="58" ht="47.25" customHeight="1" s="79">
      <c r="A58" s="47">
        <f>A57+1</f>
        <v/>
      </c>
      <c r="B58" s="567" t="inlineStr">
        <is>
          <t>Lemari Kayu</t>
        </is>
      </c>
      <c r="C58" s="592" t="n"/>
      <c r="D58" s="26" t="inlineStr">
        <is>
          <t>Buatan Lokal / Kayu Kaca</t>
        </is>
      </c>
      <c r="E58" s="32" t="n"/>
      <c r="F58" s="32" t="n"/>
      <c r="G58" s="9" t="inlineStr">
        <is>
          <t>Kayu Kaca</t>
        </is>
      </c>
      <c r="H58" s="9" t="n">
        <v>2010</v>
      </c>
      <c r="I58" s="9" t="inlineStr">
        <is>
          <t>02.06.01.04.014</t>
        </is>
      </c>
      <c r="J58" s="11" t="inlineStr">
        <is>
          <t>0004</t>
        </is>
      </c>
      <c r="K58" s="20" t="n">
        <v>900000</v>
      </c>
      <c r="L58" s="9" t="inlineStr">
        <is>
          <t>Baik</t>
        </is>
      </c>
      <c r="M58" s="32" t="n"/>
      <c r="N58" s="32" t="n"/>
      <c r="O58" s="32" t="inlineStr">
        <is>
          <t>Selasar</t>
        </is>
      </c>
      <c r="P58" s="214" t="n"/>
      <c r="Q58" s="217">
        <f>B58</f>
        <v/>
      </c>
      <c r="R58" s="217" t="n"/>
      <c r="S58" s="218">
        <f>H58</f>
        <v/>
      </c>
      <c r="T58" s="218">
        <f>J58</f>
        <v/>
      </c>
      <c r="U58" s="219" t="inlineStr">
        <is>
          <t>0003 &amp; 0005</t>
        </is>
      </c>
      <c r="V58" s="218" t="n">
        <v>2010</v>
      </c>
      <c r="W58" s="222" t="n"/>
      <c r="X58" s="88" t="n"/>
      <c r="Y58" s="88" t="n"/>
    </row>
    <row r="59" ht="47.25" customHeight="1" s="79">
      <c r="A59" s="47">
        <f>A58+1</f>
        <v/>
      </c>
      <c r="B59" s="567" t="inlineStr">
        <is>
          <t>Lemari Kayu</t>
        </is>
      </c>
      <c r="C59" s="592" t="n"/>
      <c r="D59" s="26" t="inlineStr">
        <is>
          <t>SAGA RB 2800/ Lemari Buku</t>
        </is>
      </c>
      <c r="E59" s="32" t="n"/>
      <c r="F59" s="32" t="n"/>
      <c r="G59" s="9" t="inlineStr">
        <is>
          <t>Kayu Partikel</t>
        </is>
      </c>
      <c r="H59" s="9" t="n">
        <v>2011</v>
      </c>
      <c r="I59" s="9" t="inlineStr">
        <is>
          <t>02.06.01.04.014</t>
        </is>
      </c>
      <c r="J59" s="11" t="inlineStr">
        <is>
          <t>0006</t>
        </is>
      </c>
      <c r="K59" s="20" t="n">
        <v>892500</v>
      </c>
      <c r="L59" s="9" t="inlineStr">
        <is>
          <t>Baik</t>
        </is>
      </c>
      <c r="M59" s="32" t="n"/>
      <c r="N59" s="32" t="n"/>
      <c r="O59" s="32" t="inlineStr">
        <is>
          <t>Selasar</t>
        </is>
      </c>
      <c r="P59" s="214" t="n"/>
      <c r="Q59" s="217">
        <f>B59</f>
        <v/>
      </c>
      <c r="R59" s="217" t="n"/>
      <c r="S59" s="218">
        <f>H59</f>
        <v/>
      </c>
      <c r="T59" s="218">
        <f>J59</f>
        <v/>
      </c>
      <c r="U59" s="220" t="inlineStr">
        <is>
          <t>0007</t>
        </is>
      </c>
      <c r="V59" s="218" t="n"/>
      <c r="W59" s="222" t="n"/>
      <c r="X59" s="88" t="n"/>
      <c r="Y59" s="88" t="n"/>
    </row>
    <row r="60" ht="63" customHeight="1" s="79">
      <c r="A60" s="47">
        <f>A59+1</f>
        <v/>
      </c>
      <c r="B60" s="563" t="inlineStr">
        <is>
          <t>Papan Tulis</t>
        </is>
      </c>
      <c r="C60" s="592" t="n"/>
      <c r="D60" s="40" t="inlineStr">
        <is>
          <t>Papan Data Nominatif / Buatan Lokal</t>
        </is>
      </c>
      <c r="E60" s="41" t="n"/>
      <c r="F60" s="41" t="n"/>
      <c r="G60" s="42" t="inlineStr">
        <is>
          <t>Papan</t>
        </is>
      </c>
      <c r="H60" s="43" t="n">
        <v>2010</v>
      </c>
      <c r="I60" s="43" t="inlineStr">
        <is>
          <t>02.06.01.05.008</t>
        </is>
      </c>
      <c r="J60" s="44" t="inlineStr">
        <is>
          <t>0002</t>
        </is>
      </c>
      <c r="K60" s="63" t="n">
        <v>1350000</v>
      </c>
      <c r="L60" s="43" t="inlineStr">
        <is>
          <t>Baik</t>
        </is>
      </c>
      <c r="M60" s="43" t="n"/>
      <c r="N60" s="41" t="n"/>
      <c r="O60" s="40" t="inlineStr">
        <is>
          <t>Ruang Kaban</t>
        </is>
      </c>
      <c r="P60" s="214" t="n"/>
      <c r="Q60" s="217">
        <f>B60</f>
        <v/>
      </c>
      <c r="R60" s="217" t="n"/>
      <c r="S60" s="218">
        <f>H60</f>
        <v/>
      </c>
      <c r="T60" s="218">
        <f>J60</f>
        <v/>
      </c>
      <c r="U60" s="217" t="inlineStr">
        <is>
          <t>;0001 &amp; 0002</t>
        </is>
      </c>
      <c r="V60" s="218" t="n"/>
      <c r="W60" s="222" t="n"/>
      <c r="X60" s="88" t="n"/>
      <c r="Y60" s="88" t="n"/>
    </row>
    <row r="61" ht="31.5" customHeight="1" s="79">
      <c r="A61" s="122">
        <f>A60+1</f>
        <v/>
      </c>
      <c r="B61" s="656" t="inlineStr">
        <is>
          <t>Mesin Absensi</t>
        </is>
      </c>
      <c r="C61" s="589" t="n"/>
      <c r="D61" s="223" t="inlineStr">
        <is>
          <t>MBIO / MB 007c</t>
        </is>
      </c>
      <c r="E61" s="224" t="n"/>
      <c r="F61" s="224" t="n"/>
      <c r="G61" s="225" t="inlineStr">
        <is>
          <t>Besi Plastik</t>
        </is>
      </c>
      <c r="H61" s="226" t="n">
        <v>2019</v>
      </c>
      <c r="I61" s="226" t="inlineStr">
        <is>
          <t>02.06.01.05.017</t>
        </is>
      </c>
      <c r="J61" s="227" t="inlineStr">
        <is>
          <t>0002</t>
        </is>
      </c>
      <c r="K61" s="228" t="n">
        <v>4630687</v>
      </c>
      <c r="L61" s="226" t="inlineStr">
        <is>
          <t>Baik</t>
        </is>
      </c>
      <c r="M61" s="156" t="n"/>
      <c r="N61" s="156" t="n"/>
      <c r="O61" s="229" t="inlineStr">
        <is>
          <t>Selasar</t>
        </is>
      </c>
      <c r="P61" s="214" t="n"/>
      <c r="Q61" s="217">
        <f>B61</f>
        <v/>
      </c>
      <c r="R61" s="217" t="n"/>
      <c r="S61" s="218">
        <f>H61</f>
        <v/>
      </c>
      <c r="T61" s="218">
        <f>J61</f>
        <v/>
      </c>
      <c r="U61" s="217" t="inlineStr">
        <is>
          <t>;0001</t>
        </is>
      </c>
      <c r="V61" s="218" t="n">
        <v>2012</v>
      </c>
      <c r="W61" s="222" t="n"/>
      <c r="X61" s="88" t="n"/>
      <c r="Y61" s="88" t="n"/>
    </row>
    <row r="62" ht="18" customHeight="1" s="79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231">
        <f>SUM(K43:K61)</f>
        <v/>
      </c>
      <c r="L62" s="75" t="n"/>
      <c r="M62" s="75" t="n"/>
      <c r="N62" s="75" t="n"/>
      <c r="O62" s="75" t="n"/>
      <c r="P62" s="214" t="n"/>
      <c r="Q62" s="217">
        <f>B73</f>
        <v/>
      </c>
      <c r="R62" s="217" t="n"/>
      <c r="S62" s="218">
        <f>H73</f>
        <v/>
      </c>
      <c r="T62" s="218">
        <f>J73</f>
        <v/>
      </c>
      <c r="U62" s="217" t="n"/>
      <c r="V62" s="218" t="n"/>
      <c r="W62" s="222" t="n"/>
      <c r="X62" s="88" t="n"/>
      <c r="Y62" s="88" t="n"/>
    </row>
    <row r="63" ht="18" customHeight="1" s="79">
      <c r="P63" s="214" t="n"/>
      <c r="Q63" s="217">
        <f>B74</f>
        <v/>
      </c>
      <c r="R63" s="217" t="n"/>
      <c r="S63" s="218">
        <f>H74</f>
        <v/>
      </c>
      <c r="T63" s="218">
        <f>J74</f>
        <v/>
      </c>
      <c r="U63" s="217" t="n"/>
      <c r="V63" s="218" t="n"/>
      <c r="W63" s="222" t="n"/>
      <c r="X63" s="88" t="n"/>
      <c r="Y63" s="88" t="n"/>
    </row>
    <row r="64" ht="18" customHeight="1" s="79">
      <c r="A64" s="157" t="n"/>
      <c r="B64" s="67" t="n"/>
      <c r="C64" s="67" t="n"/>
      <c r="D64" s="68" t="n"/>
      <c r="E64" s="88" t="n"/>
      <c r="F64" s="88" t="n"/>
      <c r="G64" s="80" t="n"/>
      <c r="H64" s="222" t="n"/>
      <c r="I64" s="222" t="n"/>
      <c r="J64" s="71" t="n"/>
      <c r="K64" s="72" t="n"/>
      <c r="L64" s="222" t="n"/>
      <c r="M64" s="88" t="n"/>
      <c r="N64" s="88" t="n"/>
      <c r="O64" s="97" t="n"/>
      <c r="P64" s="214" t="n"/>
      <c r="Q64" s="217" t="n"/>
      <c r="R64" s="217" t="n"/>
      <c r="S64" s="218" t="n"/>
      <c r="T64" s="218" t="n"/>
      <c r="U64" s="217" t="n"/>
      <c r="V64" s="218" t="n"/>
      <c r="W64" s="222" t="n"/>
      <c r="X64" s="88" t="n"/>
      <c r="Y64" s="88" t="n"/>
    </row>
    <row r="65" ht="18" customHeight="1" s="79">
      <c r="A65" s="157" t="n"/>
      <c r="B65" s="67" t="n"/>
      <c r="C65" s="67" t="n"/>
      <c r="D65" s="68" t="n"/>
      <c r="E65" s="88" t="n"/>
      <c r="F65" s="88" t="n"/>
      <c r="G65" s="80" t="n"/>
      <c r="H65" s="222" t="n"/>
      <c r="I65" s="222" t="n"/>
      <c r="J65" s="71" t="n"/>
      <c r="K65" s="72" t="n"/>
      <c r="L65" s="222" t="n"/>
      <c r="M65" s="88" t="n"/>
      <c r="N65" s="88" t="n"/>
      <c r="O65" s="97" t="n"/>
      <c r="P65" s="214" t="n"/>
      <c r="Q65" s="217" t="n"/>
      <c r="R65" s="217" t="n"/>
      <c r="S65" s="218" t="n"/>
      <c r="T65" s="218" t="n"/>
      <c r="U65" s="217" t="n"/>
      <c r="V65" s="218" t="n"/>
      <c r="W65" s="222" t="n"/>
      <c r="X65" s="88" t="n"/>
      <c r="Y65" s="88" t="n"/>
    </row>
    <row r="66" ht="18" customHeight="1" s="79">
      <c r="A66" s="157" t="n"/>
      <c r="B66" s="67" t="n"/>
      <c r="C66" s="67" t="n"/>
      <c r="D66" s="68" t="n"/>
      <c r="E66" s="88" t="n"/>
      <c r="F66" s="88" t="n"/>
      <c r="G66" s="80" t="n"/>
      <c r="H66" s="222" t="n"/>
      <c r="I66" s="222" t="n"/>
      <c r="J66" s="71" t="n"/>
      <c r="K66" s="72" t="n"/>
      <c r="L66" s="222" t="n"/>
      <c r="M66" s="88" t="n"/>
      <c r="N66" s="88" t="n"/>
      <c r="O66" s="97" t="n"/>
      <c r="P66" s="214" t="n"/>
      <c r="Q66" s="217" t="n"/>
      <c r="R66" s="217" t="n"/>
      <c r="S66" s="218" t="n"/>
      <c r="T66" s="218" t="n"/>
      <c r="U66" s="217" t="n"/>
      <c r="V66" s="218" t="n"/>
      <c r="W66" s="222" t="n"/>
      <c r="X66" s="88" t="n"/>
      <c r="Y66" s="88" t="n"/>
    </row>
    <row r="67" ht="18" customHeight="1" s="79">
      <c r="A67" s="157" t="n"/>
      <c r="B67" s="67" t="n"/>
      <c r="C67" s="67" t="n"/>
      <c r="D67" s="68" t="n"/>
      <c r="E67" s="88" t="n"/>
      <c r="F67" s="88" t="n"/>
      <c r="G67" s="80" t="n"/>
      <c r="H67" s="222" t="n"/>
      <c r="I67" s="222" t="n"/>
      <c r="J67" s="71" t="n"/>
      <c r="K67" s="72" t="n"/>
      <c r="L67" s="222" t="n"/>
      <c r="M67" s="88" t="n"/>
      <c r="N67" s="88" t="n"/>
      <c r="O67" s="97" t="n"/>
      <c r="P67" s="214" t="n"/>
      <c r="Q67" s="217" t="n"/>
      <c r="R67" s="217" t="n"/>
      <c r="S67" s="218" t="n"/>
      <c r="T67" s="218" t="n"/>
      <c r="U67" s="217" t="n"/>
      <c r="V67" s="218" t="n"/>
      <c r="W67" s="222" t="n"/>
      <c r="X67" s="88" t="n"/>
      <c r="Y67" s="88" t="n"/>
    </row>
    <row r="68" ht="18" customHeight="1" s="79">
      <c r="A68" s="186" t="n"/>
      <c r="B68" s="82" t="n"/>
      <c r="C68" s="82" t="n"/>
      <c r="D68" s="83" t="n"/>
      <c r="E68" s="113" t="n"/>
      <c r="F68" s="113" t="n"/>
      <c r="G68" s="85" t="n"/>
      <c r="H68" s="86" t="n"/>
      <c r="I68" s="86" t="n"/>
      <c r="J68" s="87" t="n"/>
      <c r="K68" s="114" t="n"/>
      <c r="L68" s="86" t="n"/>
      <c r="M68" s="113" t="n"/>
      <c r="N68" s="113" t="n"/>
      <c r="O68" s="187" t="n"/>
      <c r="P68" s="214" t="n"/>
      <c r="Q68" s="217" t="n"/>
      <c r="R68" s="217" t="n"/>
      <c r="S68" s="218" t="n"/>
      <c r="T68" s="218" t="n"/>
      <c r="U68" s="217" t="n"/>
      <c r="V68" s="218" t="n"/>
      <c r="W68" s="222" t="n"/>
      <c r="X68" s="88" t="n"/>
      <c r="Y68" s="88" t="n"/>
    </row>
    <row r="69" ht="18" customHeight="1" s="79">
      <c r="A69" s="538" t="inlineStr">
        <is>
          <t>No.</t>
        </is>
      </c>
      <c r="B69" s="538" t="inlineStr">
        <is>
          <t>Nama Barang</t>
        </is>
      </c>
      <c r="C69" s="589" t="n"/>
      <c r="D69" s="538" t="inlineStr">
        <is>
          <t>Merk/</t>
        </is>
      </c>
      <c r="E69" s="538" t="inlineStr">
        <is>
          <t>No. Seri</t>
        </is>
      </c>
      <c r="F69" s="655" t="inlineStr">
        <is>
          <t>Ukuran</t>
        </is>
      </c>
      <c r="G69" s="655" t="inlineStr">
        <is>
          <t>Bahan</t>
        </is>
      </c>
      <c r="H69" s="538" t="inlineStr">
        <is>
          <t xml:space="preserve">Tahun </t>
        </is>
      </c>
      <c r="I69" s="538" t="n"/>
      <c r="J69" s="538" t="inlineStr">
        <is>
          <t xml:space="preserve">Jumlah </t>
        </is>
      </c>
      <c r="K69" s="538" t="inlineStr">
        <is>
          <t xml:space="preserve">Harga </t>
        </is>
      </c>
      <c r="L69" s="544" t="inlineStr">
        <is>
          <t xml:space="preserve">Keadaan Barang </t>
        </is>
      </c>
      <c r="M69" s="591" t="n"/>
      <c r="N69" s="592" t="n"/>
      <c r="O69" s="538" t="inlineStr">
        <is>
          <t>Keterangan</t>
        </is>
      </c>
      <c r="P69" s="214" t="n"/>
      <c r="Q69" s="217">
        <f>B69</f>
        <v/>
      </c>
      <c r="R69" s="217" t="n"/>
      <c r="S69" s="218">
        <f>H69</f>
        <v/>
      </c>
      <c r="T69" s="218">
        <f>J69</f>
        <v/>
      </c>
      <c r="U69" s="217" t="n"/>
      <c r="V69" s="218" t="n"/>
      <c r="W69" s="222" t="n"/>
      <c r="X69" s="88" t="n"/>
      <c r="Y69" s="88" t="n"/>
    </row>
    <row r="70" ht="18" customHeight="1" s="79">
      <c r="A70" s="543" t="inlineStr">
        <is>
          <t>Urut</t>
        </is>
      </c>
      <c r="B70" s="543" t="inlineStr">
        <is>
          <t>Jenis Barang</t>
        </is>
      </c>
      <c r="C70" s="593" t="n"/>
      <c r="D70" s="543" t="inlineStr">
        <is>
          <t>Model</t>
        </is>
      </c>
      <c r="E70" s="543" t="inlineStr">
        <is>
          <t>Pabrik</t>
        </is>
      </c>
      <c r="F70" s="594" t="n"/>
      <c r="G70" s="594" t="n"/>
      <c r="H70" s="104" t="inlineStr">
        <is>
          <t>Pembuatan</t>
        </is>
      </c>
      <c r="I70" s="104" t="inlineStr">
        <is>
          <t xml:space="preserve">No/. Kode Barang </t>
        </is>
      </c>
      <c r="J70" s="104" t="inlineStr">
        <is>
          <t>Barang</t>
        </is>
      </c>
      <c r="K70" s="104" t="inlineStr">
        <is>
          <t>Beli/</t>
        </is>
      </c>
      <c r="L70" s="104" t="inlineStr">
        <is>
          <t>Baik</t>
        </is>
      </c>
      <c r="M70" s="104" t="inlineStr">
        <is>
          <t>Kurang Baik</t>
        </is>
      </c>
      <c r="N70" s="104" t="inlineStr">
        <is>
          <t>Rusak Berat</t>
        </is>
      </c>
      <c r="O70" s="540" t="inlineStr">
        <is>
          <t>Mutasi dll</t>
        </is>
      </c>
      <c r="P70" s="214" t="n"/>
      <c r="Q70" s="217">
        <f>B70</f>
        <v/>
      </c>
      <c r="R70" s="217" t="n"/>
      <c r="S70" s="218">
        <f>H70</f>
        <v/>
      </c>
      <c r="T70" s="218">
        <f>J70</f>
        <v/>
      </c>
      <c r="U70" s="217" t="n"/>
      <c r="V70" s="218" t="n"/>
      <c r="W70" s="222" t="n"/>
      <c r="X70" s="88" t="n"/>
      <c r="Y70" s="88" t="n"/>
    </row>
    <row r="71" ht="18" customHeight="1" s="79">
      <c r="A71" s="595" t="n"/>
      <c r="B71" s="596" t="n"/>
      <c r="C71" s="597" t="n"/>
      <c r="D71" s="595" t="n"/>
      <c r="E71" s="595" t="n"/>
      <c r="F71" s="595" t="n"/>
      <c r="G71" s="595" t="n"/>
      <c r="H71" s="105" t="inlineStr">
        <is>
          <t>Atau Pembelian</t>
        </is>
      </c>
      <c r="I71" s="105" t="n"/>
      <c r="J71" s="105" t="inlineStr">
        <is>
          <t>Register x)</t>
        </is>
      </c>
      <c r="K71" s="105" t="inlineStr">
        <is>
          <t>Perolehan</t>
        </is>
      </c>
      <c r="L71" s="105" t="inlineStr">
        <is>
          <t>(B)</t>
        </is>
      </c>
      <c r="M71" s="105" t="inlineStr">
        <is>
          <t>(KB)</t>
        </is>
      </c>
      <c r="N71" s="105" t="inlineStr">
        <is>
          <t>(RB)</t>
        </is>
      </c>
      <c r="O71" s="595" t="n"/>
      <c r="P71" s="214" t="n"/>
      <c r="Q71" s="217" t="n"/>
      <c r="R71" s="217" t="n"/>
      <c r="S71" s="218">
        <f>H71</f>
        <v/>
      </c>
      <c r="T71" s="218">
        <f>J71</f>
        <v/>
      </c>
      <c r="U71" s="217" t="n"/>
      <c r="V71" s="218" t="n"/>
      <c r="W71" s="222" t="n"/>
      <c r="X71" s="88" t="n"/>
      <c r="Y71" s="88" t="n"/>
    </row>
    <row r="72" ht="18" customHeight="1" s="79">
      <c r="A72" s="47" t="n">
        <v>1</v>
      </c>
      <c r="B72" s="47" t="n">
        <v>2</v>
      </c>
      <c r="C72" s="592" t="n"/>
      <c r="D72" s="539" t="n">
        <v>3</v>
      </c>
      <c r="E72" s="539" t="n">
        <v>4</v>
      </c>
      <c r="F72" s="542" t="n">
        <v>5</v>
      </c>
      <c r="G72" s="542" t="n">
        <v>6</v>
      </c>
      <c r="H72" s="104" t="n">
        <v>7</v>
      </c>
      <c r="I72" s="104" t="n">
        <v>8</v>
      </c>
      <c r="J72" s="104" t="n">
        <v>9</v>
      </c>
      <c r="K72" s="104" t="n">
        <v>10</v>
      </c>
      <c r="L72" s="104" t="n">
        <v>11</v>
      </c>
      <c r="M72" s="104" t="n">
        <v>12</v>
      </c>
      <c r="N72" s="104" t="n">
        <v>13</v>
      </c>
      <c r="O72" s="539" t="n">
        <v>14</v>
      </c>
      <c r="P72" s="214" t="n"/>
      <c r="Q72" s="217" t="n"/>
      <c r="R72" s="217" t="n"/>
      <c r="S72" s="218" t="n"/>
      <c r="T72" s="218" t="n"/>
      <c r="U72" s="217" t="n"/>
      <c r="V72" s="218" t="n"/>
      <c r="W72" s="222" t="n"/>
      <c r="X72" s="88" t="n"/>
      <c r="Y72" s="88" t="n"/>
    </row>
    <row r="73" ht="31.5" customHeight="1" s="79">
      <c r="A73" s="47">
        <f>A61+1</f>
        <v/>
      </c>
      <c r="B73" s="567" t="inlineStr">
        <is>
          <t>Lemari Kayu</t>
        </is>
      </c>
      <c r="C73" s="592" t="n"/>
      <c r="D73" s="26" t="inlineStr">
        <is>
          <t>Lokal /                 Hand Made</t>
        </is>
      </c>
      <c r="E73" s="12" t="n"/>
      <c r="F73" s="12" t="n"/>
      <c r="G73" s="30" t="inlineStr">
        <is>
          <t>Kayu/ Playwood</t>
        </is>
      </c>
      <c r="H73" s="9" t="n">
        <v>2020</v>
      </c>
      <c r="I73" s="9" t="inlineStr">
        <is>
          <t>02.06.02.01.001</t>
        </is>
      </c>
      <c r="J73" s="11" t="inlineStr">
        <is>
          <t>0001</t>
        </is>
      </c>
      <c r="K73" s="20" t="n">
        <v>84403000</v>
      </c>
      <c r="L73" s="9" t="inlineStr">
        <is>
          <t>Baik</t>
        </is>
      </c>
      <c r="M73" s="12" t="n"/>
      <c r="N73" s="12" t="n"/>
      <c r="O73" s="26" t="inlineStr">
        <is>
          <t>Ruang Rapat</t>
        </is>
      </c>
      <c r="P73" s="214" t="n"/>
      <c r="Q73" s="217" t="n"/>
      <c r="R73" s="217" t="n"/>
      <c r="S73" s="218" t="n"/>
      <c r="T73" s="218" t="n"/>
      <c r="U73" s="217" t="n"/>
      <c r="V73" s="218" t="n"/>
      <c r="W73" s="222" t="n"/>
      <c r="X73" s="88" t="n"/>
      <c r="Y73" s="88" t="n"/>
    </row>
    <row r="74" ht="31.5" customHeight="1" s="79">
      <c r="A74" s="47">
        <f>A73+1</f>
        <v/>
      </c>
      <c r="B74" s="567" t="inlineStr">
        <is>
          <t>Lemari Kayu</t>
        </is>
      </c>
      <c r="C74" s="592" t="n"/>
      <c r="D74" s="26" t="inlineStr">
        <is>
          <t>Lokal /                 Hand Made</t>
        </is>
      </c>
      <c r="E74" s="12" t="n"/>
      <c r="F74" s="12" t="n"/>
      <c r="G74" s="30" t="inlineStr">
        <is>
          <t>Kayu/ Playwood</t>
        </is>
      </c>
      <c r="H74" s="9" t="n">
        <v>2020</v>
      </c>
      <c r="I74" s="9" t="inlineStr">
        <is>
          <t>02.06.02.01.001</t>
        </is>
      </c>
      <c r="J74" s="11" t="inlineStr">
        <is>
          <t>0002</t>
        </is>
      </c>
      <c r="K74" s="20" t="n">
        <v>3959900</v>
      </c>
      <c r="L74" s="9" t="inlineStr">
        <is>
          <t>Baik</t>
        </is>
      </c>
      <c r="M74" s="12" t="n"/>
      <c r="N74" s="12" t="n"/>
      <c r="O74" s="10" t="inlineStr">
        <is>
          <t>Ruang Dapur</t>
        </is>
      </c>
      <c r="P74" s="214" t="n"/>
      <c r="Q74" s="217" t="n"/>
      <c r="R74" s="217" t="n"/>
      <c r="S74" s="218" t="n"/>
      <c r="T74" s="218" t="n"/>
      <c r="U74" s="217" t="n"/>
      <c r="V74" s="218" t="n"/>
      <c r="W74" s="222" t="n"/>
      <c r="X74" s="88" t="n"/>
      <c r="Y74" s="88" t="n"/>
    </row>
    <row r="75" ht="31.5" customHeight="1" s="79">
      <c r="A75" s="47">
        <f>A74+1</f>
        <v/>
      </c>
      <c r="B75" s="567" t="inlineStr">
        <is>
          <t>Kursi Besi / Metal</t>
        </is>
      </c>
      <c r="C75" s="592" t="n"/>
      <c r="D75" s="121" t="inlineStr">
        <is>
          <t>- / Warna Cream</t>
        </is>
      </c>
      <c r="E75" s="12" t="n"/>
      <c r="F75" s="12" t="n"/>
      <c r="G75" s="30" t="inlineStr">
        <is>
          <t>Basi</t>
        </is>
      </c>
      <c r="H75" s="9" t="n">
        <v>1997</v>
      </c>
      <c r="I75" s="9" t="inlineStr">
        <is>
          <t>02.06.02.01.005</t>
        </is>
      </c>
      <c r="J75" s="11" t="inlineStr">
        <is>
          <t>0001</t>
        </is>
      </c>
      <c r="K75" s="20" t="n">
        <v>148648.5</v>
      </c>
      <c r="L75" s="30" t="n"/>
      <c r="M75" s="30" t="inlineStr">
        <is>
          <t>Kurang Baik</t>
        </is>
      </c>
      <c r="N75" s="4" t="n"/>
      <c r="O75" s="10" t="inlineStr">
        <is>
          <t>Ruang Dapur</t>
        </is>
      </c>
      <c r="P75" s="214" t="n"/>
      <c r="Q75" s="217">
        <f>B75</f>
        <v/>
      </c>
      <c r="R75" s="217" t="n"/>
      <c r="S75" s="218">
        <f>H75</f>
        <v/>
      </c>
      <c r="T75" s="218">
        <f>J75</f>
        <v/>
      </c>
      <c r="U75" s="217" t="n"/>
      <c r="V75" s="218" t="n"/>
      <c r="W75" s="222" t="n"/>
      <c r="X75" s="88" t="n"/>
      <c r="Y75" s="88" t="n"/>
    </row>
    <row r="76" ht="31.5" customHeight="1" s="79">
      <c r="A76" s="47">
        <f>A75+1</f>
        <v/>
      </c>
      <c r="B76" s="567" t="inlineStr">
        <is>
          <t>Kursi Besi/Metal</t>
        </is>
      </c>
      <c r="C76" s="592" t="n"/>
      <c r="D76" s="38" t="inlineStr">
        <is>
          <t>- / Warna Cream</t>
        </is>
      </c>
      <c r="E76" s="12" t="n"/>
      <c r="F76" s="12" t="n"/>
      <c r="G76" s="47" t="inlineStr">
        <is>
          <t>Besi</t>
        </is>
      </c>
      <c r="H76" s="9" t="n">
        <v>1997</v>
      </c>
      <c r="I76" s="9" t="inlineStr">
        <is>
          <t>02.06.02.01.005</t>
        </is>
      </c>
      <c r="J76" s="11" t="inlineStr">
        <is>
          <t>0002</t>
        </is>
      </c>
      <c r="K76" s="172" t="inlineStr">
        <is>
          <t>148648.50</t>
        </is>
      </c>
      <c r="L76" s="9" t="n"/>
      <c r="M76" s="32" t="inlineStr">
        <is>
          <t>Kurang Baik</t>
        </is>
      </c>
      <c r="N76" s="12" t="n"/>
      <c r="O76" s="32" t="inlineStr">
        <is>
          <t>Ibu Yani</t>
        </is>
      </c>
      <c r="P76" s="214" t="n"/>
      <c r="Q76" s="217">
        <f>B76</f>
        <v/>
      </c>
      <c r="R76" s="217" t="n"/>
      <c r="S76" s="218">
        <f>H76</f>
        <v/>
      </c>
      <c r="T76" s="218">
        <f>J76</f>
        <v/>
      </c>
      <c r="U76" s="217" t="n"/>
      <c r="V76" s="218" t="n"/>
      <c r="W76" s="222" t="n"/>
      <c r="X76" s="88" t="n"/>
      <c r="Y76" s="88" t="n"/>
    </row>
    <row r="77" ht="31.5" customHeight="1" s="79">
      <c r="A77" s="47">
        <f>A76+1</f>
        <v/>
      </c>
      <c r="B77" s="567" t="inlineStr">
        <is>
          <t>Kursi Besi/Metal</t>
        </is>
      </c>
      <c r="C77" s="592" t="n"/>
      <c r="D77" s="38" t="inlineStr">
        <is>
          <t>- / Warna Cream</t>
        </is>
      </c>
      <c r="E77" s="12" t="n"/>
      <c r="F77" s="12" t="n"/>
      <c r="G77" s="47" t="inlineStr">
        <is>
          <t>Besi</t>
        </is>
      </c>
      <c r="H77" s="9" t="n">
        <v>1997</v>
      </c>
      <c r="I77" s="9" t="inlineStr">
        <is>
          <t>02.06.02.01.005</t>
        </is>
      </c>
      <c r="J77" s="11" t="inlineStr">
        <is>
          <t>0003</t>
        </is>
      </c>
      <c r="K77" s="172" t="inlineStr">
        <is>
          <t>148648.50</t>
        </is>
      </c>
      <c r="L77" s="9" t="n"/>
      <c r="M77" s="32" t="inlineStr">
        <is>
          <t>Kurang Baik</t>
        </is>
      </c>
      <c r="N77" s="12" t="n"/>
      <c r="O77" s="26" t="inlineStr">
        <is>
          <t>Kabid Politik</t>
        </is>
      </c>
      <c r="P77" s="214" t="n"/>
      <c r="Q77" s="217">
        <f>B77</f>
        <v/>
      </c>
      <c r="R77" s="217" t="n"/>
      <c r="S77" s="218">
        <f>H77</f>
        <v/>
      </c>
      <c r="T77" s="218">
        <f>J77</f>
        <v/>
      </c>
      <c r="U77" s="217" t="n"/>
      <c r="V77" s="218" t="n"/>
      <c r="W77" s="222" t="n"/>
      <c r="X77" s="88" t="n"/>
      <c r="Y77" s="88" t="n"/>
    </row>
    <row r="78" ht="31.5" customHeight="1" s="79">
      <c r="A78" s="47">
        <f>A77+1</f>
        <v/>
      </c>
      <c r="B78" s="567" t="inlineStr">
        <is>
          <t>Kursi Besi / Metal</t>
        </is>
      </c>
      <c r="C78" s="592" t="n"/>
      <c r="D78" s="121" t="inlineStr">
        <is>
          <t>- // Warna Crean</t>
        </is>
      </c>
      <c r="E78" s="12" t="n"/>
      <c r="F78" s="12" t="n"/>
      <c r="G78" s="9" t="inlineStr">
        <is>
          <t>Besi</t>
        </is>
      </c>
      <c r="H78" s="9" t="n">
        <v>1997</v>
      </c>
      <c r="I78" s="9" t="inlineStr">
        <is>
          <t>02.06.02.01.005</t>
        </is>
      </c>
      <c r="J78" s="11" t="inlineStr">
        <is>
          <t>0005</t>
        </is>
      </c>
      <c r="K78" s="172" t="inlineStr">
        <is>
          <t>148648.50</t>
        </is>
      </c>
      <c r="L78" s="9" t="n"/>
      <c r="M78" s="32" t="inlineStr">
        <is>
          <t>Kurang Baik</t>
        </is>
      </c>
      <c r="N78" s="12" t="n"/>
      <c r="O78" s="10" t="inlineStr">
        <is>
          <t>Kabid Ideologi</t>
        </is>
      </c>
      <c r="P78" s="214" t="n"/>
      <c r="Q78" s="217">
        <f>B78</f>
        <v/>
      </c>
      <c r="R78" s="217" t="n"/>
      <c r="S78" s="218">
        <f>H78</f>
        <v/>
      </c>
      <c r="T78" s="218">
        <f>J78</f>
        <v/>
      </c>
      <c r="U78" s="217" t="n"/>
      <c r="V78" s="218" t="n"/>
      <c r="W78" s="222" t="n"/>
      <c r="X78" s="88" t="n"/>
      <c r="Y78" s="88" t="n"/>
    </row>
    <row r="79" ht="31.5" customHeight="1" s="79">
      <c r="A79" s="47">
        <f>A78+1</f>
        <v/>
      </c>
      <c r="B79" s="567" t="inlineStr">
        <is>
          <t>Kursi Besi/Metal</t>
        </is>
      </c>
      <c r="C79" s="592" t="n"/>
      <c r="D79" s="38" t="inlineStr">
        <is>
          <t>- / Warna Cream</t>
        </is>
      </c>
      <c r="E79" s="12" t="n"/>
      <c r="F79" s="12" t="n"/>
      <c r="G79" s="47" t="inlineStr">
        <is>
          <t>Besi</t>
        </is>
      </c>
      <c r="H79" s="9" t="n">
        <v>1997</v>
      </c>
      <c r="I79" s="9" t="inlineStr">
        <is>
          <t>02.06.02.01.005</t>
        </is>
      </c>
      <c r="J79" s="11" t="inlineStr">
        <is>
          <t>0006</t>
        </is>
      </c>
      <c r="K79" s="172" t="inlineStr">
        <is>
          <t>148648.50</t>
        </is>
      </c>
      <c r="L79" s="9" t="n"/>
      <c r="M79" s="32" t="inlineStr">
        <is>
          <t>Kurang Baik</t>
        </is>
      </c>
      <c r="N79" s="12" t="n"/>
      <c r="O79" s="26" t="inlineStr">
        <is>
          <t>Kabid Politik</t>
        </is>
      </c>
      <c r="P79" s="214" t="n"/>
      <c r="Q79" s="217">
        <f>B79</f>
        <v/>
      </c>
      <c r="R79" s="217" t="n"/>
      <c r="S79" s="218">
        <f>H79</f>
        <v/>
      </c>
      <c r="T79" s="218">
        <f>J79</f>
        <v/>
      </c>
      <c r="U79" s="217" t="n"/>
      <c r="V79" s="218" t="n"/>
      <c r="W79" s="222" t="n"/>
      <c r="X79" s="88" t="n"/>
      <c r="Y79" s="88" t="n"/>
    </row>
    <row r="80" ht="31.5" customHeight="1" s="79">
      <c r="A80" s="47">
        <f>A79+1</f>
        <v/>
      </c>
      <c r="B80" s="443" t="inlineStr">
        <is>
          <t>Kursi Besi/ Metal</t>
        </is>
      </c>
      <c r="C80" s="444" t="n"/>
      <c r="D80" s="121" t="inlineStr">
        <is>
          <t>- / Warna Cream</t>
        </is>
      </c>
      <c r="E80" s="32" t="n"/>
      <c r="F80" s="32" t="n"/>
      <c r="G80" s="9" t="inlineStr">
        <is>
          <t>Besi</t>
        </is>
      </c>
      <c r="H80" s="9" t="n">
        <v>1997</v>
      </c>
      <c r="I80" s="9" t="inlineStr">
        <is>
          <t>02.06.02.01.05.</t>
        </is>
      </c>
      <c r="J80" s="11" t="inlineStr">
        <is>
          <t>0007</t>
        </is>
      </c>
      <c r="K80" s="20" t="n">
        <v>148648.5</v>
      </c>
      <c r="L80" s="9" t="n"/>
      <c r="M80" s="32" t="inlineStr">
        <is>
          <t>Kurang Baik</t>
        </is>
      </c>
      <c r="N80" s="32" t="n"/>
      <c r="O80" s="26" t="inlineStr">
        <is>
          <t>Ruang Pelayanan</t>
        </is>
      </c>
      <c r="P80" s="214" t="n"/>
      <c r="Q80" s="217">
        <f>B80</f>
        <v/>
      </c>
      <c r="R80" s="217" t="n"/>
      <c r="S80" s="218">
        <f>H80</f>
        <v/>
      </c>
      <c r="T80" s="218">
        <f>J80</f>
        <v/>
      </c>
      <c r="U80" s="217" t="n"/>
      <c r="V80" s="218" t="n"/>
      <c r="W80" s="222" t="n"/>
      <c r="X80" s="88" t="n"/>
      <c r="Y80" s="88" t="n"/>
    </row>
    <row r="81" ht="31.5" customHeight="1" s="79">
      <c r="A81" s="47">
        <f>A80+1</f>
        <v/>
      </c>
      <c r="B81" s="567" t="inlineStr">
        <is>
          <t>Kursi Besi / Metal</t>
        </is>
      </c>
      <c r="C81" s="592" t="n"/>
      <c r="D81" s="121" t="inlineStr">
        <is>
          <t>- / Warna Cream</t>
        </is>
      </c>
      <c r="E81" s="12" t="n"/>
      <c r="F81" s="12" t="n"/>
      <c r="G81" s="30" t="inlineStr">
        <is>
          <t>Basi</t>
        </is>
      </c>
      <c r="H81" s="9" t="n">
        <v>1997</v>
      </c>
      <c r="I81" s="9" t="inlineStr">
        <is>
          <t>02.06.02.01.005</t>
        </is>
      </c>
      <c r="J81" s="11" t="inlineStr">
        <is>
          <t>0008</t>
        </is>
      </c>
      <c r="K81" s="20" t="n">
        <v>148648.5</v>
      </c>
      <c r="L81" s="30" t="n"/>
      <c r="M81" s="32" t="inlineStr">
        <is>
          <t>Kurang Baik</t>
        </is>
      </c>
      <c r="N81" s="4" t="n"/>
      <c r="O81" s="48" t="inlineStr">
        <is>
          <t>Kabid Wasnas</t>
        </is>
      </c>
      <c r="P81" s="214" t="n"/>
      <c r="Q81" s="217">
        <f>B81</f>
        <v/>
      </c>
      <c r="R81" s="217" t="n"/>
      <c r="S81" s="218">
        <f>H81</f>
        <v/>
      </c>
      <c r="T81" s="218">
        <f>J81</f>
        <v/>
      </c>
      <c r="U81" s="217" t="n"/>
      <c r="V81" s="218" t="n"/>
      <c r="W81" s="222" t="n"/>
      <c r="X81" s="88" t="n"/>
      <c r="Y81" s="88" t="n"/>
    </row>
    <row r="82" ht="31.5" customHeight="1" s="79">
      <c r="A82" s="47">
        <f>A81+1</f>
        <v/>
      </c>
      <c r="B82" s="567" t="inlineStr">
        <is>
          <t>Kursi Besi / Metal</t>
        </is>
      </c>
      <c r="C82" s="592" t="n"/>
      <c r="D82" s="121" t="inlineStr">
        <is>
          <t>- / Warna Cream</t>
        </is>
      </c>
      <c r="E82" s="12" t="n"/>
      <c r="F82" s="12" t="n"/>
      <c r="G82" s="30" t="inlineStr">
        <is>
          <t>Basi</t>
        </is>
      </c>
      <c r="H82" s="9" t="n">
        <v>1997</v>
      </c>
      <c r="I82" s="9" t="inlineStr">
        <is>
          <t>02.06.02.01.005</t>
        </is>
      </c>
      <c r="J82" s="11" t="inlineStr">
        <is>
          <t>0009</t>
        </is>
      </c>
      <c r="K82" s="20" t="n">
        <v>148648.5</v>
      </c>
      <c r="L82" s="30" t="n"/>
      <c r="M82" s="30" t="inlineStr">
        <is>
          <t>Kurang Baik</t>
        </is>
      </c>
      <c r="N82" s="4" t="n"/>
      <c r="O82" s="10" t="inlineStr">
        <is>
          <t>Ruang Dapur</t>
        </is>
      </c>
      <c r="P82" s="214" t="n"/>
      <c r="Q82" s="217">
        <f>B82</f>
        <v/>
      </c>
      <c r="R82" s="217" t="n"/>
      <c r="S82" s="218">
        <f>H82</f>
        <v/>
      </c>
      <c r="T82" s="218">
        <f>J82</f>
        <v/>
      </c>
      <c r="U82" s="217" t="n"/>
      <c r="V82" s="218" t="n"/>
      <c r="W82" s="222" t="n"/>
      <c r="X82" s="88" t="n"/>
      <c r="Y82" s="88" t="n"/>
    </row>
    <row r="83" ht="31.5" customHeight="1" s="79">
      <c r="A83" s="47">
        <f>A82+1</f>
        <v/>
      </c>
      <c r="B83" s="567" t="inlineStr">
        <is>
          <t>Kursi Besi / Metal</t>
        </is>
      </c>
      <c r="C83" s="592" t="n"/>
      <c r="D83" s="121" t="inlineStr">
        <is>
          <t>- / Warna Cream</t>
        </is>
      </c>
      <c r="E83" s="12" t="n"/>
      <c r="F83" s="12" t="n"/>
      <c r="G83" s="30" t="inlineStr">
        <is>
          <t>Basi</t>
        </is>
      </c>
      <c r="H83" s="9" t="n">
        <v>1997</v>
      </c>
      <c r="I83" s="9" t="inlineStr">
        <is>
          <t>02.06.02.01.005</t>
        </is>
      </c>
      <c r="J83" s="11" t="inlineStr">
        <is>
          <t>0012</t>
        </is>
      </c>
      <c r="K83" s="20" t="n">
        <v>148648.5</v>
      </c>
      <c r="L83" s="30" t="n"/>
      <c r="M83" s="30" t="inlineStr">
        <is>
          <t>Kurang Baik</t>
        </is>
      </c>
      <c r="N83" s="4" t="n"/>
      <c r="O83" s="10" t="inlineStr">
        <is>
          <t>Ruang Dapur</t>
        </is>
      </c>
      <c r="P83" s="214" t="n"/>
      <c r="Q83" s="217">
        <f>B83</f>
        <v/>
      </c>
      <c r="R83" s="217" t="n"/>
      <c r="S83" s="218">
        <f>H83</f>
        <v/>
      </c>
      <c r="T83" s="218">
        <f>J83</f>
        <v/>
      </c>
      <c r="U83" s="217" t="n"/>
      <c r="V83" s="218" t="n"/>
      <c r="W83" s="222" t="n"/>
      <c r="X83" s="88" t="n"/>
      <c r="Y83" s="88" t="n"/>
    </row>
    <row r="84" ht="31.5" customHeight="1" s="79">
      <c r="A84" s="47">
        <f>A83+1</f>
        <v/>
      </c>
      <c r="B84" s="567" t="inlineStr">
        <is>
          <t>Kursi Besi / Metal</t>
        </is>
      </c>
      <c r="C84" s="592" t="n"/>
      <c r="D84" s="121" t="inlineStr">
        <is>
          <t>- // Warna Crean</t>
        </is>
      </c>
      <c r="E84" s="12" t="n"/>
      <c r="F84" s="12" t="n"/>
      <c r="G84" s="9" t="inlineStr">
        <is>
          <t>Besi</t>
        </is>
      </c>
      <c r="H84" s="9" t="n">
        <v>1997</v>
      </c>
      <c r="I84" s="9" t="inlineStr">
        <is>
          <t>02.06.02.01.005</t>
        </is>
      </c>
      <c r="J84" s="11" t="inlineStr">
        <is>
          <t>0013</t>
        </is>
      </c>
      <c r="K84" s="172" t="inlineStr">
        <is>
          <t>148648.50</t>
        </is>
      </c>
      <c r="L84" s="9" t="n"/>
      <c r="M84" s="32" t="inlineStr">
        <is>
          <t>Kurang Baik</t>
        </is>
      </c>
      <c r="N84" s="4" t="n"/>
      <c r="O84" s="10" t="inlineStr">
        <is>
          <t>Kabid Ideologi</t>
        </is>
      </c>
      <c r="P84" s="214" t="n"/>
      <c r="Q84" s="217">
        <f>B84</f>
        <v/>
      </c>
      <c r="R84" s="217" t="n"/>
      <c r="S84" s="218">
        <f>H84</f>
        <v/>
      </c>
      <c r="T84" s="218">
        <f>J84</f>
        <v/>
      </c>
      <c r="U84" s="217" t="n"/>
      <c r="V84" s="218" t="n"/>
      <c r="W84" s="222" t="n"/>
      <c r="X84" s="88" t="n"/>
      <c r="Y84" s="88" t="n"/>
    </row>
    <row r="85" ht="31.5" customHeight="1" s="79">
      <c r="A85" s="47">
        <f>A84+1</f>
        <v/>
      </c>
      <c r="B85" s="567" t="inlineStr">
        <is>
          <t>Kursi Besi / Metal</t>
        </is>
      </c>
      <c r="C85" s="592" t="n"/>
      <c r="D85" s="121" t="inlineStr">
        <is>
          <t>- / Warna Cream</t>
        </is>
      </c>
      <c r="E85" s="12" t="n"/>
      <c r="F85" s="12" t="n"/>
      <c r="G85" s="30" t="inlineStr">
        <is>
          <t>Basi</t>
        </is>
      </c>
      <c r="H85" s="9" t="n">
        <v>1997</v>
      </c>
      <c r="I85" s="9" t="inlineStr">
        <is>
          <t>02.06.02.01.005</t>
        </is>
      </c>
      <c r="J85" s="11" t="inlineStr">
        <is>
          <t>0016</t>
        </is>
      </c>
      <c r="K85" s="20" t="n">
        <v>148648.5</v>
      </c>
      <c r="L85" s="30" t="n"/>
      <c r="M85" s="30" t="inlineStr">
        <is>
          <t>Kurang Baik</t>
        </is>
      </c>
      <c r="N85" s="4" t="n"/>
      <c r="O85" s="10" t="inlineStr">
        <is>
          <t>Ruang Daput</t>
        </is>
      </c>
      <c r="P85" s="214" t="n"/>
      <c r="Q85" s="217">
        <f>B85</f>
        <v/>
      </c>
      <c r="R85" s="217" t="n"/>
      <c r="S85" s="218">
        <f>H85</f>
        <v/>
      </c>
      <c r="T85" s="218">
        <f>J85</f>
        <v/>
      </c>
      <c r="U85" s="217" t="n"/>
      <c r="V85" s="218" t="n"/>
      <c r="W85" s="222" t="n"/>
      <c r="X85" s="88" t="n"/>
      <c r="Y85" s="88" t="n"/>
    </row>
    <row r="86" ht="31.5" customHeight="1" s="79">
      <c r="A86" s="47">
        <f>A85+1</f>
        <v/>
      </c>
      <c r="B86" s="567" t="inlineStr">
        <is>
          <t>Kursi Besi / Metal</t>
        </is>
      </c>
      <c r="C86" s="592" t="n"/>
      <c r="D86" s="121" t="inlineStr">
        <is>
          <t>- / Warna Cream</t>
        </is>
      </c>
      <c r="E86" s="12" t="n"/>
      <c r="F86" s="12" t="n"/>
      <c r="G86" s="30" t="inlineStr">
        <is>
          <t>Basi</t>
        </is>
      </c>
      <c r="H86" s="9" t="n">
        <v>1997</v>
      </c>
      <c r="I86" s="9" t="inlineStr">
        <is>
          <t>02.06.02.01.005</t>
        </is>
      </c>
      <c r="J86" s="11" t="n"/>
      <c r="K86" s="20" t="n">
        <v>148648.5</v>
      </c>
      <c r="L86" s="30" t="n"/>
      <c r="M86" s="30" t="inlineStr">
        <is>
          <t>Kurang Baik</t>
        </is>
      </c>
      <c r="N86" s="4" t="n"/>
      <c r="O86" s="10" t="inlineStr">
        <is>
          <t>Ruang Dapur</t>
        </is>
      </c>
      <c r="P86" s="214" t="n"/>
      <c r="Q86" s="217">
        <f>B86</f>
        <v/>
      </c>
      <c r="R86" s="217" t="n"/>
      <c r="S86" s="218">
        <f>H86</f>
        <v/>
      </c>
      <c r="T86" s="218">
        <f>J86</f>
        <v/>
      </c>
      <c r="U86" s="217" t="n"/>
      <c r="V86" s="218" t="n"/>
      <c r="W86" s="222" t="n"/>
      <c r="X86" s="88" t="n"/>
      <c r="Y86" s="88" t="n"/>
    </row>
    <row r="87" ht="31.5" customHeight="1" s="79">
      <c r="A87" s="47">
        <f>A86+1</f>
        <v/>
      </c>
      <c r="B87" s="657" t="inlineStr">
        <is>
          <t>Meja Panjang</t>
        </is>
      </c>
      <c r="C87" s="597" t="n"/>
      <c r="D87" s="26" t="inlineStr">
        <is>
          <t>Lokal / Handmade</t>
        </is>
      </c>
      <c r="E87" s="27" t="n"/>
      <c r="F87" s="27" t="n"/>
      <c r="G87" s="9" t="inlineStr">
        <is>
          <t>Kayu</t>
        </is>
      </c>
      <c r="H87" s="7" t="n">
        <v>2020</v>
      </c>
      <c r="I87" s="9" t="inlineStr">
        <is>
          <t>02.06.02.01.009</t>
        </is>
      </c>
      <c r="J87" s="11" t="inlineStr">
        <is>
          <t>0001</t>
        </is>
      </c>
      <c r="K87" s="19" t="n">
        <v>5860000</v>
      </c>
      <c r="L87" s="7" t="inlineStr">
        <is>
          <t>Baik</t>
        </is>
      </c>
      <c r="M87" s="27" t="n"/>
      <c r="N87" s="27" t="n"/>
      <c r="O87" s="26" t="inlineStr">
        <is>
          <t>Ruang Pelayanan</t>
        </is>
      </c>
      <c r="P87" s="214" t="n"/>
      <c r="Q87" s="217">
        <f>B87</f>
        <v/>
      </c>
      <c r="R87" s="217" t="n"/>
      <c r="S87" s="218">
        <f>H87</f>
        <v/>
      </c>
      <c r="T87" s="218">
        <f>J87</f>
        <v/>
      </c>
      <c r="U87" s="217" t="n"/>
      <c r="V87" s="218" t="n"/>
      <c r="W87" s="222" t="n"/>
      <c r="X87" s="88" t="n"/>
      <c r="Y87" s="88" t="n"/>
    </row>
    <row r="88" ht="31.5" customHeight="1" s="79">
      <c r="A88" s="47">
        <f>A87+1</f>
        <v/>
      </c>
      <c r="B88" s="567" t="inlineStr">
        <is>
          <t>Meja Reception</t>
        </is>
      </c>
      <c r="C88" s="592" t="n"/>
      <c r="D88" s="26" t="inlineStr">
        <is>
          <t>Lokal / Handmade</t>
        </is>
      </c>
      <c r="E88" s="12" t="n"/>
      <c r="F88" s="12" t="n"/>
      <c r="G88" s="30" t="inlineStr">
        <is>
          <t>Kayu / Plywood</t>
        </is>
      </c>
      <c r="H88" s="9" t="n">
        <v>2020</v>
      </c>
      <c r="I88" s="9" t="inlineStr">
        <is>
          <t>02.06.02.01.017</t>
        </is>
      </c>
      <c r="J88" s="11" t="inlineStr">
        <is>
          <t>0001</t>
        </is>
      </c>
      <c r="K88" s="20" t="n">
        <v>24337500</v>
      </c>
      <c r="L88" s="9" t="inlineStr">
        <is>
          <t>Baik</t>
        </is>
      </c>
      <c r="M88" s="12" t="n"/>
      <c r="N88" s="12" t="n"/>
      <c r="O88" s="26" t="inlineStr">
        <is>
          <t>Ruang Pelayanan</t>
        </is>
      </c>
      <c r="P88" s="214" t="n"/>
      <c r="Q88" s="217">
        <f>B88</f>
        <v/>
      </c>
      <c r="R88" s="217" t="n"/>
      <c r="S88" s="218">
        <f>H88</f>
        <v/>
      </c>
      <c r="T88" s="218">
        <f>J88</f>
        <v/>
      </c>
      <c r="U88" s="217" t="n"/>
      <c r="V88" s="218" t="n"/>
      <c r="W88" s="222" t="n"/>
      <c r="X88" s="88" t="n"/>
      <c r="Y88" s="88" t="n"/>
    </row>
    <row r="89" ht="31.5" customHeight="1" s="79">
      <c r="A89" s="47">
        <f>A88+1</f>
        <v/>
      </c>
      <c r="B89" s="567" t="inlineStr">
        <is>
          <t>Kursi Tamu</t>
        </is>
      </c>
      <c r="C89" s="592" t="n"/>
      <c r="D89" s="26" t="inlineStr">
        <is>
          <t>Lokal / Handmade</t>
        </is>
      </c>
      <c r="E89" s="12" t="n"/>
      <c r="F89" s="12" t="n"/>
      <c r="G89" s="30" t="inlineStr">
        <is>
          <t>Kayu</t>
        </is>
      </c>
      <c r="H89" s="9" t="n">
        <v>2020</v>
      </c>
      <c r="I89" s="9" t="inlineStr">
        <is>
          <t>02.06.02.01.019</t>
        </is>
      </c>
      <c r="J89" s="11" t="inlineStr">
        <is>
          <t>0003</t>
        </is>
      </c>
      <c r="K89" s="20" t="n">
        <v>15628800</v>
      </c>
      <c r="L89" s="9" t="inlineStr">
        <is>
          <t>Baik</t>
        </is>
      </c>
      <c r="M89" s="12" t="n"/>
      <c r="N89" s="12" t="n"/>
      <c r="O89" s="26" t="inlineStr">
        <is>
          <t>Ruang Pelayanan</t>
        </is>
      </c>
      <c r="P89" s="214" t="n"/>
      <c r="Q89" s="217">
        <f>B89</f>
        <v/>
      </c>
      <c r="R89" s="217" t="n"/>
      <c r="S89" s="218">
        <f>H89</f>
        <v/>
      </c>
      <c r="T89" s="218">
        <f>J89</f>
        <v/>
      </c>
      <c r="U89" s="217" t="n"/>
      <c r="V89" s="218" t="n"/>
      <c r="W89" s="222" t="n"/>
      <c r="X89" s="88" t="n"/>
      <c r="Y89" s="88" t="n"/>
    </row>
    <row r="90" ht="31.5" customHeight="1" s="79">
      <c r="A90" s="47">
        <f>A89+1</f>
        <v/>
      </c>
      <c r="B90" s="567" t="inlineStr">
        <is>
          <t>Kursi Rapat</t>
        </is>
      </c>
      <c r="C90" s="592" t="n"/>
      <c r="D90" s="26" t="inlineStr">
        <is>
          <t>Chitose / Warna Biru</t>
        </is>
      </c>
      <c r="E90" s="12" t="n"/>
      <c r="F90" s="12" t="n"/>
      <c r="G90" s="30" t="inlineStr">
        <is>
          <t>Besi</t>
        </is>
      </c>
      <c r="H90" s="9" t="n">
        <v>2009</v>
      </c>
      <c r="I90" s="9" t="inlineStr">
        <is>
          <t>02.06.02.01.027</t>
        </is>
      </c>
      <c r="J90" s="11" t="inlineStr">
        <is>
          <t>0001</t>
        </is>
      </c>
      <c r="K90" s="20" t="n">
        <v>350000</v>
      </c>
      <c r="L90" s="9" t="inlineStr">
        <is>
          <t>Baik</t>
        </is>
      </c>
      <c r="M90" s="12" t="n"/>
      <c r="N90" s="4" t="n"/>
      <c r="O90" s="32" t="inlineStr">
        <is>
          <t>Riyan</t>
        </is>
      </c>
      <c r="P90" s="214" t="n"/>
      <c r="Q90" s="217">
        <f>B90</f>
        <v/>
      </c>
      <c r="R90" s="217" t="n"/>
      <c r="S90" s="218">
        <f>H90</f>
        <v/>
      </c>
      <c r="T90" s="218">
        <f>J90</f>
        <v/>
      </c>
      <c r="U90" s="217" t="n"/>
      <c r="V90" s="218" t="n"/>
      <c r="W90" s="222" t="n"/>
      <c r="X90" s="88" t="n"/>
      <c r="Y90" s="88" t="n"/>
    </row>
    <row r="91" ht="47.25" customHeight="1" s="79">
      <c r="A91" s="47">
        <f>A90+1</f>
        <v/>
      </c>
      <c r="B91" s="567" t="inlineStr">
        <is>
          <t>Kursi Rapat</t>
        </is>
      </c>
      <c r="C91" s="592" t="n"/>
      <c r="D91" s="26" t="inlineStr">
        <is>
          <t>Chitose / Warna Biru</t>
        </is>
      </c>
      <c r="E91" s="32" t="n"/>
      <c r="F91" s="32" t="n"/>
      <c r="G91" s="30" t="inlineStr">
        <is>
          <t>Besi</t>
        </is>
      </c>
      <c r="H91" s="9" t="n">
        <v>2009</v>
      </c>
      <c r="I91" s="9" t="inlineStr">
        <is>
          <t>02.06.02.01.027</t>
        </is>
      </c>
      <c r="J91" s="11" t="inlineStr">
        <is>
          <t>0002</t>
        </is>
      </c>
      <c r="K91" s="20" t="n">
        <v>350000</v>
      </c>
      <c r="L91" s="9" t="inlineStr">
        <is>
          <t>Baik</t>
        </is>
      </c>
      <c r="M91" s="32" t="n"/>
      <c r="N91" s="27" t="n"/>
      <c r="O91" s="50" t="inlineStr">
        <is>
          <t>Ruang Sekretariat (Indra H)</t>
        </is>
      </c>
      <c r="P91" s="214" t="n"/>
      <c r="Q91" s="217">
        <f>B91</f>
        <v/>
      </c>
      <c r="R91" s="217" t="n"/>
      <c r="S91" s="218">
        <f>H91</f>
        <v/>
      </c>
      <c r="T91" s="218">
        <f>J91</f>
        <v/>
      </c>
      <c r="U91" s="217" t="n"/>
      <c r="V91" s="218" t="n"/>
      <c r="W91" s="222" t="n"/>
      <c r="X91" s="88" t="n"/>
      <c r="Y91" s="88" t="n"/>
    </row>
    <row r="92" ht="47.25" customHeight="1" s="79">
      <c r="A92" s="47">
        <f>A91+1</f>
        <v/>
      </c>
      <c r="B92" s="567" t="inlineStr">
        <is>
          <t>Kursi Rapat</t>
        </is>
      </c>
      <c r="C92" s="592" t="n"/>
      <c r="D92" s="26" t="inlineStr">
        <is>
          <t>Chitose / Warna Biru</t>
        </is>
      </c>
      <c r="E92" s="32" t="n"/>
      <c r="F92" s="32" t="n"/>
      <c r="G92" s="30" t="inlineStr">
        <is>
          <t>Besi</t>
        </is>
      </c>
      <c r="H92" s="9" t="n">
        <v>2009</v>
      </c>
      <c r="I92" s="9" t="inlineStr">
        <is>
          <t>02.06.02.01.027</t>
        </is>
      </c>
      <c r="J92" s="11" t="inlineStr">
        <is>
          <t>0004</t>
        </is>
      </c>
      <c r="K92" s="20" t="n">
        <v>350000</v>
      </c>
      <c r="L92" s="9" t="inlineStr">
        <is>
          <t>Baik</t>
        </is>
      </c>
      <c r="M92" s="32" t="n"/>
      <c r="N92" s="27" t="n"/>
      <c r="O92" s="50" t="inlineStr">
        <is>
          <t>Ruang Sekretariat (Indra A)</t>
        </is>
      </c>
      <c r="P92" s="214" t="n"/>
      <c r="Q92" s="217">
        <f>B92</f>
        <v/>
      </c>
      <c r="R92" s="217" t="n"/>
      <c r="S92" s="218">
        <f>H92</f>
        <v/>
      </c>
      <c r="T92" s="218">
        <f>J92</f>
        <v/>
      </c>
      <c r="U92" s="217" t="n"/>
      <c r="V92" s="218" t="n"/>
      <c r="W92" s="222" t="n"/>
      <c r="X92" s="88" t="n"/>
      <c r="Y92" s="88" t="n"/>
    </row>
    <row r="93" ht="63" customHeight="1" s="79">
      <c r="A93" s="47">
        <f>A92+1</f>
        <v/>
      </c>
      <c r="B93" s="567" t="inlineStr">
        <is>
          <t>Kursi Rapat</t>
        </is>
      </c>
      <c r="C93" s="592" t="n"/>
      <c r="D93" s="26" t="inlineStr">
        <is>
          <t>Chitose / Warna Biru</t>
        </is>
      </c>
      <c r="E93" s="32" t="n"/>
      <c r="F93" s="32" t="n"/>
      <c r="G93" s="30" t="inlineStr">
        <is>
          <t>Besi</t>
        </is>
      </c>
      <c r="H93" s="9" t="n">
        <v>2009</v>
      </c>
      <c r="I93" s="9" t="inlineStr">
        <is>
          <t>02.06.02.01.027</t>
        </is>
      </c>
      <c r="J93" s="11" t="inlineStr">
        <is>
          <t>0005</t>
        </is>
      </c>
      <c r="K93" s="20" t="n">
        <v>350000</v>
      </c>
      <c r="L93" s="9" t="inlineStr">
        <is>
          <t>Baik</t>
        </is>
      </c>
      <c r="M93" s="32" t="n"/>
      <c r="N93" s="27" t="n"/>
      <c r="O93" s="50" t="inlineStr">
        <is>
          <t>Ruang Sekretariat (Smping bu Taty)</t>
        </is>
      </c>
      <c r="P93" s="214" t="n"/>
      <c r="Q93" s="217">
        <f>B93</f>
        <v/>
      </c>
      <c r="R93" s="217" t="n"/>
      <c r="S93" s="218">
        <f>H93</f>
        <v/>
      </c>
      <c r="T93" s="218">
        <f>J93</f>
        <v/>
      </c>
      <c r="U93" s="217" t="n"/>
      <c r="V93" s="218" t="n"/>
      <c r="W93" s="222" t="n"/>
      <c r="X93" s="88" t="n"/>
      <c r="Y93" s="88" t="n"/>
    </row>
    <row r="94" ht="18" customHeight="1" s="79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231">
        <f>SUM(K73:K93)</f>
        <v/>
      </c>
      <c r="L94" s="75" t="n"/>
      <c r="M94" s="75" t="n"/>
      <c r="N94" s="75" t="n"/>
      <c r="O94" s="75" t="n"/>
      <c r="P94" s="214" t="n"/>
      <c r="Q94" s="217">
        <f>B105</f>
        <v/>
      </c>
      <c r="R94" s="217" t="n"/>
      <c r="S94" s="218">
        <f>H105</f>
        <v/>
      </c>
      <c r="T94" s="218">
        <f>J105</f>
        <v/>
      </c>
      <c r="U94" s="217" t="n"/>
      <c r="V94" s="218" t="n"/>
      <c r="W94" s="222" t="n"/>
      <c r="X94" s="88" t="n"/>
      <c r="Y94" s="88" t="n"/>
    </row>
    <row r="95" ht="18" customHeight="1" s="79">
      <c r="P95" s="214" t="n"/>
      <c r="Q95" s="217">
        <f>B106</f>
        <v/>
      </c>
      <c r="R95" s="217" t="n"/>
      <c r="S95" s="218">
        <f>H106</f>
        <v/>
      </c>
      <c r="T95" s="218">
        <f>J106</f>
        <v/>
      </c>
      <c r="U95" s="217" t="n"/>
      <c r="V95" s="218" t="n"/>
      <c r="W95" s="222" t="n"/>
      <c r="X95" s="88" t="n"/>
      <c r="Y95" s="88" t="n"/>
    </row>
    <row r="96" ht="18" customHeight="1" s="79">
      <c r="P96" s="214" t="n"/>
      <c r="Q96" s="217">
        <f>B107</f>
        <v/>
      </c>
      <c r="R96" s="217" t="n"/>
      <c r="S96" s="218">
        <f>H107</f>
        <v/>
      </c>
      <c r="T96" s="218">
        <f>J107</f>
        <v/>
      </c>
      <c r="U96" s="217" t="n"/>
      <c r="V96" s="218" t="n"/>
      <c r="W96" s="222" t="n"/>
      <c r="X96" s="88" t="n"/>
      <c r="Y96" s="88" t="n"/>
    </row>
    <row r="97" ht="18" customHeight="1" s="79">
      <c r="A97" s="157" t="n"/>
      <c r="B97" s="67" t="n"/>
      <c r="C97" s="67" t="n"/>
      <c r="D97" s="68" t="n"/>
      <c r="E97" s="88" t="n"/>
      <c r="F97" s="88" t="n"/>
      <c r="G97" s="80" t="n"/>
      <c r="H97" s="222" t="n"/>
      <c r="I97" s="222" t="n"/>
      <c r="J97" s="71" t="n"/>
      <c r="K97" s="72" t="n"/>
      <c r="L97" s="222" t="n"/>
      <c r="M97" s="88" t="n"/>
      <c r="O97" s="68" t="n"/>
      <c r="P97" s="214" t="n"/>
      <c r="Q97" s="217">
        <f>B97</f>
        <v/>
      </c>
      <c r="R97" s="217" t="n"/>
      <c r="S97" s="218">
        <f>H97</f>
        <v/>
      </c>
      <c r="T97" s="218">
        <f>J97</f>
        <v/>
      </c>
      <c r="U97" s="217" t="n"/>
      <c r="V97" s="218" t="n"/>
      <c r="W97" s="222" t="n"/>
      <c r="X97" s="88" t="n"/>
      <c r="Y97" s="88" t="n"/>
    </row>
    <row r="98" ht="18" customHeight="1" s="79">
      <c r="A98" s="157" t="n"/>
      <c r="B98" s="67" t="n"/>
      <c r="C98" s="67" t="n"/>
      <c r="D98" s="68" t="n"/>
      <c r="E98" s="88" t="n"/>
      <c r="F98" s="88" t="n"/>
      <c r="G98" s="80" t="n"/>
      <c r="H98" s="222" t="n"/>
      <c r="I98" s="222" t="n"/>
      <c r="J98" s="71" t="n"/>
      <c r="K98" s="72" t="n"/>
      <c r="L98" s="222" t="n"/>
      <c r="M98" s="88" t="n"/>
      <c r="O98" s="68" t="n"/>
      <c r="P98" s="214" t="n"/>
      <c r="Q98" s="217">
        <f>B98</f>
        <v/>
      </c>
      <c r="R98" s="217" t="n"/>
      <c r="S98" s="218">
        <f>H98</f>
        <v/>
      </c>
      <c r="T98" s="218">
        <f>J98</f>
        <v/>
      </c>
      <c r="U98" s="217" t="n"/>
      <c r="V98" s="218" t="n"/>
      <c r="W98" s="222" t="n"/>
      <c r="X98" s="88" t="n"/>
      <c r="Y98" s="88" t="n"/>
    </row>
    <row r="99" ht="18" customHeight="1" s="79">
      <c r="A99" s="157" t="n"/>
      <c r="B99" s="67" t="n"/>
      <c r="C99" s="67" t="n"/>
      <c r="D99" s="68" t="n"/>
      <c r="E99" s="88" t="n"/>
      <c r="F99" s="88" t="n"/>
      <c r="G99" s="80" t="n"/>
      <c r="H99" s="222" t="n"/>
      <c r="I99" s="222" t="n"/>
      <c r="J99" s="71" t="n"/>
      <c r="K99" s="72" t="n"/>
      <c r="L99" s="222" t="n"/>
      <c r="M99" s="88" t="n"/>
      <c r="O99" s="68" t="n"/>
      <c r="P99" s="214" t="n"/>
      <c r="Q99" s="217">
        <f>B99</f>
        <v/>
      </c>
      <c r="R99" s="217" t="n"/>
      <c r="S99" s="218">
        <f>H99</f>
        <v/>
      </c>
      <c r="T99" s="218">
        <f>J99</f>
        <v/>
      </c>
      <c r="U99" s="217" t="n"/>
      <c r="V99" s="218" t="n"/>
      <c r="W99" s="222" t="n"/>
      <c r="X99" s="88" t="n"/>
      <c r="Y99" s="88" t="n"/>
    </row>
    <row r="100" ht="18" customHeight="1" s="79">
      <c r="A100" s="186" t="n"/>
      <c r="B100" s="82" t="n"/>
      <c r="C100" s="82" t="n"/>
      <c r="D100" s="83" t="n"/>
      <c r="E100" s="113" t="n"/>
      <c r="F100" s="113" t="n"/>
      <c r="G100" s="85" t="n"/>
      <c r="H100" s="86" t="n"/>
      <c r="I100" s="86" t="n"/>
      <c r="J100" s="87" t="n"/>
      <c r="K100" s="114" t="n"/>
      <c r="L100" s="86" t="n"/>
      <c r="M100" s="113" t="n"/>
      <c r="N100" s="84" t="n"/>
      <c r="O100" s="83" t="n"/>
      <c r="P100" s="214" t="n"/>
      <c r="Q100" s="217">
        <f>B100</f>
        <v/>
      </c>
      <c r="R100" s="217" t="n"/>
      <c r="S100" s="218">
        <f>H100</f>
        <v/>
      </c>
      <c r="T100" s="218">
        <f>J100</f>
        <v/>
      </c>
      <c r="U100" s="217" t="n"/>
      <c r="V100" s="218" t="n"/>
      <c r="W100" s="222" t="n"/>
      <c r="X100" s="88" t="n"/>
      <c r="Y100" s="88" t="n"/>
    </row>
    <row r="101" ht="18" customHeight="1" s="79">
      <c r="A101" s="538" t="inlineStr">
        <is>
          <t>No.</t>
        </is>
      </c>
      <c r="B101" s="538" t="inlineStr">
        <is>
          <t>Nama Barang</t>
        </is>
      </c>
      <c r="C101" s="589" t="n"/>
      <c r="D101" s="538" t="inlineStr">
        <is>
          <t>Merk/</t>
        </is>
      </c>
      <c r="E101" s="538" t="inlineStr">
        <is>
          <t>No. Seri</t>
        </is>
      </c>
      <c r="F101" s="655" t="inlineStr">
        <is>
          <t>Ukuran</t>
        </is>
      </c>
      <c r="G101" s="655" t="inlineStr">
        <is>
          <t>Bahan</t>
        </is>
      </c>
      <c r="H101" s="538" t="inlineStr">
        <is>
          <t xml:space="preserve">Tahun </t>
        </is>
      </c>
      <c r="I101" s="538" t="n"/>
      <c r="J101" s="538" t="inlineStr">
        <is>
          <t xml:space="preserve">Jumlah </t>
        </is>
      </c>
      <c r="K101" s="538" t="inlineStr">
        <is>
          <t xml:space="preserve">Harga </t>
        </is>
      </c>
      <c r="L101" s="544" t="inlineStr">
        <is>
          <t xml:space="preserve">Keadaan Barang </t>
        </is>
      </c>
      <c r="M101" s="591" t="n"/>
      <c r="N101" s="592" t="n"/>
      <c r="O101" s="538" t="inlineStr">
        <is>
          <t>Keterangan</t>
        </is>
      </c>
      <c r="P101" s="214" t="n"/>
      <c r="Q101" s="217">
        <f>B101</f>
        <v/>
      </c>
      <c r="R101" s="217" t="n"/>
      <c r="S101" s="218">
        <f>H101</f>
        <v/>
      </c>
      <c r="T101" s="218">
        <f>J101</f>
        <v/>
      </c>
      <c r="U101" s="217" t="n"/>
      <c r="V101" s="218" t="n"/>
      <c r="W101" s="222" t="n"/>
      <c r="X101" s="88" t="n"/>
      <c r="Y101" s="88" t="n"/>
    </row>
    <row r="102" ht="18" customHeight="1" s="79">
      <c r="A102" s="543" t="inlineStr">
        <is>
          <t>Urut</t>
        </is>
      </c>
      <c r="B102" s="543" t="inlineStr">
        <is>
          <t>Jenis Barang</t>
        </is>
      </c>
      <c r="C102" s="593" t="n"/>
      <c r="D102" s="543" t="inlineStr">
        <is>
          <t>Model</t>
        </is>
      </c>
      <c r="E102" s="543" t="inlineStr">
        <is>
          <t>Pabrik</t>
        </is>
      </c>
      <c r="F102" s="594" t="n"/>
      <c r="G102" s="594" t="n"/>
      <c r="H102" s="104" t="inlineStr">
        <is>
          <t>Pembuatan</t>
        </is>
      </c>
      <c r="I102" s="104" t="inlineStr">
        <is>
          <t xml:space="preserve">No/. Kode Barang </t>
        </is>
      </c>
      <c r="J102" s="104" t="inlineStr">
        <is>
          <t>Barang</t>
        </is>
      </c>
      <c r="K102" s="104" t="inlineStr">
        <is>
          <t>Beli/</t>
        </is>
      </c>
      <c r="L102" s="104" t="inlineStr">
        <is>
          <t>Baik</t>
        </is>
      </c>
      <c r="M102" s="104" t="inlineStr">
        <is>
          <t>Kurang Baik</t>
        </is>
      </c>
      <c r="N102" s="104" t="inlineStr">
        <is>
          <t>Rusak Berat</t>
        </is>
      </c>
      <c r="O102" s="540" t="inlineStr">
        <is>
          <t>Mutasi dll</t>
        </is>
      </c>
      <c r="P102" s="214" t="n"/>
      <c r="Q102" s="217">
        <f>B102</f>
        <v/>
      </c>
      <c r="R102" s="217" t="n"/>
      <c r="S102" s="218">
        <f>H102</f>
        <v/>
      </c>
      <c r="T102" s="218">
        <f>J102</f>
        <v/>
      </c>
      <c r="U102" s="217" t="n"/>
      <c r="V102" s="218" t="n"/>
      <c r="W102" s="222" t="n"/>
      <c r="X102" s="88" t="n"/>
      <c r="Y102" s="88" t="n"/>
    </row>
    <row r="103" ht="18" customHeight="1" s="79">
      <c r="A103" s="595" t="n"/>
      <c r="B103" s="596" t="n"/>
      <c r="C103" s="597" t="n"/>
      <c r="D103" s="595" t="n"/>
      <c r="E103" s="595" t="n"/>
      <c r="F103" s="595" t="n"/>
      <c r="G103" s="595" t="n"/>
      <c r="H103" s="105" t="inlineStr">
        <is>
          <t>Atau Pembelian</t>
        </is>
      </c>
      <c r="I103" s="105" t="n"/>
      <c r="J103" s="105" t="inlineStr">
        <is>
          <t>Register x)</t>
        </is>
      </c>
      <c r="K103" s="105" t="inlineStr">
        <is>
          <t>Perolehan</t>
        </is>
      </c>
      <c r="L103" s="105" t="inlineStr">
        <is>
          <t>(B)</t>
        </is>
      </c>
      <c r="M103" s="105" t="inlineStr">
        <is>
          <t>(KB)</t>
        </is>
      </c>
      <c r="N103" s="105" t="inlineStr">
        <is>
          <t>(RB)</t>
        </is>
      </c>
      <c r="O103" s="595" t="n"/>
      <c r="P103" s="214" t="n"/>
      <c r="Q103" s="217">
        <f>B103</f>
        <v/>
      </c>
      <c r="R103" s="217" t="n"/>
      <c r="S103" s="218">
        <f>H103</f>
        <v/>
      </c>
      <c r="T103" s="218">
        <f>J103</f>
        <v/>
      </c>
      <c r="U103" s="217" t="n"/>
      <c r="V103" s="218" t="n"/>
      <c r="W103" s="222" t="n"/>
      <c r="X103" s="88" t="n"/>
      <c r="Y103" s="88" t="n"/>
    </row>
    <row r="104" ht="18" customHeight="1" s="79">
      <c r="A104" s="47" t="n">
        <v>1</v>
      </c>
      <c r="B104" s="47" t="n">
        <v>2</v>
      </c>
      <c r="C104" s="592" t="n"/>
      <c r="D104" s="539" t="n">
        <v>3</v>
      </c>
      <c r="E104" s="539" t="n">
        <v>4</v>
      </c>
      <c r="F104" s="542" t="n">
        <v>5</v>
      </c>
      <c r="G104" s="542" t="n">
        <v>6</v>
      </c>
      <c r="H104" s="104" t="n">
        <v>7</v>
      </c>
      <c r="I104" s="104" t="n">
        <v>8</v>
      </c>
      <c r="J104" s="104" t="n">
        <v>9</v>
      </c>
      <c r="K104" s="104" t="n">
        <v>10</v>
      </c>
      <c r="L104" s="104" t="n">
        <v>11</v>
      </c>
      <c r="M104" s="104" t="n">
        <v>12</v>
      </c>
      <c r="N104" s="104" t="n">
        <v>13</v>
      </c>
      <c r="O104" s="539" t="n">
        <v>14</v>
      </c>
      <c r="P104" s="214" t="n"/>
      <c r="Q104" s="217">
        <f>B104</f>
        <v/>
      </c>
      <c r="R104" s="217" t="n"/>
      <c r="S104" s="218">
        <f>H104</f>
        <v/>
      </c>
      <c r="T104" s="218">
        <f>J104</f>
        <v/>
      </c>
      <c r="U104" s="217" t="n"/>
      <c r="V104" s="218" t="n"/>
      <c r="W104" s="222" t="n"/>
      <c r="X104" s="88" t="n"/>
      <c r="Y104" s="88" t="n"/>
    </row>
    <row r="105" ht="31.5" customHeight="1" s="79">
      <c r="A105" s="47">
        <f>A93+1</f>
        <v/>
      </c>
      <c r="B105" s="567" t="inlineStr">
        <is>
          <t>Kursi Rapat</t>
        </is>
      </c>
      <c r="C105" s="592" t="n"/>
      <c r="D105" s="26" t="inlineStr">
        <is>
          <t>Indachi / D 910</t>
        </is>
      </c>
      <c r="E105" s="12" t="n"/>
      <c r="F105" s="12" t="n"/>
      <c r="G105" s="30" t="inlineStr">
        <is>
          <t>Besi dan Plastik</t>
        </is>
      </c>
      <c r="H105" s="9" t="n">
        <v>2014</v>
      </c>
      <c r="I105" s="9" t="inlineStr">
        <is>
          <t>02.06.02.01.027</t>
        </is>
      </c>
      <c r="J105" s="11" t="inlineStr">
        <is>
          <t>0009</t>
        </is>
      </c>
      <c r="K105" s="20" t="n">
        <v>743915</v>
      </c>
      <c r="L105" s="9" t="inlineStr">
        <is>
          <t>Baik</t>
        </is>
      </c>
      <c r="M105" s="12" t="n"/>
      <c r="N105" s="4" t="n"/>
      <c r="O105" s="10" t="inlineStr">
        <is>
          <t>Ruang Dapur</t>
        </is>
      </c>
      <c r="P105" s="214" t="n"/>
      <c r="Q105" s="217" t="n"/>
      <c r="R105" s="217" t="n"/>
      <c r="S105" s="218" t="n"/>
      <c r="T105" s="218" t="n"/>
      <c r="U105" s="217" t="n"/>
      <c r="V105" s="218" t="n"/>
      <c r="W105" s="222" t="n"/>
      <c r="X105" s="88" t="n"/>
      <c r="Y105" s="88" t="n"/>
    </row>
    <row r="106" ht="31.5" customHeight="1" s="79">
      <c r="A106" s="47">
        <f>A105+1</f>
        <v/>
      </c>
      <c r="B106" s="567" t="inlineStr">
        <is>
          <t>Kursi Rapat</t>
        </is>
      </c>
      <c r="C106" s="592" t="n"/>
      <c r="D106" s="26" t="inlineStr">
        <is>
          <t>Indachi / D 910</t>
        </is>
      </c>
      <c r="E106" s="12" t="n"/>
      <c r="F106" s="12" t="n"/>
      <c r="G106" s="30" t="inlineStr">
        <is>
          <t>Besi dan Plastik</t>
        </is>
      </c>
      <c r="H106" s="9" t="n">
        <v>2014</v>
      </c>
      <c r="I106" s="9" t="inlineStr">
        <is>
          <t>02.06.02.01.027</t>
        </is>
      </c>
      <c r="J106" s="11" t="inlineStr">
        <is>
          <t>0010</t>
        </is>
      </c>
      <c r="K106" s="20" t="n">
        <v>743915</v>
      </c>
      <c r="L106" s="9" t="inlineStr">
        <is>
          <t>Baik</t>
        </is>
      </c>
      <c r="M106" s="12" t="n"/>
      <c r="N106" s="4" t="n"/>
      <c r="O106" s="26" t="inlineStr">
        <is>
          <t>Ruang Rapat</t>
        </is>
      </c>
      <c r="P106" s="214" t="n"/>
      <c r="Q106" s="217" t="n"/>
      <c r="R106" s="217" t="n"/>
      <c r="S106" s="218" t="n"/>
      <c r="T106" s="218" t="n"/>
      <c r="U106" s="217" t="n"/>
      <c r="V106" s="218" t="n"/>
      <c r="W106" s="222" t="n"/>
      <c r="X106" s="88" t="n"/>
      <c r="Y106" s="88" t="n"/>
    </row>
    <row r="107" ht="31.5" customHeight="1" s="79">
      <c r="A107" s="47">
        <f>A106+1</f>
        <v/>
      </c>
      <c r="B107" s="567" t="inlineStr">
        <is>
          <t>Kursi Rapat</t>
        </is>
      </c>
      <c r="C107" s="592" t="n"/>
      <c r="D107" s="26" t="inlineStr">
        <is>
          <t>Indachi / D 910</t>
        </is>
      </c>
      <c r="E107" s="12" t="n"/>
      <c r="F107" s="12" t="n"/>
      <c r="G107" s="30" t="inlineStr">
        <is>
          <t>Besi dan Plastik</t>
        </is>
      </c>
      <c r="H107" s="9" t="n">
        <v>2014</v>
      </c>
      <c r="I107" s="9" t="inlineStr">
        <is>
          <t>02.06.02.01.027</t>
        </is>
      </c>
      <c r="J107" s="11" t="inlineStr">
        <is>
          <t>0011</t>
        </is>
      </c>
      <c r="K107" s="20" t="n">
        <v>743915</v>
      </c>
      <c r="L107" s="9" t="inlineStr">
        <is>
          <t>Baik</t>
        </is>
      </c>
      <c r="M107" s="12" t="n"/>
      <c r="N107" s="4" t="n"/>
      <c r="O107" s="26" t="inlineStr">
        <is>
          <t>Ruang Pelayanan</t>
        </is>
      </c>
      <c r="P107" s="214" t="n"/>
      <c r="Q107" s="217" t="n"/>
      <c r="R107" s="217" t="n"/>
      <c r="S107" s="218" t="n"/>
      <c r="T107" s="218" t="n"/>
      <c r="U107" s="217" t="n"/>
      <c r="V107" s="218" t="n"/>
      <c r="W107" s="222" t="n"/>
      <c r="X107" s="88" t="n"/>
      <c r="Y107" s="88" t="n"/>
    </row>
    <row r="108" ht="31.5" customHeight="1" s="79">
      <c r="A108" s="47">
        <f>A107+1</f>
        <v/>
      </c>
      <c r="B108" s="567" t="inlineStr">
        <is>
          <t>Kursi Rapat</t>
        </is>
      </c>
      <c r="C108" s="592" t="n"/>
      <c r="D108" s="26" t="inlineStr">
        <is>
          <t>Indachi / D 910</t>
        </is>
      </c>
      <c r="E108" s="12" t="n"/>
      <c r="F108" s="12" t="n"/>
      <c r="G108" s="30" t="inlineStr">
        <is>
          <t>Besi dan Plastik</t>
        </is>
      </c>
      <c r="H108" s="9" t="n">
        <v>2014</v>
      </c>
      <c r="I108" s="9" t="inlineStr">
        <is>
          <t>02.06.02.01.027</t>
        </is>
      </c>
      <c r="J108" s="11" t="inlineStr">
        <is>
          <t>0012</t>
        </is>
      </c>
      <c r="K108" s="20" t="n">
        <v>743915</v>
      </c>
      <c r="L108" s="9" t="inlineStr">
        <is>
          <t>Baik</t>
        </is>
      </c>
      <c r="M108" s="12" t="n"/>
      <c r="N108" s="4" t="n"/>
      <c r="O108" s="26" t="inlineStr">
        <is>
          <t>Ruang Rapat</t>
        </is>
      </c>
      <c r="P108" s="214" t="n"/>
      <c r="Q108" s="217">
        <f>B108</f>
        <v/>
      </c>
      <c r="R108" s="217" t="n"/>
      <c r="S108" s="218">
        <f>H108</f>
        <v/>
      </c>
      <c r="T108" s="218">
        <f>J108</f>
        <v/>
      </c>
      <c r="U108" s="217" t="n"/>
      <c r="V108" s="218" t="n"/>
      <c r="W108" s="222" t="n"/>
      <c r="X108" s="88" t="n"/>
      <c r="Y108" s="88" t="n"/>
    </row>
    <row r="109" ht="31.5" customHeight="1" s="79">
      <c r="A109" s="47">
        <f>A108+1</f>
        <v/>
      </c>
      <c r="B109" s="567" t="inlineStr">
        <is>
          <t>Kursi Rapat</t>
        </is>
      </c>
      <c r="C109" s="592" t="n"/>
      <c r="D109" s="26" t="inlineStr">
        <is>
          <t>Indachi /       D 910</t>
        </is>
      </c>
      <c r="E109" s="12" t="n"/>
      <c r="F109" s="12" t="n"/>
      <c r="G109" s="30" t="inlineStr">
        <is>
          <t>Besi dan Plastik</t>
        </is>
      </c>
      <c r="H109" s="9" t="n">
        <v>2014</v>
      </c>
      <c r="I109" s="9" t="inlineStr">
        <is>
          <t>02.06.02.01.027</t>
        </is>
      </c>
      <c r="J109" s="11" t="inlineStr">
        <is>
          <t>0013</t>
        </is>
      </c>
      <c r="K109" s="20" t="n">
        <v>743915</v>
      </c>
      <c r="L109" s="9" t="inlineStr">
        <is>
          <t>Baik</t>
        </is>
      </c>
      <c r="M109" s="12" t="n"/>
      <c r="N109" s="4" t="n"/>
      <c r="O109" s="32" t="inlineStr">
        <is>
          <t>Arin</t>
        </is>
      </c>
      <c r="P109" s="214" t="n"/>
      <c r="Q109" s="217">
        <f>B109</f>
        <v/>
      </c>
      <c r="R109" s="217" t="n"/>
      <c r="S109" s="218">
        <f>H109</f>
        <v/>
      </c>
      <c r="T109" s="218">
        <f>J109</f>
        <v/>
      </c>
      <c r="U109" s="217" t="n"/>
      <c r="V109" s="218" t="n"/>
      <c r="W109" s="222" t="n"/>
      <c r="X109" s="88" t="n"/>
      <c r="Y109" s="88" t="n"/>
    </row>
    <row r="110" ht="31.5" customHeight="1" s="79">
      <c r="A110" s="47">
        <f>A109+1</f>
        <v/>
      </c>
      <c r="B110" s="567" t="inlineStr">
        <is>
          <t>Kursi Rapat</t>
        </is>
      </c>
      <c r="C110" s="592" t="n"/>
      <c r="D110" s="26" t="inlineStr">
        <is>
          <t>Indachi /       D 910</t>
        </is>
      </c>
      <c r="E110" s="12" t="n"/>
      <c r="F110" s="12" t="n"/>
      <c r="G110" s="30" t="inlineStr">
        <is>
          <t>Besi dan Plastik</t>
        </is>
      </c>
      <c r="H110" s="9" t="n">
        <v>2014</v>
      </c>
      <c r="I110" s="9" t="inlineStr">
        <is>
          <t>02.06.02.01.027</t>
        </is>
      </c>
      <c r="J110" s="11" t="inlineStr">
        <is>
          <t>0014</t>
        </is>
      </c>
      <c r="K110" s="20" t="n">
        <v>743917</v>
      </c>
      <c r="L110" s="9" t="inlineStr">
        <is>
          <t>Baik</t>
        </is>
      </c>
      <c r="M110" s="12" t="n"/>
      <c r="N110" s="4" t="n"/>
      <c r="O110" s="32" t="inlineStr">
        <is>
          <t>Bu Jannah</t>
        </is>
      </c>
      <c r="P110" s="214" t="n"/>
      <c r="Q110" s="217">
        <f>B110</f>
        <v/>
      </c>
      <c r="R110" s="217" t="n"/>
      <c r="S110" s="218">
        <f>H110</f>
        <v/>
      </c>
      <c r="T110" s="218">
        <f>J110</f>
        <v/>
      </c>
      <c r="U110" s="217" t="n"/>
      <c r="V110" s="218" t="n"/>
      <c r="W110" s="222" t="n"/>
      <c r="X110" s="88" t="n"/>
      <c r="Y110" s="88" t="n"/>
    </row>
    <row r="111" ht="31.5" customHeight="1" s="79">
      <c r="A111" s="47">
        <f>A110+1</f>
        <v/>
      </c>
      <c r="B111" s="658" t="inlineStr">
        <is>
          <t>Kursi Rapat</t>
        </is>
      </c>
      <c r="C111" s="592" t="n"/>
      <c r="D111" s="179" t="inlineStr">
        <is>
          <t>Indachi / D 910</t>
        </is>
      </c>
      <c r="E111" s="175" t="n"/>
      <c r="F111" s="175" t="n"/>
      <c r="G111" s="180" t="inlineStr">
        <is>
          <t>Besi dan Plastik</t>
        </is>
      </c>
      <c r="H111" s="176" t="n">
        <v>2014</v>
      </c>
      <c r="I111" s="176" t="inlineStr">
        <is>
          <t>02.06.02.01.027</t>
        </is>
      </c>
      <c r="J111" s="177" t="n"/>
      <c r="K111" s="178" t="n">
        <v>743915</v>
      </c>
      <c r="L111" s="176" t="inlineStr">
        <is>
          <t>Baik</t>
        </is>
      </c>
      <c r="M111" s="175" t="n"/>
      <c r="N111" s="181" t="n"/>
      <c r="O111" s="179" t="inlineStr">
        <is>
          <t>Ruang Rapat</t>
        </is>
      </c>
      <c r="P111" s="214" t="n"/>
      <c r="Q111" s="217">
        <f>B111</f>
        <v/>
      </c>
      <c r="R111" s="217" t="n"/>
      <c r="S111" s="218">
        <f>H111</f>
        <v/>
      </c>
      <c r="T111" s="218">
        <f>J111</f>
        <v/>
      </c>
      <c r="U111" s="217" t="n"/>
      <c r="V111" s="218" t="n"/>
      <c r="W111" s="222" t="n"/>
      <c r="X111" s="88" t="n"/>
      <c r="Y111" s="88" t="n"/>
    </row>
    <row r="112" ht="47.25" customHeight="1" s="79">
      <c r="A112" s="47">
        <f>A111+1</f>
        <v/>
      </c>
      <c r="B112" s="563" t="inlineStr">
        <is>
          <t>Kursi Putar</t>
        </is>
      </c>
      <c r="C112" s="592" t="n"/>
      <c r="D112" s="171" t="inlineStr">
        <is>
          <t>Isabel 325 T / -</t>
        </is>
      </c>
      <c r="E112" s="41" t="n"/>
      <c r="F112" s="41" t="n"/>
      <c r="G112" s="43" t="inlineStr">
        <is>
          <t>Besi Plastik</t>
        </is>
      </c>
      <c r="H112" s="43" t="n">
        <v>2010</v>
      </c>
      <c r="I112" s="43" t="inlineStr">
        <is>
          <t>02.06.02.01.030</t>
        </is>
      </c>
      <c r="J112" s="44" t="inlineStr">
        <is>
          <t>0021</t>
        </is>
      </c>
      <c r="K112" s="63" t="n">
        <v>320000</v>
      </c>
      <c r="L112" s="43" t="inlineStr">
        <is>
          <t>Baik</t>
        </is>
      </c>
      <c r="M112" s="552" t="inlineStr">
        <is>
          <t>Di KIB Kurang Baik</t>
        </is>
      </c>
      <c r="N112" s="41" t="n"/>
      <c r="O112" s="40" t="inlineStr">
        <is>
          <t>Kabid Hansenibud</t>
        </is>
      </c>
      <c r="P112" s="214" t="n"/>
      <c r="Q112" s="217">
        <f>B112</f>
        <v/>
      </c>
      <c r="R112" s="217" t="n"/>
      <c r="S112" s="218">
        <f>H112</f>
        <v/>
      </c>
      <c r="T112" s="218">
        <f>J112</f>
        <v/>
      </c>
      <c r="U112" s="217" t="n"/>
      <c r="V112" s="218" t="n"/>
      <c r="W112" s="222" t="n"/>
      <c r="X112" s="88" t="n"/>
      <c r="Y112" s="88" t="n"/>
    </row>
    <row r="113" ht="47.25" customHeight="1" s="79">
      <c r="A113" s="47">
        <f>A112+1</f>
        <v/>
      </c>
      <c r="B113" s="567" t="inlineStr">
        <is>
          <t>Kursi Putar</t>
        </is>
      </c>
      <c r="C113" s="592" t="n"/>
      <c r="D113" s="26" t="inlineStr">
        <is>
          <t>USHUTO / Kursi Kerja 6033</t>
        </is>
      </c>
      <c r="E113" s="12" t="n"/>
      <c r="F113" s="12" t="n"/>
      <c r="G113" s="30" t="inlineStr">
        <is>
          <t>Besi Plastik</t>
        </is>
      </c>
      <c r="H113" s="9" t="n">
        <v>2013</v>
      </c>
      <c r="I113" s="9" t="inlineStr">
        <is>
          <t>02.06.02.01.030</t>
        </is>
      </c>
      <c r="J113" s="11" t="inlineStr">
        <is>
          <t>0024</t>
        </is>
      </c>
      <c r="K113" s="20" t="n">
        <v>486971.68</v>
      </c>
      <c r="L113" s="9" t="inlineStr">
        <is>
          <t>Baik</t>
        </is>
      </c>
      <c r="M113" s="12" t="n"/>
      <c r="N113" s="4" t="n"/>
      <c r="O113" s="10" t="inlineStr">
        <is>
          <t>Ruang Dapur</t>
        </is>
      </c>
      <c r="P113" s="214" t="n"/>
      <c r="Q113" s="217">
        <f>B113</f>
        <v/>
      </c>
      <c r="R113" s="217" t="n"/>
      <c r="S113" s="218">
        <f>H113</f>
        <v/>
      </c>
      <c r="T113" s="218">
        <f>J113</f>
        <v/>
      </c>
      <c r="U113" s="217" t="n"/>
      <c r="V113" s="218" t="n"/>
      <c r="W113" s="222" t="n"/>
      <c r="X113" s="88" t="n"/>
      <c r="Y113" s="88" t="n"/>
    </row>
    <row r="114" ht="47.25" customHeight="1" s="79">
      <c r="A114" s="47">
        <f>A113+1</f>
        <v/>
      </c>
      <c r="B114" s="567" t="inlineStr">
        <is>
          <t>Kursi Putar</t>
        </is>
      </c>
      <c r="C114" s="592" t="n"/>
      <c r="D114" s="26" t="inlineStr">
        <is>
          <t>USHUTO / Kursi Kerja 6033</t>
        </is>
      </c>
      <c r="E114" s="32" t="n"/>
      <c r="F114" s="32" t="n"/>
      <c r="G114" s="30" t="inlineStr">
        <is>
          <t>Besi Plastik</t>
        </is>
      </c>
      <c r="H114" s="9" t="n">
        <v>2013</v>
      </c>
      <c r="I114" s="9" t="inlineStr">
        <is>
          <t>02.06.02.01.030</t>
        </is>
      </c>
      <c r="J114" s="11" t="inlineStr">
        <is>
          <t>0025</t>
        </is>
      </c>
      <c r="K114" s="20" t="n">
        <v>486971.68</v>
      </c>
      <c r="L114" s="9" t="inlineStr">
        <is>
          <t>Baik</t>
        </is>
      </c>
      <c r="M114" s="32" t="n"/>
      <c r="N114" s="27" t="n"/>
      <c r="O114" s="50" t="inlineStr">
        <is>
          <t>Ruang Sekretariat (Ex Atan)</t>
        </is>
      </c>
      <c r="P114" s="214" t="n"/>
      <c r="Q114" s="217">
        <f>B114</f>
        <v/>
      </c>
      <c r="R114" s="217" t="n"/>
      <c r="S114" s="218">
        <f>H114</f>
        <v/>
      </c>
      <c r="T114" s="218">
        <f>J114</f>
        <v/>
      </c>
      <c r="U114" s="217" t="n"/>
      <c r="V114" s="218" t="n"/>
      <c r="W114" s="222" t="n"/>
      <c r="X114" s="88" t="n"/>
      <c r="Y114" s="88" t="n"/>
    </row>
    <row r="115" ht="47.25" customHeight="1" s="79">
      <c r="A115" s="47">
        <f>A114+1</f>
        <v/>
      </c>
      <c r="B115" s="567" t="inlineStr">
        <is>
          <t>Kursi Putar</t>
        </is>
      </c>
      <c r="C115" s="592" t="n"/>
      <c r="D115" s="26" t="inlineStr">
        <is>
          <t>USHUTO / Kursi Kerja 6033</t>
        </is>
      </c>
      <c r="E115" s="12" t="n"/>
      <c r="F115" s="12" t="n"/>
      <c r="G115" s="30" t="inlineStr">
        <is>
          <t>Besi Plastik</t>
        </is>
      </c>
      <c r="H115" s="9" t="n">
        <v>2013</v>
      </c>
      <c r="I115" s="9" t="inlineStr">
        <is>
          <t>02.06.02.01.030</t>
        </is>
      </c>
      <c r="J115" s="11" t="inlineStr">
        <is>
          <t>0026</t>
        </is>
      </c>
      <c r="K115" s="20" t="n">
        <v>486971.68</v>
      </c>
      <c r="L115" s="9" t="inlineStr">
        <is>
          <t>Baik</t>
        </is>
      </c>
      <c r="M115" s="12" t="n"/>
      <c r="N115" s="4" t="n"/>
      <c r="O115" s="26" t="inlineStr">
        <is>
          <t>Ruang Rapat</t>
        </is>
      </c>
      <c r="P115" s="214" t="n"/>
      <c r="Q115" s="217">
        <f>B115</f>
        <v/>
      </c>
      <c r="R115" s="217" t="n"/>
      <c r="S115" s="218">
        <f>H115</f>
        <v/>
      </c>
      <c r="T115" s="218">
        <f>J115</f>
        <v/>
      </c>
      <c r="U115" s="217" t="n"/>
      <c r="V115" s="218" t="n"/>
      <c r="W115" s="222" t="n"/>
      <c r="X115" s="88" t="n"/>
      <c r="Y115" s="88" t="n"/>
    </row>
    <row r="116" ht="47.25" customHeight="1" s="79">
      <c r="A116" s="47">
        <f>A115+1</f>
        <v/>
      </c>
      <c r="B116" s="567" t="inlineStr">
        <is>
          <t>Kursi Putar</t>
        </is>
      </c>
      <c r="C116" s="592" t="n"/>
      <c r="D116" s="26" t="inlineStr">
        <is>
          <t>USHUTO / Kursi Kerja 6033</t>
        </is>
      </c>
      <c r="E116" s="32" t="n"/>
      <c r="F116" s="32" t="n"/>
      <c r="G116" s="30" t="inlineStr">
        <is>
          <t>Besi Plastik</t>
        </is>
      </c>
      <c r="H116" s="9" t="n">
        <v>2013</v>
      </c>
      <c r="I116" s="9" t="inlineStr">
        <is>
          <t>02.06.02.01.030</t>
        </is>
      </c>
      <c r="J116" s="11" t="inlineStr">
        <is>
          <t>0027</t>
        </is>
      </c>
      <c r="K116" s="20" t="n">
        <v>486971.68</v>
      </c>
      <c r="L116" s="9" t="inlineStr">
        <is>
          <t>Baik</t>
        </is>
      </c>
      <c r="M116" s="32" t="n"/>
      <c r="N116" s="27" t="n"/>
      <c r="O116" s="50" t="inlineStr">
        <is>
          <t>Ruang Sekretariat (Yanti)</t>
        </is>
      </c>
      <c r="P116" s="214" t="n"/>
      <c r="Q116" s="217">
        <f>B116</f>
        <v/>
      </c>
      <c r="R116" s="217" t="n"/>
      <c r="S116" s="218">
        <f>H116</f>
        <v/>
      </c>
      <c r="T116" s="218">
        <f>J116</f>
        <v/>
      </c>
      <c r="U116" s="217" t="n"/>
      <c r="V116" s="218" t="n"/>
      <c r="W116" s="222" t="n"/>
      <c r="X116" s="88" t="n"/>
      <c r="Y116" s="88" t="n"/>
    </row>
    <row r="117" ht="47.25" customHeight="1" s="79">
      <c r="A117" s="47">
        <f>A116+1</f>
        <v/>
      </c>
      <c r="B117" s="567" t="inlineStr">
        <is>
          <t>Kursi Putar</t>
        </is>
      </c>
      <c r="C117" s="592" t="n"/>
      <c r="D117" s="26" t="inlineStr">
        <is>
          <t>USHUTO/ Kursi Kerja 6033</t>
        </is>
      </c>
      <c r="E117" s="12" t="n"/>
      <c r="F117" s="12" t="n"/>
      <c r="G117" s="30" t="inlineStr">
        <is>
          <t>Besi Plastik</t>
        </is>
      </c>
      <c r="H117" s="9" t="n">
        <v>2013</v>
      </c>
      <c r="I117" s="9" t="inlineStr">
        <is>
          <t>02.06.02.01.030</t>
        </is>
      </c>
      <c r="J117" s="11" t="inlineStr">
        <is>
          <t>0028</t>
        </is>
      </c>
      <c r="K117" s="20" t="n">
        <v>486971.68</v>
      </c>
      <c r="L117" s="9" t="inlineStr">
        <is>
          <t>Baik</t>
        </is>
      </c>
      <c r="M117" s="12" t="n"/>
      <c r="N117" s="4" t="n"/>
      <c r="O117" s="32" t="inlineStr">
        <is>
          <t>Arief</t>
        </is>
      </c>
      <c r="P117" s="214" t="n"/>
      <c r="Q117" s="217">
        <f>B117</f>
        <v/>
      </c>
      <c r="R117" s="217" t="n"/>
      <c r="S117" s="218">
        <f>H117</f>
        <v/>
      </c>
      <c r="T117" s="218">
        <f>J117</f>
        <v/>
      </c>
      <c r="U117" s="217" t="n"/>
      <c r="V117" s="218" t="n"/>
      <c r="W117" s="222" t="n"/>
      <c r="X117" s="88" t="n"/>
      <c r="Y117" s="88" t="n"/>
    </row>
    <row r="118" ht="31.5" customHeight="1" s="79">
      <c r="A118" s="47">
        <f>A117+1</f>
        <v/>
      </c>
      <c r="B118" s="567" t="inlineStr">
        <is>
          <t>Kursi Putar</t>
        </is>
      </c>
      <c r="C118" s="592" t="n"/>
      <c r="D118" s="26" t="inlineStr">
        <is>
          <t>Indachi /        D 920</t>
        </is>
      </c>
      <c r="E118" s="12" t="n"/>
      <c r="F118" s="12" t="n"/>
      <c r="G118" s="30" t="inlineStr">
        <is>
          <t>Besi Plastik</t>
        </is>
      </c>
      <c r="H118" s="9" t="n">
        <v>2014</v>
      </c>
      <c r="I118" s="9" t="inlineStr">
        <is>
          <t>02.06.02.01.030</t>
        </is>
      </c>
      <c r="J118" s="11" t="inlineStr">
        <is>
          <t>0030</t>
        </is>
      </c>
      <c r="K118" s="20" t="n">
        <v>794180</v>
      </c>
      <c r="L118" s="9" t="inlineStr">
        <is>
          <t>Baik</t>
        </is>
      </c>
      <c r="M118" s="12" t="n"/>
      <c r="N118" s="4" t="n"/>
      <c r="O118" s="32" t="inlineStr">
        <is>
          <t>Olip</t>
        </is>
      </c>
      <c r="P118" s="214" t="n"/>
      <c r="Q118" s="217">
        <f>B118</f>
        <v/>
      </c>
      <c r="R118" s="217" t="n"/>
      <c r="S118" s="218">
        <f>H118</f>
        <v/>
      </c>
      <c r="T118" s="218">
        <f>J118</f>
        <v/>
      </c>
      <c r="U118" s="217" t="n"/>
      <c r="V118" s="218" t="n"/>
      <c r="W118" s="222" t="n"/>
      <c r="X118" s="88" t="n"/>
      <c r="Y118" s="88" t="n"/>
    </row>
    <row r="119" ht="31.5" customHeight="1" s="79">
      <c r="A119" s="47">
        <f>A118+1</f>
        <v/>
      </c>
      <c r="B119" s="567" t="inlineStr">
        <is>
          <t>Kursi Putar</t>
        </is>
      </c>
      <c r="C119" s="592" t="n"/>
      <c r="D119" s="26" t="inlineStr">
        <is>
          <t>Indachi/         D 920</t>
        </is>
      </c>
      <c r="E119" s="32" t="n"/>
      <c r="F119" s="32" t="n"/>
      <c r="G119" s="9" t="inlineStr">
        <is>
          <t>Besi Plastik</t>
        </is>
      </c>
      <c r="H119" s="9" t="n">
        <v>2014</v>
      </c>
      <c r="I119" s="9" t="inlineStr">
        <is>
          <t>02.06.02.01.030</t>
        </is>
      </c>
      <c r="J119" s="11" t="inlineStr">
        <is>
          <t>0031</t>
        </is>
      </c>
      <c r="K119" s="20" t="n">
        <v>794180</v>
      </c>
      <c r="L119" s="9" t="inlineStr">
        <is>
          <t>Baik</t>
        </is>
      </c>
      <c r="M119" s="32" t="n"/>
      <c r="N119" s="32" t="n"/>
      <c r="O119" s="40" t="inlineStr">
        <is>
          <t>Ruang Kaban</t>
        </is>
      </c>
      <c r="P119" s="214" t="n"/>
      <c r="Q119" s="217">
        <f>B119</f>
        <v/>
      </c>
      <c r="R119" s="217" t="n"/>
      <c r="S119" s="218">
        <f>H119</f>
        <v/>
      </c>
      <c r="T119" s="218">
        <f>J119</f>
        <v/>
      </c>
      <c r="U119" s="217" t="n"/>
      <c r="V119" s="218" t="n"/>
      <c r="W119" s="222" t="n"/>
      <c r="X119" s="88" t="n"/>
      <c r="Y119" s="88" t="n"/>
    </row>
    <row r="120" ht="47.25" customHeight="1" s="79">
      <c r="A120" s="47">
        <f>A119+1</f>
        <v/>
      </c>
      <c r="B120" s="567" t="inlineStr">
        <is>
          <t>Kursi Putar</t>
        </is>
      </c>
      <c r="C120" s="592" t="n"/>
      <c r="D120" s="26" t="inlineStr">
        <is>
          <t>Indachi / D 920</t>
        </is>
      </c>
      <c r="E120" s="32" t="n"/>
      <c r="F120" s="32" t="n"/>
      <c r="G120" s="30" t="inlineStr">
        <is>
          <t>Besi Plastik</t>
        </is>
      </c>
      <c r="H120" s="9" t="n">
        <v>2014</v>
      </c>
      <c r="I120" s="9" t="inlineStr">
        <is>
          <t>02.06.02.01.030</t>
        </is>
      </c>
      <c r="J120" s="11" t="inlineStr">
        <is>
          <t>0032</t>
        </is>
      </c>
      <c r="K120" s="20" t="n">
        <v>794180</v>
      </c>
      <c r="L120" s="9" t="inlineStr">
        <is>
          <t>Baik</t>
        </is>
      </c>
      <c r="M120" s="32" t="n"/>
      <c r="N120" s="27" t="n"/>
      <c r="O120" s="50" t="inlineStr">
        <is>
          <t>Ruang Sekretariat (b Taty)</t>
        </is>
      </c>
      <c r="P120" s="214" t="n"/>
      <c r="Q120" s="217">
        <f>B120</f>
        <v/>
      </c>
      <c r="R120" s="217" t="n"/>
      <c r="S120" s="218">
        <f>H120</f>
        <v/>
      </c>
      <c r="T120" s="218">
        <f>J120</f>
        <v/>
      </c>
      <c r="U120" s="217" t="n"/>
      <c r="V120" s="218" t="n"/>
      <c r="W120" s="222" t="n"/>
      <c r="X120" s="88" t="n"/>
      <c r="Y120" s="88" t="n"/>
    </row>
    <row r="121" ht="47.25" customHeight="1" s="79">
      <c r="A121" s="47">
        <f>A120+1</f>
        <v/>
      </c>
      <c r="B121" s="567" t="inlineStr">
        <is>
          <t>Kursi Putar</t>
        </is>
      </c>
      <c r="C121" s="592" t="n"/>
      <c r="D121" s="26" t="inlineStr">
        <is>
          <t>Indachi / D 920</t>
        </is>
      </c>
      <c r="E121" s="32" t="n"/>
      <c r="F121" s="32" t="n"/>
      <c r="G121" s="30" t="inlineStr">
        <is>
          <t>Besi Plastik</t>
        </is>
      </c>
      <c r="H121" s="9" t="n">
        <v>2014</v>
      </c>
      <c r="I121" s="9" t="inlineStr">
        <is>
          <t>02.06.02.01.030</t>
        </is>
      </c>
      <c r="J121" s="11" t="inlineStr">
        <is>
          <t>0033</t>
        </is>
      </c>
      <c r="K121" s="20" t="n">
        <v>794180</v>
      </c>
      <c r="L121" s="9" t="inlineStr">
        <is>
          <t>Baik</t>
        </is>
      </c>
      <c r="M121" s="32" t="n"/>
      <c r="N121" s="27" t="n"/>
      <c r="O121" s="50" t="inlineStr">
        <is>
          <t>Ruang Sekretariat (Rosy)</t>
        </is>
      </c>
      <c r="P121" s="214" t="n"/>
      <c r="Q121" s="217">
        <f>B121</f>
        <v/>
      </c>
      <c r="R121" s="217" t="n"/>
      <c r="S121" s="218">
        <f>H121</f>
        <v/>
      </c>
      <c r="T121" s="218">
        <f>J121</f>
        <v/>
      </c>
      <c r="U121" s="217" t="n"/>
      <c r="V121" s="218" t="n"/>
      <c r="W121" s="222" t="n"/>
      <c r="X121" s="88" t="n"/>
      <c r="Y121" s="88" t="n"/>
    </row>
    <row r="122" ht="31.5" customHeight="1" s="79">
      <c r="A122" s="47">
        <f>A121+1</f>
        <v/>
      </c>
      <c r="B122" s="567" t="inlineStr">
        <is>
          <t>Kursi Putar</t>
        </is>
      </c>
      <c r="C122" s="592" t="n"/>
      <c r="D122" s="26" t="inlineStr">
        <is>
          <t>Indachi / D 920</t>
        </is>
      </c>
      <c r="E122" s="12" t="n"/>
      <c r="F122" s="12" t="n"/>
      <c r="G122" s="30" t="inlineStr">
        <is>
          <t>Besi Plastik</t>
        </is>
      </c>
      <c r="H122" s="9" t="n">
        <v>2014</v>
      </c>
      <c r="I122" s="9" t="inlineStr">
        <is>
          <t>02.06.02.01.030</t>
        </is>
      </c>
      <c r="J122" s="11" t="inlineStr">
        <is>
          <t>0034</t>
        </is>
      </c>
      <c r="K122" s="20" t="n">
        <v>794179</v>
      </c>
      <c r="L122" s="9" t="inlineStr">
        <is>
          <t>Baik</t>
        </is>
      </c>
      <c r="M122" s="12" t="n"/>
      <c r="N122" s="4" t="n"/>
      <c r="O122" s="26" t="inlineStr">
        <is>
          <t>Ruang Rapat</t>
        </is>
      </c>
      <c r="P122" s="214" t="n"/>
      <c r="Q122" s="217">
        <f>B122</f>
        <v/>
      </c>
      <c r="R122" s="217" t="n"/>
      <c r="S122" s="218">
        <f>H122</f>
        <v/>
      </c>
      <c r="T122" s="218">
        <f>J122</f>
        <v/>
      </c>
      <c r="U122" s="217" t="n"/>
      <c r="V122" s="218" t="n"/>
      <c r="W122" s="222" t="n"/>
      <c r="X122" s="88" t="n"/>
      <c r="Y122" s="88" t="n"/>
    </row>
    <row r="123" ht="31.5" customHeight="1" s="79">
      <c r="A123" s="47">
        <f>A122+1</f>
        <v/>
      </c>
      <c r="B123" s="567" t="inlineStr">
        <is>
          <t>Kursi Putar</t>
        </is>
      </c>
      <c r="C123" s="592" t="n"/>
      <c r="D123" s="26" t="inlineStr">
        <is>
          <t>Indhaci / D 920</t>
        </is>
      </c>
      <c r="E123" s="12" t="n"/>
      <c r="F123" s="12" t="n"/>
      <c r="G123" s="30" t="inlineStr">
        <is>
          <t>Besi Plastik</t>
        </is>
      </c>
      <c r="H123" s="9" t="n">
        <v>2014</v>
      </c>
      <c r="I123" s="9" t="inlineStr">
        <is>
          <t>02.06.02.01.030</t>
        </is>
      </c>
      <c r="J123" s="11" t="inlineStr">
        <is>
          <t>0035</t>
        </is>
      </c>
      <c r="K123" s="20" t="n">
        <v>794180</v>
      </c>
      <c r="L123" s="9" t="inlineStr">
        <is>
          <t>Baik</t>
        </is>
      </c>
      <c r="M123" s="12" t="n"/>
      <c r="N123" s="4" t="n"/>
      <c r="O123" s="10" t="inlineStr">
        <is>
          <t>Ruang Dapur</t>
        </is>
      </c>
      <c r="P123" s="214" t="n"/>
      <c r="Q123" s="217">
        <f>B123</f>
        <v/>
      </c>
      <c r="R123" s="217" t="n"/>
      <c r="S123" s="218">
        <f>H123</f>
        <v/>
      </c>
      <c r="T123" s="218">
        <f>J123</f>
        <v/>
      </c>
      <c r="U123" s="217" t="n"/>
      <c r="V123" s="218" t="n"/>
      <c r="W123" s="222" t="n"/>
      <c r="X123" s="88" t="n"/>
      <c r="Y123" s="88" t="n"/>
    </row>
    <row r="124" ht="18" customHeight="1" s="79">
      <c r="K124" s="234">
        <f>SUM(K105:K123)</f>
        <v/>
      </c>
      <c r="P124" s="214" t="n"/>
      <c r="Q124" s="217">
        <f>B135</f>
        <v/>
      </c>
      <c r="R124" s="217" t="n"/>
      <c r="S124" s="218">
        <f>H135</f>
        <v/>
      </c>
      <c r="T124" s="218">
        <f>J135</f>
        <v/>
      </c>
      <c r="U124" s="217" t="n"/>
      <c r="V124" s="218" t="n"/>
      <c r="W124" s="222" t="n"/>
      <c r="X124" s="88" t="n"/>
      <c r="Y124" s="88" t="n"/>
    </row>
    <row r="125" ht="18" customHeight="1" s="79">
      <c r="P125" s="214" t="n"/>
      <c r="Q125" s="217">
        <f>B136</f>
        <v/>
      </c>
      <c r="R125" s="217" t="n"/>
      <c r="S125" s="218">
        <f>H136</f>
        <v/>
      </c>
      <c r="T125" s="218">
        <f>J136</f>
        <v/>
      </c>
      <c r="U125" s="217" t="n"/>
      <c r="V125" s="218" t="n"/>
      <c r="W125" s="222" t="n"/>
      <c r="X125" s="88" t="n"/>
      <c r="Y125" s="88" t="n"/>
    </row>
    <row r="126" ht="18" customHeight="1" s="79">
      <c r="P126" s="214" t="n"/>
      <c r="Q126" s="217">
        <f>B137</f>
        <v/>
      </c>
      <c r="R126" s="217" t="n"/>
      <c r="S126" s="218">
        <f>H137</f>
        <v/>
      </c>
      <c r="T126" s="218">
        <f>J137</f>
        <v/>
      </c>
      <c r="U126" s="217" t="n"/>
      <c r="V126" s="218" t="n"/>
      <c r="W126" s="222" t="n"/>
      <c r="X126" s="88" t="n"/>
      <c r="Y126" s="88" t="n"/>
    </row>
    <row r="127" ht="18" customHeight="1" s="79">
      <c r="P127" s="214" t="n"/>
      <c r="Q127" s="217">
        <f>B138</f>
        <v/>
      </c>
      <c r="R127" s="217" t="n"/>
      <c r="S127" s="218">
        <f>H138</f>
        <v/>
      </c>
      <c r="T127" s="218">
        <f>J138</f>
        <v/>
      </c>
      <c r="U127" s="217" t="n"/>
      <c r="V127" s="218" t="n"/>
      <c r="W127" s="222" t="n"/>
      <c r="X127" s="88" t="n"/>
      <c r="Y127" s="88" t="n"/>
    </row>
    <row r="128" ht="18" customHeight="1" s="79">
      <c r="A128" s="157" t="n"/>
      <c r="B128" s="67" t="n"/>
      <c r="C128" s="67" t="n"/>
      <c r="D128" s="68" t="n"/>
      <c r="E128" s="88" t="n"/>
      <c r="F128" s="88" t="n"/>
      <c r="G128" s="80" t="n"/>
      <c r="H128" s="222" t="n"/>
      <c r="I128" s="222" t="n"/>
      <c r="J128" s="71" t="n"/>
      <c r="K128" s="72" t="n"/>
      <c r="L128" s="222" t="n"/>
      <c r="M128" s="88" t="n"/>
      <c r="O128" s="68" t="n"/>
      <c r="P128" s="214" t="n"/>
      <c r="Q128" s="217">
        <f>B128</f>
        <v/>
      </c>
      <c r="R128" s="217" t="n"/>
      <c r="S128" s="218">
        <f>H128</f>
        <v/>
      </c>
      <c r="T128" s="218">
        <f>J128</f>
        <v/>
      </c>
      <c r="U128" s="217" t="n"/>
      <c r="V128" s="218" t="n"/>
      <c r="W128" s="222" t="n"/>
      <c r="X128" s="88" t="n"/>
      <c r="Y128" s="88" t="n"/>
    </row>
    <row r="129" ht="18" customHeight="1" s="79">
      <c r="A129" s="157" t="n"/>
      <c r="B129" s="67" t="n"/>
      <c r="C129" s="67" t="n"/>
      <c r="D129" s="68" t="n"/>
      <c r="E129" s="88" t="n"/>
      <c r="F129" s="88" t="n"/>
      <c r="G129" s="80" t="n"/>
      <c r="H129" s="222" t="n"/>
      <c r="I129" s="222" t="n"/>
      <c r="J129" s="71" t="n"/>
      <c r="K129" s="72" t="n"/>
      <c r="L129" s="222" t="n"/>
      <c r="M129" s="88" t="n"/>
      <c r="O129" s="68" t="n"/>
      <c r="P129" s="214" t="n"/>
      <c r="Q129" s="217">
        <f>B129</f>
        <v/>
      </c>
      <c r="R129" s="217" t="n"/>
      <c r="S129" s="218">
        <f>H129</f>
        <v/>
      </c>
      <c r="T129" s="218">
        <f>J129</f>
        <v/>
      </c>
      <c r="U129" s="217" t="n"/>
      <c r="V129" s="218" t="n"/>
      <c r="W129" s="222" t="n"/>
      <c r="X129" s="88" t="n"/>
      <c r="Y129" s="88" t="n"/>
    </row>
    <row r="130" ht="18" customHeight="1" s="79">
      <c r="A130" s="186" t="n"/>
      <c r="B130" s="82" t="n"/>
      <c r="C130" s="82" t="n"/>
      <c r="D130" s="83" t="n"/>
      <c r="E130" s="113" t="n"/>
      <c r="F130" s="113" t="n"/>
      <c r="G130" s="85" t="n"/>
      <c r="H130" s="86" t="n"/>
      <c r="I130" s="86" t="n"/>
      <c r="J130" s="87" t="n"/>
      <c r="K130" s="114" t="n"/>
      <c r="L130" s="86" t="n"/>
      <c r="M130" s="113" t="n"/>
      <c r="N130" s="84" t="n"/>
      <c r="O130" s="83" t="n"/>
      <c r="P130" s="214" t="n"/>
      <c r="Q130" s="217">
        <f>B130</f>
        <v/>
      </c>
      <c r="R130" s="217" t="n"/>
      <c r="S130" s="218">
        <f>H130</f>
        <v/>
      </c>
      <c r="T130" s="218">
        <f>J130</f>
        <v/>
      </c>
      <c r="U130" s="217" t="n"/>
      <c r="V130" s="218" t="n"/>
      <c r="W130" s="222" t="n"/>
      <c r="X130" s="88" t="n"/>
      <c r="Y130" s="88" t="n"/>
    </row>
    <row r="131" ht="18" customHeight="1" s="79">
      <c r="A131" s="538" t="inlineStr">
        <is>
          <t>No.</t>
        </is>
      </c>
      <c r="B131" s="538" t="inlineStr">
        <is>
          <t>Nama Barang</t>
        </is>
      </c>
      <c r="C131" s="589" t="n"/>
      <c r="D131" s="538" t="inlineStr">
        <is>
          <t>Merk/</t>
        </is>
      </c>
      <c r="E131" s="538" t="inlineStr">
        <is>
          <t>No. Seri</t>
        </is>
      </c>
      <c r="F131" s="655" t="inlineStr">
        <is>
          <t>Ukuran</t>
        </is>
      </c>
      <c r="G131" s="655" t="inlineStr">
        <is>
          <t>Bahan</t>
        </is>
      </c>
      <c r="H131" s="538" t="inlineStr">
        <is>
          <t xml:space="preserve">Tahun </t>
        </is>
      </c>
      <c r="I131" s="538" t="n"/>
      <c r="J131" s="538" t="inlineStr">
        <is>
          <t xml:space="preserve">Jumlah </t>
        </is>
      </c>
      <c r="K131" s="538" t="inlineStr">
        <is>
          <t xml:space="preserve">Harga </t>
        </is>
      </c>
      <c r="L131" s="544" t="inlineStr">
        <is>
          <t xml:space="preserve">Keadaan Barang </t>
        </is>
      </c>
      <c r="M131" s="591" t="n"/>
      <c r="N131" s="592" t="n"/>
      <c r="O131" s="538" t="inlineStr">
        <is>
          <t>Keterangan</t>
        </is>
      </c>
      <c r="P131" s="214" t="n"/>
      <c r="Q131" s="217">
        <f>B131</f>
        <v/>
      </c>
      <c r="R131" s="217" t="n"/>
      <c r="S131" s="218">
        <f>H131</f>
        <v/>
      </c>
      <c r="T131" s="218">
        <f>J131</f>
        <v/>
      </c>
      <c r="U131" s="217" t="n"/>
      <c r="V131" s="218" t="n"/>
      <c r="W131" s="222" t="n"/>
      <c r="X131" s="88" t="n"/>
      <c r="Y131" s="88" t="n"/>
    </row>
    <row r="132" ht="18" customHeight="1" s="79">
      <c r="A132" s="543" t="inlineStr">
        <is>
          <t>Urut</t>
        </is>
      </c>
      <c r="B132" s="543" t="inlineStr">
        <is>
          <t>Jenis Barang</t>
        </is>
      </c>
      <c r="C132" s="593" t="n"/>
      <c r="D132" s="543" t="inlineStr">
        <is>
          <t>Model</t>
        </is>
      </c>
      <c r="E132" s="543" t="inlineStr">
        <is>
          <t>Pabrik</t>
        </is>
      </c>
      <c r="F132" s="594" t="n"/>
      <c r="G132" s="594" t="n"/>
      <c r="H132" s="104" t="inlineStr">
        <is>
          <t>Pembuatan</t>
        </is>
      </c>
      <c r="I132" s="104" t="inlineStr">
        <is>
          <t xml:space="preserve">No/. Kode Barang </t>
        </is>
      </c>
      <c r="J132" s="104" t="inlineStr">
        <is>
          <t>Barang</t>
        </is>
      </c>
      <c r="K132" s="104" t="inlineStr">
        <is>
          <t>Beli/</t>
        </is>
      </c>
      <c r="L132" s="104" t="inlineStr">
        <is>
          <t>Baik</t>
        </is>
      </c>
      <c r="M132" s="104" t="inlineStr">
        <is>
          <t>Kurang Baik</t>
        </is>
      </c>
      <c r="N132" s="104" t="inlineStr">
        <is>
          <t>Rusak Berat</t>
        </is>
      </c>
      <c r="O132" s="540" t="inlineStr">
        <is>
          <t>Mutasi dll</t>
        </is>
      </c>
      <c r="P132" s="214" t="n"/>
      <c r="Q132" s="217">
        <f>B132</f>
        <v/>
      </c>
      <c r="R132" s="217" t="n"/>
      <c r="S132" s="218">
        <f>H132</f>
        <v/>
      </c>
      <c r="T132" s="218">
        <f>J132</f>
        <v/>
      </c>
      <c r="U132" s="217" t="n"/>
      <c r="V132" s="218" t="n"/>
      <c r="W132" s="222" t="n"/>
      <c r="X132" s="88" t="n"/>
      <c r="Y132" s="88" t="n"/>
    </row>
    <row r="133" ht="18" customHeight="1" s="79">
      <c r="A133" s="595" t="n"/>
      <c r="B133" s="596" t="n"/>
      <c r="C133" s="597" t="n"/>
      <c r="D133" s="595" t="n"/>
      <c r="E133" s="595" t="n"/>
      <c r="F133" s="595" t="n"/>
      <c r="G133" s="595" t="n"/>
      <c r="H133" s="105" t="inlineStr">
        <is>
          <t>Atau Pembelian</t>
        </is>
      </c>
      <c r="I133" s="105" t="n"/>
      <c r="J133" s="105" t="inlineStr">
        <is>
          <t>Register x)</t>
        </is>
      </c>
      <c r="K133" s="105" t="inlineStr">
        <is>
          <t>Perolehan</t>
        </is>
      </c>
      <c r="L133" s="105" t="inlineStr">
        <is>
          <t>(B)</t>
        </is>
      </c>
      <c r="M133" s="105" t="inlineStr">
        <is>
          <t>(KB)</t>
        </is>
      </c>
      <c r="N133" s="105" t="inlineStr">
        <is>
          <t>(RB)</t>
        </is>
      </c>
      <c r="O133" s="595" t="n"/>
      <c r="P133" s="214" t="n"/>
      <c r="Q133" s="217">
        <f>B133</f>
        <v/>
      </c>
      <c r="R133" s="217" t="n"/>
      <c r="S133" s="218">
        <f>H133</f>
        <v/>
      </c>
      <c r="T133" s="218">
        <f>J133</f>
        <v/>
      </c>
      <c r="U133" s="217" t="n"/>
      <c r="V133" s="218" t="n"/>
      <c r="W133" s="222" t="n"/>
      <c r="X133" s="88" t="n"/>
      <c r="Y133" s="88" t="n"/>
    </row>
    <row r="134" ht="18" customHeight="1" s="79">
      <c r="A134" s="47" t="n">
        <v>1</v>
      </c>
      <c r="B134" s="47" t="n">
        <v>2</v>
      </c>
      <c r="C134" s="592" t="n"/>
      <c r="D134" s="539" t="n">
        <v>3</v>
      </c>
      <c r="E134" s="539" t="n">
        <v>4</v>
      </c>
      <c r="F134" s="542" t="n">
        <v>5</v>
      </c>
      <c r="G134" s="542" t="n">
        <v>6</v>
      </c>
      <c r="H134" s="104" t="n">
        <v>7</v>
      </c>
      <c r="I134" s="104" t="n">
        <v>8</v>
      </c>
      <c r="J134" s="104" t="n">
        <v>9</v>
      </c>
      <c r="K134" s="104" t="n">
        <v>10</v>
      </c>
      <c r="L134" s="104" t="n">
        <v>11</v>
      </c>
      <c r="M134" s="104" t="n">
        <v>12</v>
      </c>
      <c r="N134" s="104" t="n">
        <v>13</v>
      </c>
      <c r="O134" s="539" t="n">
        <v>14</v>
      </c>
      <c r="P134" s="214" t="n"/>
      <c r="Q134" s="217">
        <f>B134</f>
        <v/>
      </c>
      <c r="R134" s="217" t="n"/>
      <c r="S134" s="218">
        <f>H134</f>
        <v/>
      </c>
      <c r="T134" s="218">
        <f>J134</f>
        <v/>
      </c>
      <c r="U134" s="217" t="n"/>
      <c r="V134" s="218" t="n"/>
      <c r="W134" s="222" t="n"/>
      <c r="X134" s="88" t="n"/>
      <c r="Y134" s="88" t="n"/>
    </row>
    <row r="135" ht="31.5" customHeight="1" s="79">
      <c r="A135" s="47">
        <f>A123+1</f>
        <v/>
      </c>
      <c r="B135" s="567" t="inlineStr">
        <is>
          <t>Kursi Putar</t>
        </is>
      </c>
      <c r="C135" s="592" t="n"/>
      <c r="D135" s="26" t="inlineStr">
        <is>
          <t>Indachi / D 920</t>
        </is>
      </c>
      <c r="E135" s="12" t="n"/>
      <c r="F135" s="12" t="n"/>
      <c r="G135" s="30" t="inlineStr">
        <is>
          <t>Besi Plastik</t>
        </is>
      </c>
      <c r="H135" s="9" t="n">
        <v>2014</v>
      </c>
      <c r="I135" s="9" t="inlineStr">
        <is>
          <t>02.06.02.01.030</t>
        </is>
      </c>
      <c r="J135" s="11" t="inlineStr">
        <is>
          <t>0037</t>
        </is>
      </c>
      <c r="K135" s="20" t="n">
        <v>794180</v>
      </c>
      <c r="L135" s="9" t="inlineStr">
        <is>
          <t>Baik</t>
        </is>
      </c>
      <c r="M135" s="12" t="n"/>
      <c r="N135" s="4" t="n"/>
      <c r="O135" s="26" t="inlineStr">
        <is>
          <t>Ruang Pelayanan</t>
        </is>
      </c>
      <c r="P135" s="214" t="n"/>
      <c r="Q135" s="217" t="n"/>
      <c r="R135" s="217" t="n"/>
      <c r="S135" s="218" t="n"/>
      <c r="T135" s="218" t="n"/>
      <c r="U135" s="217" t="n"/>
      <c r="V135" s="218" t="n"/>
      <c r="W135" s="222" t="n"/>
      <c r="X135" s="88" t="n"/>
      <c r="Y135" s="88" t="n"/>
    </row>
    <row r="136" ht="31.5" customHeight="1" s="79">
      <c r="A136" s="47">
        <f>A135+1</f>
        <v/>
      </c>
      <c r="B136" s="567" t="inlineStr">
        <is>
          <t>Kursi Putar</t>
        </is>
      </c>
      <c r="C136" s="592" t="n"/>
      <c r="D136" s="26" t="inlineStr">
        <is>
          <t>Indachi/         D 920</t>
        </is>
      </c>
      <c r="E136" s="32" t="n"/>
      <c r="F136" s="32" t="n"/>
      <c r="G136" s="9" t="inlineStr">
        <is>
          <t>Besi Plastik</t>
        </is>
      </c>
      <c r="H136" s="9" t="n">
        <v>2014</v>
      </c>
      <c r="I136" s="9" t="inlineStr">
        <is>
          <t>02.06.02.01.030</t>
        </is>
      </c>
      <c r="J136" s="11" t="inlineStr">
        <is>
          <t>0038</t>
        </is>
      </c>
      <c r="K136" s="20" t="n">
        <v>794180</v>
      </c>
      <c r="L136" s="9" t="inlineStr">
        <is>
          <t>Baik</t>
        </is>
      </c>
      <c r="M136" s="27" t="n"/>
      <c r="N136" s="27" t="n"/>
      <c r="O136" s="40" t="inlineStr">
        <is>
          <t>Ruang Kaban</t>
        </is>
      </c>
      <c r="P136" s="214" t="n"/>
      <c r="Q136" s="217" t="n"/>
      <c r="R136" s="217" t="n"/>
      <c r="S136" s="218" t="n"/>
      <c r="T136" s="218" t="n"/>
      <c r="U136" s="217" t="n"/>
      <c r="V136" s="218" t="n"/>
      <c r="W136" s="222" t="n"/>
      <c r="X136" s="88" t="n"/>
      <c r="Y136" s="88" t="n"/>
    </row>
    <row r="137" ht="31.5" customHeight="1" s="79">
      <c r="A137" s="47">
        <f>A136+1</f>
        <v/>
      </c>
      <c r="B137" s="567" t="inlineStr">
        <is>
          <t>Kursi Putar</t>
        </is>
      </c>
      <c r="C137" s="592" t="n"/>
      <c r="D137" s="26" t="inlineStr">
        <is>
          <t>Indachi / D 920</t>
        </is>
      </c>
      <c r="E137" s="12" t="n"/>
      <c r="F137" s="12" t="n"/>
      <c r="G137" s="30" t="inlineStr">
        <is>
          <t>Besi Plastik</t>
        </is>
      </c>
      <c r="H137" s="9" t="n">
        <v>2014</v>
      </c>
      <c r="I137" s="9" t="inlineStr">
        <is>
          <t>02.06.02.01.030</t>
        </is>
      </c>
      <c r="J137" s="11" t="inlineStr">
        <is>
          <t>0039</t>
        </is>
      </c>
      <c r="K137" s="20" t="n">
        <v>794179</v>
      </c>
      <c r="L137" s="9" t="inlineStr">
        <is>
          <t>Baik</t>
        </is>
      </c>
      <c r="M137" s="12" t="n"/>
      <c r="N137" s="4" t="n"/>
      <c r="O137" s="26" t="inlineStr">
        <is>
          <t>Ruang Rapat</t>
        </is>
      </c>
      <c r="P137" s="214" t="n"/>
      <c r="Q137" s="217" t="n"/>
      <c r="R137" s="217" t="n"/>
      <c r="S137" s="218" t="n"/>
      <c r="T137" s="218" t="n"/>
      <c r="U137" s="217" t="n"/>
      <c r="V137" s="218" t="n"/>
      <c r="W137" s="222" t="n"/>
      <c r="X137" s="88" t="n"/>
      <c r="Y137" s="88" t="n"/>
    </row>
    <row r="138" ht="31.5" customHeight="1" s="79">
      <c r="A138" s="47">
        <f>A137+1</f>
        <v/>
      </c>
      <c r="B138" s="567" t="inlineStr">
        <is>
          <t>Kursi Putar</t>
        </is>
      </c>
      <c r="C138" s="592" t="n"/>
      <c r="D138" s="26" t="inlineStr">
        <is>
          <t>Indachi / D 920</t>
        </is>
      </c>
      <c r="E138" s="12" t="n"/>
      <c r="F138" s="12" t="n"/>
      <c r="G138" s="30" t="inlineStr">
        <is>
          <t>Besi Plastik</t>
        </is>
      </c>
      <c r="H138" s="9" t="n">
        <v>2014</v>
      </c>
      <c r="I138" s="9" t="inlineStr">
        <is>
          <t>02.06.02.01.030</t>
        </is>
      </c>
      <c r="J138" s="11" t="inlineStr">
        <is>
          <t>0040</t>
        </is>
      </c>
      <c r="K138" s="20" t="n">
        <v>794179</v>
      </c>
      <c r="L138" s="9" t="inlineStr">
        <is>
          <t>Baik</t>
        </is>
      </c>
      <c r="M138" s="12" t="n"/>
      <c r="N138" s="4" t="n"/>
      <c r="O138" s="26" t="inlineStr">
        <is>
          <t>Ruang Rapat</t>
        </is>
      </c>
      <c r="P138" s="214" t="n"/>
      <c r="Q138" s="217" t="n"/>
      <c r="R138" s="217" t="n"/>
      <c r="S138" s="218" t="n"/>
      <c r="T138" s="218" t="n"/>
      <c r="U138" s="217" t="n"/>
      <c r="V138" s="218" t="n"/>
      <c r="W138" s="222" t="n"/>
      <c r="X138" s="88" t="n"/>
      <c r="Y138" s="88" t="n"/>
    </row>
    <row r="139" ht="47.25" customHeight="1" s="79">
      <c r="A139" s="47">
        <f>A138+1</f>
        <v/>
      </c>
      <c r="B139" s="567" t="inlineStr">
        <is>
          <t>Kursi Putar</t>
        </is>
      </c>
      <c r="C139" s="592" t="n"/>
      <c r="D139" s="26" t="inlineStr">
        <is>
          <t>Indachi / D 920</t>
        </is>
      </c>
      <c r="E139" s="32" t="n"/>
      <c r="F139" s="32" t="n"/>
      <c r="G139" s="30" t="inlineStr">
        <is>
          <t>Besi Plastik</t>
        </is>
      </c>
      <c r="H139" s="9" t="n">
        <v>2014</v>
      </c>
      <c r="I139" s="9" t="inlineStr">
        <is>
          <t>02.06.02.01.030</t>
        </is>
      </c>
      <c r="J139" s="11" t="inlineStr">
        <is>
          <t>0041</t>
        </is>
      </c>
      <c r="K139" s="20" t="n">
        <v>794180</v>
      </c>
      <c r="L139" s="9" t="inlineStr">
        <is>
          <t>Baik</t>
        </is>
      </c>
      <c r="M139" s="32" t="n"/>
      <c r="N139" s="27" t="n"/>
      <c r="O139" s="50" t="inlineStr">
        <is>
          <t>Ruang Sekretariat (Siska)</t>
        </is>
      </c>
      <c r="P139" s="214" t="n"/>
      <c r="Q139" s="217">
        <f>B139</f>
        <v/>
      </c>
      <c r="R139" s="217" t="n"/>
      <c r="S139" s="218">
        <f>H139</f>
        <v/>
      </c>
      <c r="T139" s="218">
        <f>J139</f>
        <v/>
      </c>
      <c r="U139" s="217" t="n"/>
      <c r="V139" s="218" t="n"/>
      <c r="W139" s="222" t="n"/>
      <c r="X139" s="88" t="n"/>
      <c r="Y139" s="88" t="n"/>
    </row>
    <row r="140" ht="47.25" customHeight="1" s="79">
      <c r="A140" s="47">
        <f>A139+1</f>
        <v/>
      </c>
      <c r="B140" s="567" t="inlineStr">
        <is>
          <t>Kursi Putar</t>
        </is>
      </c>
      <c r="C140" s="592" t="n"/>
      <c r="D140" s="26" t="inlineStr">
        <is>
          <t>Indachi /        D 920</t>
        </is>
      </c>
      <c r="E140" s="12" t="n"/>
      <c r="F140" s="12" t="n"/>
      <c r="G140" s="30" t="inlineStr">
        <is>
          <t>Besi Plastik</t>
        </is>
      </c>
      <c r="H140" s="9" t="n">
        <v>2014</v>
      </c>
      <c r="I140" s="9" t="inlineStr">
        <is>
          <t>02.06.02.01.030</t>
        </is>
      </c>
      <c r="J140" s="11" t="inlineStr">
        <is>
          <t>0042</t>
        </is>
      </c>
      <c r="K140" s="20" t="n">
        <v>794180</v>
      </c>
      <c r="L140" s="9" t="inlineStr">
        <is>
          <t>Baik</t>
        </is>
      </c>
      <c r="M140" s="12" t="n"/>
      <c r="N140" s="4" t="n"/>
      <c r="O140" s="26" t="inlineStr">
        <is>
          <t>No Name Depan Wasnas</t>
        </is>
      </c>
      <c r="P140" s="214" t="n"/>
      <c r="Q140" s="217">
        <f>B140</f>
        <v/>
      </c>
      <c r="R140" s="217" t="n"/>
      <c r="S140" s="218">
        <f>H140</f>
        <v/>
      </c>
      <c r="T140" s="218">
        <f>J140</f>
        <v/>
      </c>
      <c r="U140" s="217" t="n"/>
      <c r="V140" s="218" t="n"/>
      <c r="W140" s="222" t="n"/>
      <c r="X140" s="88" t="n"/>
      <c r="Y140" s="88" t="n"/>
    </row>
    <row r="141" ht="31.5" customHeight="1" s="79">
      <c r="A141" s="47">
        <f>A140+1</f>
        <v/>
      </c>
      <c r="B141" s="567" t="inlineStr">
        <is>
          <t>Kursi Putar</t>
        </is>
      </c>
      <c r="C141" s="592" t="n"/>
      <c r="D141" s="26" t="inlineStr">
        <is>
          <t>Indachi / D 920</t>
        </is>
      </c>
      <c r="E141" s="12" t="n"/>
      <c r="F141" s="12" t="n"/>
      <c r="G141" s="30" t="inlineStr">
        <is>
          <t>Besi Plastik</t>
        </is>
      </c>
      <c r="H141" s="9" t="n">
        <v>2014</v>
      </c>
      <c r="I141" s="9" t="inlineStr">
        <is>
          <t>02.06.02.01.030</t>
        </is>
      </c>
      <c r="J141" s="11" t="inlineStr">
        <is>
          <t>0043</t>
        </is>
      </c>
      <c r="K141" s="20" t="n">
        <v>794179</v>
      </c>
      <c r="L141" s="9" t="inlineStr">
        <is>
          <t>Baik</t>
        </is>
      </c>
      <c r="M141" s="12" t="n"/>
      <c r="N141" s="4" t="n"/>
      <c r="O141" s="26" t="inlineStr">
        <is>
          <t>Ruang Rapat</t>
        </is>
      </c>
      <c r="P141" s="214" t="n"/>
      <c r="Q141" s="217">
        <f>B141</f>
        <v/>
      </c>
      <c r="R141" s="217" t="n"/>
      <c r="S141" s="218">
        <f>H141</f>
        <v/>
      </c>
      <c r="T141" s="218">
        <f>J141</f>
        <v/>
      </c>
      <c r="U141" s="217" t="n"/>
      <c r="V141" s="218" t="n"/>
      <c r="W141" s="222" t="n"/>
      <c r="X141" s="88" t="n"/>
      <c r="Y141" s="88" t="n"/>
    </row>
    <row r="142" ht="31.5" customHeight="1" s="79">
      <c r="A142" s="47">
        <f>A141+1</f>
        <v/>
      </c>
      <c r="B142" s="567" t="inlineStr">
        <is>
          <t>Kursi Putar</t>
        </is>
      </c>
      <c r="C142" s="592" t="n"/>
      <c r="D142" s="26" t="inlineStr">
        <is>
          <t>Indachi / D 920</t>
        </is>
      </c>
      <c r="E142" s="12" t="n"/>
      <c r="F142" s="12" t="n"/>
      <c r="G142" s="30" t="inlineStr">
        <is>
          <t>Besi Plastik</t>
        </is>
      </c>
      <c r="H142" s="9" t="n">
        <v>2014</v>
      </c>
      <c r="I142" s="9" t="inlineStr">
        <is>
          <t>02.06.02.01.030</t>
        </is>
      </c>
      <c r="J142" s="11" t="inlineStr">
        <is>
          <t>0044</t>
        </is>
      </c>
      <c r="K142" s="20" t="n">
        <v>794179</v>
      </c>
      <c r="L142" s="9" t="inlineStr">
        <is>
          <t>Baik</t>
        </is>
      </c>
      <c r="M142" s="12" t="n"/>
      <c r="N142" s="4" t="n"/>
      <c r="O142" s="26" t="inlineStr">
        <is>
          <t>Ruang Rapat</t>
        </is>
      </c>
      <c r="P142" s="214" t="n"/>
      <c r="Q142" s="217">
        <f>B142</f>
        <v/>
      </c>
      <c r="R142" s="217" t="n"/>
      <c r="S142" s="218">
        <f>H142</f>
        <v/>
      </c>
      <c r="T142" s="218">
        <f>J142</f>
        <v/>
      </c>
      <c r="U142" s="217" t="n"/>
      <c r="V142" s="218" t="n"/>
      <c r="W142" s="222" t="n"/>
      <c r="X142" s="88" t="n"/>
      <c r="Y142" s="88" t="n"/>
    </row>
    <row r="143" ht="31.5" customHeight="1" s="79">
      <c r="A143" s="47">
        <f>A142+1</f>
        <v/>
      </c>
      <c r="B143" s="567" t="inlineStr">
        <is>
          <t>Kursi Putar</t>
        </is>
      </c>
      <c r="C143" s="592" t="n"/>
      <c r="D143" s="26" t="inlineStr">
        <is>
          <t>Indachi D 920</t>
        </is>
      </c>
      <c r="E143" s="32" t="n"/>
      <c r="F143" s="32" t="n"/>
      <c r="G143" s="9" t="inlineStr">
        <is>
          <t>Besi Plastik</t>
        </is>
      </c>
      <c r="H143" s="9" t="n">
        <v>2014</v>
      </c>
      <c r="I143" s="9" t="inlineStr">
        <is>
          <t>02.06.02.01.030</t>
        </is>
      </c>
      <c r="J143" s="11" t="inlineStr">
        <is>
          <t>0045</t>
        </is>
      </c>
      <c r="K143" s="89" t="n">
        <v>1588358</v>
      </c>
      <c r="L143" s="9" t="inlineStr">
        <is>
          <t>Baik</t>
        </is>
      </c>
      <c r="M143" s="32" t="n"/>
      <c r="N143" s="32" t="n"/>
      <c r="O143" s="50" t="inlineStr">
        <is>
          <t>Subbag Umpeg</t>
        </is>
      </c>
      <c r="P143" s="214" t="n"/>
      <c r="Q143" s="217">
        <f>B143</f>
        <v/>
      </c>
      <c r="R143" s="217" t="n"/>
      <c r="S143" s="218">
        <f>H143</f>
        <v/>
      </c>
      <c r="T143" s="218">
        <f>J143</f>
        <v/>
      </c>
      <c r="U143" s="217" t="n"/>
      <c r="V143" s="218" t="n"/>
      <c r="W143" s="222" t="n"/>
      <c r="X143" s="88" t="n"/>
      <c r="Y143" s="88" t="n"/>
    </row>
    <row r="144" ht="31.5" customHeight="1" s="79">
      <c r="A144" s="47">
        <f>A143+1</f>
        <v/>
      </c>
      <c r="B144" s="567" t="inlineStr">
        <is>
          <t>Kursi Putar</t>
        </is>
      </c>
      <c r="C144" s="592" t="n"/>
      <c r="D144" s="26" t="inlineStr">
        <is>
          <t>Indachi /        D 920</t>
        </is>
      </c>
      <c r="E144" s="12" t="n"/>
      <c r="F144" s="12" t="n"/>
      <c r="G144" s="30" t="inlineStr">
        <is>
          <t>Besi Plastik</t>
        </is>
      </c>
      <c r="H144" s="9" t="n">
        <v>2014</v>
      </c>
      <c r="I144" s="9" t="inlineStr">
        <is>
          <t>02.06.02.01.030</t>
        </is>
      </c>
      <c r="J144" s="11" t="inlineStr">
        <is>
          <t>0046</t>
        </is>
      </c>
      <c r="K144" s="20" t="n">
        <v>794180</v>
      </c>
      <c r="L144" s="9" t="inlineStr">
        <is>
          <t>Baik</t>
        </is>
      </c>
      <c r="M144" s="12" t="n"/>
      <c r="N144" s="4" t="n"/>
      <c r="O144" s="32" t="inlineStr">
        <is>
          <t>Adit</t>
        </is>
      </c>
      <c r="P144" s="214" t="n"/>
      <c r="Q144" s="217">
        <f>B144</f>
        <v/>
      </c>
      <c r="R144" s="217" t="n"/>
      <c r="S144" s="218">
        <f>H144</f>
        <v/>
      </c>
      <c r="T144" s="218">
        <f>J144</f>
        <v/>
      </c>
      <c r="U144" s="217" t="n"/>
      <c r="V144" s="218" t="n"/>
      <c r="W144" s="222" t="n"/>
      <c r="X144" s="88" t="n"/>
      <c r="Y144" s="88" t="n"/>
    </row>
    <row r="145" ht="31.5" customHeight="1" s="79">
      <c r="A145" s="47">
        <f>A144+1</f>
        <v/>
      </c>
      <c r="B145" s="658" t="inlineStr">
        <is>
          <t>Kursi Putar</t>
        </is>
      </c>
      <c r="C145" s="592" t="n"/>
      <c r="D145" s="179" t="inlineStr">
        <is>
          <t>Indachi / D 920</t>
        </is>
      </c>
      <c r="E145" s="175" t="n"/>
      <c r="F145" s="175" t="n"/>
      <c r="G145" s="180" t="inlineStr">
        <is>
          <t>Besi Plastik</t>
        </is>
      </c>
      <c r="H145" s="176" t="n">
        <v>2014</v>
      </c>
      <c r="I145" s="176" t="inlineStr">
        <is>
          <t>02.06.02.01.030</t>
        </is>
      </c>
      <c r="J145" s="177" t="n"/>
      <c r="K145" s="178" t="n">
        <v>794179</v>
      </c>
      <c r="L145" s="176" t="inlineStr">
        <is>
          <t>Baik</t>
        </is>
      </c>
      <c r="M145" s="175" t="n"/>
      <c r="N145" s="181" t="n"/>
      <c r="O145" s="179" t="inlineStr">
        <is>
          <t>Ruang Rapat</t>
        </is>
      </c>
      <c r="P145" s="214" t="n"/>
      <c r="Q145" s="217">
        <f>B145</f>
        <v/>
      </c>
      <c r="R145" s="217" t="n"/>
      <c r="S145" s="218">
        <f>H145</f>
        <v/>
      </c>
      <c r="T145" s="218">
        <f>J145</f>
        <v/>
      </c>
      <c r="U145" s="217" t="n"/>
      <c r="V145" s="218" t="n"/>
      <c r="W145" s="222" t="n"/>
      <c r="X145" s="88" t="n"/>
      <c r="Y145" s="88" t="n"/>
    </row>
    <row r="146" ht="31.5" customHeight="1" s="79">
      <c r="A146" s="47">
        <f>A145+1</f>
        <v/>
      </c>
      <c r="B146" s="567" t="inlineStr">
        <is>
          <t>Kursi Lipat</t>
        </is>
      </c>
      <c r="C146" s="592" t="n"/>
      <c r="D146" s="26" t="inlineStr">
        <is>
          <t>MATRIX/-</t>
        </is>
      </c>
      <c r="E146" s="12" t="n"/>
      <c r="F146" s="12" t="n"/>
      <c r="G146" s="34" t="n"/>
      <c r="H146" s="9" t="n">
        <v>2018</v>
      </c>
      <c r="I146" s="9" t="inlineStr">
        <is>
          <t>02.06.02.01.034</t>
        </is>
      </c>
      <c r="J146" s="11" t="inlineStr">
        <is>
          <t>0001</t>
        </is>
      </c>
      <c r="K146" s="89" t="n">
        <v>333232</v>
      </c>
      <c r="L146" s="9" t="inlineStr">
        <is>
          <t>Baik</t>
        </is>
      </c>
      <c r="M146" s="12" t="n"/>
      <c r="N146" s="4" t="n"/>
      <c r="O146" s="50" t="inlineStr">
        <is>
          <t>Subbag Sunram</t>
        </is>
      </c>
      <c r="P146" s="214" t="n"/>
      <c r="Q146" s="217">
        <f>B146</f>
        <v/>
      </c>
      <c r="R146" s="217" t="n"/>
      <c r="S146" s="218">
        <f>H146</f>
        <v/>
      </c>
      <c r="T146" s="218">
        <f>J146</f>
        <v/>
      </c>
      <c r="U146" s="217" t="n"/>
      <c r="V146" s="218" t="n"/>
      <c r="W146" s="222" t="n"/>
      <c r="X146" s="88" t="n"/>
      <c r="Y146" s="88" t="n"/>
    </row>
    <row r="147" ht="31.5" customHeight="1" s="79">
      <c r="A147" s="47">
        <f>A146+1</f>
        <v/>
      </c>
      <c r="B147" s="567" t="inlineStr">
        <is>
          <t>Kursi Lipat</t>
        </is>
      </c>
      <c r="C147" s="592" t="n"/>
      <c r="D147" s="26" t="inlineStr">
        <is>
          <t>MATRIX / -</t>
        </is>
      </c>
      <c r="E147" s="32" t="n"/>
      <c r="F147" s="32" t="n"/>
      <c r="G147" s="9" t="n"/>
      <c r="H147" s="9" t="n">
        <v>2018</v>
      </c>
      <c r="I147" s="9" t="inlineStr">
        <is>
          <t>02.06.02.01.034</t>
        </is>
      </c>
      <c r="J147" s="11" t="inlineStr">
        <is>
          <t>0002</t>
        </is>
      </c>
      <c r="K147" s="89" t="n">
        <v>333232</v>
      </c>
      <c r="L147" s="9" t="inlineStr">
        <is>
          <t>Baik</t>
        </is>
      </c>
      <c r="M147" s="32" t="n"/>
      <c r="N147" s="32" t="n"/>
      <c r="O147" s="26" t="inlineStr">
        <is>
          <t>Subbag Keuangan</t>
        </is>
      </c>
      <c r="P147" s="214" t="n"/>
      <c r="Q147" s="217">
        <f>B147</f>
        <v/>
      </c>
      <c r="R147" s="217" t="n"/>
      <c r="S147" s="218">
        <f>H147</f>
        <v/>
      </c>
      <c r="T147" s="218">
        <f>J147</f>
        <v/>
      </c>
      <c r="U147" s="217" t="n"/>
      <c r="V147" s="218" t="n"/>
      <c r="W147" s="222" t="n"/>
      <c r="X147" s="88" t="n"/>
      <c r="Y147" s="88" t="n"/>
    </row>
    <row r="148" ht="31.5" customHeight="1" s="79">
      <c r="A148" s="47">
        <f>A147+1</f>
        <v/>
      </c>
      <c r="B148" s="567" t="inlineStr">
        <is>
          <t>Kursi Lipat</t>
        </is>
      </c>
      <c r="C148" s="592" t="n"/>
      <c r="D148" s="26" t="inlineStr">
        <is>
          <t>MATRIX / -</t>
        </is>
      </c>
      <c r="E148" s="27" t="n"/>
      <c r="F148" s="27" t="n"/>
      <c r="G148" s="9" t="n"/>
      <c r="H148" s="7" t="n">
        <v>2018</v>
      </c>
      <c r="I148" s="9" t="inlineStr">
        <is>
          <t>02.06.02.01.034</t>
        </is>
      </c>
      <c r="J148" s="11" t="inlineStr">
        <is>
          <t>0003</t>
        </is>
      </c>
      <c r="K148" s="153" t="n">
        <v>333232</v>
      </c>
      <c r="L148" s="9" t="inlineStr">
        <is>
          <t>Baik</t>
        </is>
      </c>
      <c r="M148" s="27" t="n"/>
      <c r="N148" s="27" t="n"/>
      <c r="O148" s="50" t="inlineStr">
        <is>
          <t>Subbag Umpeg</t>
        </is>
      </c>
      <c r="P148" s="214" t="n"/>
      <c r="Q148" s="217">
        <f>B148</f>
        <v/>
      </c>
      <c r="R148" s="217" t="n"/>
      <c r="S148" s="218">
        <f>H148</f>
        <v/>
      </c>
      <c r="T148" s="218">
        <f>J148</f>
        <v/>
      </c>
      <c r="U148" s="217" t="n"/>
      <c r="V148" s="218" t="n"/>
      <c r="W148" s="222" t="n"/>
      <c r="X148" s="88" t="n"/>
      <c r="Y148" s="88" t="n"/>
    </row>
    <row r="149" ht="18" customHeight="1" s="79">
      <c r="A149" s="47">
        <f>A148+1</f>
        <v/>
      </c>
      <c r="B149" s="567" t="inlineStr">
        <is>
          <t>Kursi Lipat</t>
        </is>
      </c>
      <c r="C149" s="592" t="n"/>
      <c r="D149" s="10" t="inlineStr">
        <is>
          <t>MATRIX / -</t>
        </is>
      </c>
      <c r="E149" s="12" t="n"/>
      <c r="F149" s="12" t="n"/>
      <c r="G149" s="9" t="n"/>
      <c r="H149" s="9" t="n">
        <v>2018</v>
      </c>
      <c r="I149" s="9" t="inlineStr">
        <is>
          <t>02.06.02.01.034</t>
        </is>
      </c>
      <c r="J149" s="11" t="inlineStr">
        <is>
          <t>0004</t>
        </is>
      </c>
      <c r="K149" s="20" t="n">
        <v>333232</v>
      </c>
      <c r="L149" s="9" t="inlineStr">
        <is>
          <t>Baik</t>
        </is>
      </c>
      <c r="M149" s="12" t="n"/>
      <c r="N149" s="12" t="n"/>
      <c r="O149" s="32" t="inlineStr">
        <is>
          <t>Rini</t>
        </is>
      </c>
      <c r="P149" s="214" t="n"/>
      <c r="Q149" s="217">
        <f>B149</f>
        <v/>
      </c>
      <c r="R149" s="217" t="n"/>
      <c r="S149" s="218">
        <f>H149</f>
        <v/>
      </c>
      <c r="T149" s="218">
        <f>J149</f>
        <v/>
      </c>
      <c r="U149" s="217" t="n"/>
      <c r="V149" s="218" t="n"/>
      <c r="W149" s="222" t="n"/>
      <c r="X149" s="88" t="n"/>
      <c r="Y149" s="88" t="n"/>
    </row>
    <row r="150" ht="47.25" customHeight="1" s="79">
      <c r="A150" s="47">
        <f>A149+1</f>
        <v/>
      </c>
      <c r="B150" s="563" t="inlineStr">
        <is>
          <t>Kursi Lipat</t>
        </is>
      </c>
      <c r="C150" s="592" t="n"/>
      <c r="D150" s="171" t="inlineStr">
        <is>
          <t>MATRIX / -</t>
        </is>
      </c>
      <c r="E150" s="41" t="n"/>
      <c r="F150" s="41" t="n"/>
      <c r="G150" s="43" t="n"/>
      <c r="H150" s="43" t="n">
        <v>2018</v>
      </c>
      <c r="I150" s="43" t="inlineStr">
        <is>
          <t>02.06.02.01.034</t>
        </is>
      </c>
      <c r="J150" s="44" t="inlineStr">
        <is>
          <t>0005</t>
        </is>
      </c>
      <c r="K150" s="63" t="n">
        <v>333232</v>
      </c>
      <c r="L150" s="43" t="inlineStr">
        <is>
          <t>Baik</t>
        </is>
      </c>
      <c r="M150" s="41" t="n"/>
      <c r="N150" s="41" t="n"/>
      <c r="O150" s="40" t="inlineStr">
        <is>
          <t>Kabid Hansenibud</t>
        </is>
      </c>
      <c r="P150" s="214" t="n"/>
      <c r="Q150" s="217">
        <f>B150</f>
        <v/>
      </c>
      <c r="R150" s="217" t="n"/>
      <c r="S150" s="218">
        <f>H150</f>
        <v/>
      </c>
      <c r="T150" s="218">
        <f>J150</f>
        <v/>
      </c>
      <c r="U150" s="217" t="n"/>
      <c r="V150" s="218" t="n"/>
      <c r="W150" s="222" t="n"/>
      <c r="X150" s="88" t="n"/>
      <c r="Y150" s="88" t="n"/>
    </row>
    <row r="151" ht="18" customHeight="1" s="79">
      <c r="A151" s="47">
        <f>A150+1</f>
        <v/>
      </c>
      <c r="B151" s="567" t="inlineStr">
        <is>
          <t>Kursi Lipat</t>
        </is>
      </c>
      <c r="C151" s="592" t="n"/>
      <c r="D151" s="10" t="inlineStr">
        <is>
          <t>MATRIX / -</t>
        </is>
      </c>
      <c r="E151" s="12" t="n"/>
      <c r="F151" s="12" t="n"/>
      <c r="G151" s="9" t="n"/>
      <c r="H151" s="9" t="n">
        <v>2018</v>
      </c>
      <c r="I151" s="9" t="inlineStr">
        <is>
          <t>02.06.02.01.034</t>
        </is>
      </c>
      <c r="J151" s="11" t="inlineStr">
        <is>
          <t>0006</t>
        </is>
      </c>
      <c r="K151" s="20" t="n">
        <v>333232</v>
      </c>
      <c r="L151" s="9" t="inlineStr">
        <is>
          <t>Baik</t>
        </is>
      </c>
      <c r="M151" s="12" t="n"/>
      <c r="N151" s="12" t="n"/>
      <c r="O151" s="32" t="inlineStr">
        <is>
          <t>Lutfi</t>
        </is>
      </c>
      <c r="P151" s="214" t="n"/>
      <c r="Q151" s="217">
        <f>B151</f>
        <v/>
      </c>
      <c r="R151" s="217" t="n"/>
      <c r="S151" s="218">
        <f>H151</f>
        <v/>
      </c>
      <c r="T151" s="218">
        <f>J151</f>
        <v/>
      </c>
      <c r="U151" s="217" t="n"/>
      <c r="V151" s="218" t="n"/>
      <c r="W151" s="222" t="n"/>
      <c r="X151" s="88" t="n"/>
      <c r="Y151" s="88" t="n"/>
    </row>
    <row r="152" ht="31.5" customHeight="1" s="79">
      <c r="A152" s="47">
        <f>A151+1</f>
        <v/>
      </c>
      <c r="B152" s="567" t="inlineStr">
        <is>
          <t>Kursi Lipat</t>
        </is>
      </c>
      <c r="C152" s="592" t="n"/>
      <c r="D152" s="26" t="inlineStr">
        <is>
          <t>MATRIX / -</t>
        </is>
      </c>
      <c r="E152" s="27" t="n"/>
      <c r="F152" s="27" t="n"/>
      <c r="G152" s="9" t="n"/>
      <c r="H152" s="7" t="n">
        <v>2018</v>
      </c>
      <c r="I152" s="9" t="inlineStr">
        <is>
          <t>02.06.02.01.034</t>
        </is>
      </c>
      <c r="J152" s="11" t="inlineStr">
        <is>
          <t>0007</t>
        </is>
      </c>
      <c r="K152" s="153" t="n">
        <v>333232</v>
      </c>
      <c r="L152" s="9" t="inlineStr">
        <is>
          <t>Baik</t>
        </is>
      </c>
      <c r="M152" s="27" t="n"/>
      <c r="N152" s="27" t="n"/>
      <c r="O152" s="50" t="inlineStr">
        <is>
          <t>Ruang Sekretaris</t>
        </is>
      </c>
      <c r="P152" s="214" t="n"/>
      <c r="Q152" s="217">
        <f>B152</f>
        <v/>
      </c>
      <c r="R152" s="217" t="n"/>
      <c r="S152" s="218">
        <f>H152</f>
        <v/>
      </c>
      <c r="T152" s="218">
        <f>J152</f>
        <v/>
      </c>
      <c r="U152" s="217" t="n"/>
      <c r="V152" s="218" t="n"/>
      <c r="W152" s="222" t="n"/>
      <c r="X152" s="88" t="n"/>
      <c r="Y152" s="88" t="n"/>
    </row>
    <row r="153" ht="31.5" customHeight="1" s="79">
      <c r="A153" s="47">
        <f>A152+1</f>
        <v/>
      </c>
      <c r="B153" s="567" t="inlineStr">
        <is>
          <t>Kursi Lipat</t>
        </is>
      </c>
      <c r="C153" s="592" t="n"/>
      <c r="D153" s="26" t="inlineStr">
        <is>
          <t>MATRIX / -</t>
        </is>
      </c>
      <c r="E153" s="27" t="n"/>
      <c r="F153" s="27" t="n"/>
      <c r="G153" s="9" t="n"/>
      <c r="H153" s="7" t="n">
        <v>2018</v>
      </c>
      <c r="I153" s="9" t="inlineStr">
        <is>
          <t>02.06.02.01.034</t>
        </is>
      </c>
      <c r="J153" s="11" t="inlineStr">
        <is>
          <t>0008</t>
        </is>
      </c>
      <c r="K153" s="153" t="n">
        <v>333232</v>
      </c>
      <c r="L153" s="9" t="inlineStr">
        <is>
          <t>Baik</t>
        </is>
      </c>
      <c r="M153" s="27" t="n"/>
      <c r="N153" s="27" t="n"/>
      <c r="O153" s="50" t="inlineStr">
        <is>
          <t>Ruang Sekretaris</t>
        </is>
      </c>
      <c r="P153" s="214" t="n"/>
      <c r="Q153" s="217">
        <f>B153</f>
        <v/>
      </c>
      <c r="R153" s="217" t="n"/>
      <c r="S153" s="218">
        <f>H153</f>
        <v/>
      </c>
      <c r="T153" s="218">
        <f>J153</f>
        <v/>
      </c>
      <c r="U153" s="217" t="n"/>
      <c r="V153" s="218" t="n"/>
      <c r="W153" s="222" t="n"/>
      <c r="X153" s="88" t="n"/>
      <c r="Y153" s="88" t="n"/>
    </row>
    <row r="154" ht="18" customHeight="1" s="79">
      <c r="A154" s="47">
        <f>A153+1</f>
        <v/>
      </c>
      <c r="B154" s="567" t="inlineStr">
        <is>
          <t>Kursi Lipat</t>
        </is>
      </c>
      <c r="C154" s="592" t="n"/>
      <c r="D154" s="10" t="inlineStr">
        <is>
          <t>MATRIX / -</t>
        </is>
      </c>
      <c r="E154" s="12" t="n"/>
      <c r="F154" s="12" t="n"/>
      <c r="G154" s="9" t="n"/>
      <c r="H154" s="9" t="n">
        <v>2018</v>
      </c>
      <c r="I154" s="9" t="inlineStr">
        <is>
          <t>02.06.02.01.034</t>
        </is>
      </c>
      <c r="J154" s="11" t="inlineStr">
        <is>
          <t>0009</t>
        </is>
      </c>
      <c r="K154" s="20" t="n">
        <v>333232</v>
      </c>
      <c r="L154" s="9" t="inlineStr">
        <is>
          <t>Baik</t>
        </is>
      </c>
      <c r="M154" s="12" t="n"/>
      <c r="N154" s="12" t="n"/>
      <c r="O154" s="32" t="inlineStr">
        <is>
          <t>Ibu Sanah</t>
        </is>
      </c>
      <c r="P154" s="214" t="n"/>
      <c r="Q154" s="217">
        <f>B154</f>
        <v/>
      </c>
      <c r="R154" s="217" t="n"/>
      <c r="S154" s="218">
        <f>H154</f>
        <v/>
      </c>
      <c r="T154" s="218">
        <f>J154</f>
        <v/>
      </c>
      <c r="U154" s="217" t="n"/>
      <c r="V154" s="218" t="n"/>
      <c r="W154" s="222" t="n"/>
      <c r="X154" s="88" t="n"/>
      <c r="Y154" s="88" t="n"/>
    </row>
    <row r="155" ht="31.5" customHeight="1" s="79">
      <c r="A155" s="47">
        <f>A154+1</f>
        <v/>
      </c>
      <c r="B155" s="567" t="inlineStr">
        <is>
          <t>Meja Komputer</t>
        </is>
      </c>
      <c r="C155" s="592" t="n"/>
      <c r="D155" s="26" t="inlineStr">
        <is>
          <t>AZTEC / CD 800 P</t>
        </is>
      </c>
      <c r="E155" s="12" t="n"/>
      <c r="F155" s="12" t="n"/>
      <c r="G155" s="30" t="inlineStr">
        <is>
          <t>Serbuk Kayu</t>
        </is>
      </c>
      <c r="H155" s="9" t="n">
        <v>2013</v>
      </c>
      <c r="I155" s="9" t="inlineStr">
        <is>
          <t>02.06.02.01.037</t>
        </is>
      </c>
      <c r="J155" s="11" t="inlineStr">
        <is>
          <t>0002</t>
        </is>
      </c>
      <c r="K155" s="172" t="inlineStr">
        <is>
          <t>588424.11</t>
        </is>
      </c>
      <c r="L155" s="9" t="inlineStr">
        <is>
          <t>Baik</t>
        </is>
      </c>
      <c r="M155" s="12" t="n"/>
      <c r="N155" s="12" t="n"/>
      <c r="O155" s="26" t="inlineStr">
        <is>
          <t>Kabid Politik</t>
        </is>
      </c>
      <c r="P155" s="214" t="n"/>
      <c r="Q155" s="217">
        <f>B155</f>
        <v/>
      </c>
      <c r="R155" s="217" t="n"/>
      <c r="S155" s="218">
        <f>H155</f>
        <v/>
      </c>
      <c r="T155" s="218">
        <f>J155</f>
        <v/>
      </c>
      <c r="U155" s="217" t="n"/>
      <c r="V155" s="218" t="n"/>
      <c r="W155" s="222" t="n"/>
      <c r="X155" s="88" t="n"/>
      <c r="Y155" s="88" t="n"/>
    </row>
    <row r="156" ht="47.25" customHeight="1" s="79">
      <c r="A156" s="47">
        <f>A155+1</f>
        <v/>
      </c>
      <c r="B156" s="567" t="inlineStr">
        <is>
          <t>Meja Komputer</t>
        </is>
      </c>
      <c r="C156" s="592" t="n"/>
      <c r="D156" s="26" t="inlineStr">
        <is>
          <t>Olympic/ -</t>
        </is>
      </c>
      <c r="E156" s="32" t="n"/>
      <c r="F156" s="32" t="n"/>
      <c r="G156" s="30" t="inlineStr">
        <is>
          <t>Serbuk Kayu</t>
        </is>
      </c>
      <c r="H156" s="9" t="n">
        <v>2006</v>
      </c>
      <c r="I156" s="9" t="inlineStr">
        <is>
          <t>02.06.02.01.037</t>
        </is>
      </c>
      <c r="J156" s="11" t="inlineStr">
        <is>
          <t>0003</t>
        </is>
      </c>
      <c r="K156" s="20" t="n">
        <v>154000</v>
      </c>
      <c r="L156" s="9" t="inlineStr">
        <is>
          <t>Baik</t>
        </is>
      </c>
      <c r="M156" s="32" t="n"/>
      <c r="N156" s="32" t="n"/>
      <c r="O156" s="50" t="inlineStr">
        <is>
          <t>Ruang Sekretariat (Rosy)</t>
        </is>
      </c>
      <c r="P156" s="214" t="n"/>
      <c r="Q156" s="217">
        <f>B156</f>
        <v/>
      </c>
      <c r="R156" s="217" t="n"/>
      <c r="S156" s="218">
        <f>H156</f>
        <v/>
      </c>
      <c r="T156" s="218">
        <f>J156</f>
        <v/>
      </c>
      <c r="U156" s="217" t="n"/>
      <c r="V156" s="218" t="n"/>
      <c r="W156" s="222" t="n"/>
      <c r="X156" s="88" t="n"/>
      <c r="Y156" s="88" t="n"/>
    </row>
    <row r="157" ht="18" customHeight="1" s="79">
      <c r="K157" s="234">
        <f>SUM(K135:K156)</f>
        <v/>
      </c>
      <c r="P157" s="214" t="n"/>
      <c r="Q157" s="217">
        <f>B169</f>
        <v/>
      </c>
      <c r="R157" s="217" t="n"/>
      <c r="S157" s="218">
        <f>H169</f>
        <v/>
      </c>
      <c r="T157" s="218">
        <f>J169</f>
        <v/>
      </c>
      <c r="U157" s="217" t="n"/>
      <c r="V157" s="218" t="n"/>
      <c r="W157" s="222" t="n"/>
      <c r="X157" s="88" t="n"/>
      <c r="Y157" s="88" t="n"/>
    </row>
    <row r="158" ht="18" customHeight="1" s="79">
      <c r="P158" s="214" t="n"/>
      <c r="Q158" s="217">
        <f>B170</f>
        <v/>
      </c>
      <c r="R158" s="217" t="n"/>
      <c r="S158" s="218">
        <f>H170</f>
        <v/>
      </c>
      <c r="T158" s="218">
        <f>J170</f>
        <v/>
      </c>
      <c r="U158" s="217" t="n"/>
      <c r="V158" s="218" t="n"/>
      <c r="W158" s="222" t="n"/>
      <c r="X158" s="88" t="n"/>
      <c r="Y158" s="88" t="n"/>
    </row>
    <row r="159" ht="18" customHeight="1" s="79">
      <c r="P159" s="214" t="n"/>
      <c r="Q159" s="217">
        <f>B171</f>
        <v/>
      </c>
      <c r="R159" s="217" t="n"/>
      <c r="S159" s="218">
        <f>H171</f>
        <v/>
      </c>
      <c r="T159" s="218">
        <f>J171</f>
        <v/>
      </c>
      <c r="U159" s="217" t="n"/>
      <c r="V159" s="218" t="n"/>
      <c r="W159" s="222" t="n"/>
      <c r="X159" s="88" t="n"/>
      <c r="Y159" s="88" t="n"/>
    </row>
    <row r="160" ht="18" customHeight="1" s="79">
      <c r="A160" s="157" t="n"/>
      <c r="B160" s="67" t="n"/>
      <c r="C160" s="189" t="n"/>
      <c r="D160" s="68" t="n"/>
      <c r="E160" s="110" t="n"/>
      <c r="F160" s="110" t="n"/>
      <c r="G160" s="222" t="n"/>
      <c r="H160" s="221" t="n"/>
      <c r="I160" s="222" t="n"/>
      <c r="J160" s="71" t="n"/>
      <c r="K160" s="101" t="n"/>
      <c r="L160" s="222" t="n"/>
      <c r="M160" s="110" t="n"/>
      <c r="N160" s="110" t="n"/>
      <c r="O160" s="159" t="n"/>
      <c r="P160" s="214" t="n"/>
      <c r="Q160" s="217">
        <f>B160</f>
        <v/>
      </c>
      <c r="R160" s="217" t="n"/>
      <c r="S160" s="218">
        <f>H160</f>
        <v/>
      </c>
      <c r="T160" s="218">
        <f>J160</f>
        <v/>
      </c>
      <c r="U160" s="217" t="n"/>
      <c r="V160" s="218" t="n"/>
      <c r="W160" s="222" t="n"/>
      <c r="X160" s="88" t="n"/>
      <c r="Y160" s="88" t="n"/>
    </row>
    <row r="161" ht="18" customHeight="1" s="79">
      <c r="A161" s="157" t="n"/>
      <c r="B161" s="67" t="n"/>
      <c r="C161" s="189" t="n"/>
      <c r="D161" s="68" t="n"/>
      <c r="E161" s="110" t="n"/>
      <c r="F161" s="110" t="n"/>
      <c r="G161" s="222" t="n"/>
      <c r="H161" s="221" t="n"/>
      <c r="I161" s="222" t="n"/>
      <c r="J161" s="71" t="n"/>
      <c r="K161" s="101" t="n"/>
      <c r="L161" s="222" t="n"/>
      <c r="M161" s="110" t="n"/>
      <c r="N161" s="110" t="n"/>
      <c r="O161" s="159" t="n"/>
      <c r="P161" s="214" t="n"/>
      <c r="Q161" s="217">
        <f>B161</f>
        <v/>
      </c>
      <c r="R161" s="217" t="n"/>
      <c r="S161" s="218">
        <f>H161</f>
        <v/>
      </c>
      <c r="T161" s="218">
        <f>J161</f>
        <v/>
      </c>
      <c r="U161" s="217" t="n"/>
      <c r="V161" s="218" t="n"/>
      <c r="W161" s="222" t="n"/>
      <c r="X161" s="88" t="n"/>
      <c r="Y161" s="88" t="n"/>
    </row>
    <row r="162" ht="18" customHeight="1" s="79">
      <c r="A162" s="157" t="n"/>
      <c r="B162" s="67" t="n"/>
      <c r="C162" s="189" t="n"/>
      <c r="D162" s="68" t="n"/>
      <c r="E162" s="110" t="n"/>
      <c r="F162" s="110" t="n"/>
      <c r="G162" s="222" t="n"/>
      <c r="H162" s="221" t="n"/>
      <c r="I162" s="222" t="n"/>
      <c r="J162" s="71" t="n"/>
      <c r="K162" s="101" t="n"/>
      <c r="L162" s="222" t="n"/>
      <c r="M162" s="110" t="n"/>
      <c r="N162" s="110" t="n"/>
      <c r="O162" s="159" t="n"/>
      <c r="P162" s="214" t="n"/>
      <c r="Q162" s="217">
        <f>B162</f>
        <v/>
      </c>
      <c r="R162" s="217" t="n"/>
      <c r="S162" s="218">
        <f>H162</f>
        <v/>
      </c>
      <c r="T162" s="218">
        <f>J162</f>
        <v/>
      </c>
      <c r="U162" s="217" t="n"/>
      <c r="V162" s="218" t="n"/>
      <c r="W162" s="222" t="n"/>
      <c r="X162" s="88" t="n"/>
      <c r="Y162" s="88" t="n"/>
    </row>
    <row r="163" ht="18" customHeight="1" s="79">
      <c r="A163" s="157" t="n"/>
      <c r="B163" s="67" t="n"/>
      <c r="C163" s="189" t="n"/>
      <c r="D163" s="68" t="n"/>
      <c r="E163" s="110" t="n"/>
      <c r="F163" s="110" t="n"/>
      <c r="G163" s="222" t="n"/>
      <c r="H163" s="221" t="n"/>
      <c r="I163" s="222" t="n"/>
      <c r="J163" s="71" t="n"/>
      <c r="K163" s="101" t="n"/>
      <c r="L163" s="222" t="n"/>
      <c r="M163" s="110" t="n"/>
      <c r="N163" s="110" t="n"/>
      <c r="O163" s="159" t="n"/>
      <c r="P163" s="214" t="n"/>
      <c r="Q163" s="217">
        <f>B163</f>
        <v/>
      </c>
      <c r="R163" s="217" t="n"/>
      <c r="S163" s="218">
        <f>H163</f>
        <v/>
      </c>
      <c r="T163" s="218">
        <f>J163</f>
        <v/>
      </c>
      <c r="U163" s="217" t="n"/>
      <c r="V163" s="218" t="n"/>
      <c r="W163" s="222" t="n"/>
      <c r="X163" s="88" t="n"/>
      <c r="Y163" s="88" t="n"/>
    </row>
    <row r="164" ht="18" customHeight="1" s="79">
      <c r="A164" s="186" t="n"/>
      <c r="B164" s="82" t="n"/>
      <c r="C164" s="190" t="n"/>
      <c r="D164" s="83" t="n"/>
      <c r="E164" s="112" t="n"/>
      <c r="F164" s="112" t="n"/>
      <c r="G164" s="86" t="n"/>
      <c r="H164" s="81" t="n"/>
      <c r="I164" s="86" t="n"/>
      <c r="J164" s="87" t="n"/>
      <c r="K164" s="102" t="n"/>
      <c r="L164" s="86" t="n"/>
      <c r="M164" s="112" t="n"/>
      <c r="N164" s="112" t="n"/>
      <c r="O164" s="191" t="n"/>
      <c r="P164" s="214" t="n"/>
      <c r="Q164" s="217">
        <f>B164</f>
        <v/>
      </c>
      <c r="R164" s="217" t="n"/>
      <c r="S164" s="218">
        <f>H164</f>
        <v/>
      </c>
      <c r="T164" s="218">
        <f>J164</f>
        <v/>
      </c>
      <c r="U164" s="217" t="n"/>
      <c r="V164" s="218" t="n"/>
      <c r="W164" s="222" t="n"/>
      <c r="X164" s="88" t="n"/>
      <c r="Y164" s="88" t="n"/>
    </row>
    <row r="165" ht="18" customHeight="1" s="79">
      <c r="A165" s="538" t="inlineStr">
        <is>
          <t>No.</t>
        </is>
      </c>
      <c r="B165" s="538" t="inlineStr">
        <is>
          <t>Nama Barang</t>
        </is>
      </c>
      <c r="C165" s="589" t="n"/>
      <c r="D165" s="538" t="inlineStr">
        <is>
          <t>Merk/</t>
        </is>
      </c>
      <c r="E165" s="538" t="inlineStr">
        <is>
          <t>No. Seri</t>
        </is>
      </c>
      <c r="F165" s="655" t="inlineStr">
        <is>
          <t>Ukuran</t>
        </is>
      </c>
      <c r="G165" s="655" t="inlineStr">
        <is>
          <t>Bahan</t>
        </is>
      </c>
      <c r="H165" s="538" t="inlineStr">
        <is>
          <t xml:space="preserve">Tahun </t>
        </is>
      </c>
      <c r="I165" s="538" t="n"/>
      <c r="J165" s="538" t="inlineStr">
        <is>
          <t xml:space="preserve">Jumlah </t>
        </is>
      </c>
      <c r="K165" s="538" t="inlineStr">
        <is>
          <t xml:space="preserve">Harga </t>
        </is>
      </c>
      <c r="L165" s="544" t="inlineStr">
        <is>
          <t xml:space="preserve">Keadaan Barang </t>
        </is>
      </c>
      <c r="M165" s="591" t="n"/>
      <c r="N165" s="592" t="n"/>
      <c r="O165" s="538" t="inlineStr">
        <is>
          <t>Keterangan</t>
        </is>
      </c>
      <c r="P165" s="214" t="n"/>
      <c r="Q165" s="217">
        <f>B165</f>
        <v/>
      </c>
      <c r="R165" s="217" t="n"/>
      <c r="S165" s="218">
        <f>H165</f>
        <v/>
      </c>
      <c r="T165" s="218">
        <f>J165</f>
        <v/>
      </c>
      <c r="U165" s="217" t="n"/>
      <c r="V165" s="218" t="n"/>
      <c r="W165" s="222" t="n"/>
      <c r="X165" s="88" t="n"/>
      <c r="Y165" s="88" t="n"/>
    </row>
    <row r="166" ht="18" customHeight="1" s="79">
      <c r="A166" s="543" t="inlineStr">
        <is>
          <t>Urut</t>
        </is>
      </c>
      <c r="B166" s="543" t="inlineStr">
        <is>
          <t>Jenis Barang</t>
        </is>
      </c>
      <c r="C166" s="593" t="n"/>
      <c r="D166" s="543" t="inlineStr">
        <is>
          <t>Model</t>
        </is>
      </c>
      <c r="E166" s="543" t="inlineStr">
        <is>
          <t>Pabrik</t>
        </is>
      </c>
      <c r="F166" s="594" t="n"/>
      <c r="G166" s="594" t="n"/>
      <c r="H166" s="104" t="inlineStr">
        <is>
          <t>Pembuatan</t>
        </is>
      </c>
      <c r="I166" s="104" t="inlineStr">
        <is>
          <t xml:space="preserve">No/. Kode Barang </t>
        </is>
      </c>
      <c r="J166" s="104" t="inlineStr">
        <is>
          <t>Barang</t>
        </is>
      </c>
      <c r="K166" s="104" t="inlineStr">
        <is>
          <t>Beli/</t>
        </is>
      </c>
      <c r="L166" s="104" t="inlineStr">
        <is>
          <t>Baik</t>
        </is>
      </c>
      <c r="M166" s="104" t="inlineStr">
        <is>
          <t>Kurang Baik</t>
        </is>
      </c>
      <c r="N166" s="104" t="inlineStr">
        <is>
          <t>Rusak Berat</t>
        </is>
      </c>
      <c r="O166" s="540" t="inlineStr">
        <is>
          <t>Mutasi dll</t>
        </is>
      </c>
      <c r="P166" s="214" t="n"/>
      <c r="Q166" s="217">
        <f>B166</f>
        <v/>
      </c>
      <c r="R166" s="217" t="n"/>
      <c r="S166" s="218">
        <f>H166</f>
        <v/>
      </c>
      <c r="T166" s="218">
        <f>J166</f>
        <v/>
      </c>
      <c r="U166" s="217" t="n"/>
      <c r="V166" s="218" t="n"/>
      <c r="W166" s="222" t="n"/>
      <c r="X166" s="88" t="n"/>
      <c r="Y166" s="88" t="n"/>
    </row>
    <row r="167" ht="18" customHeight="1" s="79">
      <c r="A167" s="595" t="n"/>
      <c r="B167" s="596" t="n"/>
      <c r="C167" s="597" t="n"/>
      <c r="D167" s="595" t="n"/>
      <c r="E167" s="595" t="n"/>
      <c r="F167" s="595" t="n"/>
      <c r="G167" s="595" t="n"/>
      <c r="H167" s="105" t="inlineStr">
        <is>
          <t>Atau Pembelian</t>
        </is>
      </c>
      <c r="I167" s="105" t="n"/>
      <c r="J167" s="105" t="inlineStr">
        <is>
          <t>Register x)</t>
        </is>
      </c>
      <c r="K167" s="105" t="inlineStr">
        <is>
          <t>Perolehan</t>
        </is>
      </c>
      <c r="L167" s="105" t="inlineStr">
        <is>
          <t>(B)</t>
        </is>
      </c>
      <c r="M167" s="105" t="inlineStr">
        <is>
          <t>(KB)</t>
        </is>
      </c>
      <c r="N167" s="105" t="inlineStr">
        <is>
          <t>(RB)</t>
        </is>
      </c>
      <c r="O167" s="595" t="n"/>
      <c r="P167" s="214" t="n"/>
      <c r="Q167" s="217">
        <f>B167</f>
        <v/>
      </c>
      <c r="R167" s="217" t="n"/>
      <c r="S167" s="218">
        <f>H167</f>
        <v/>
      </c>
      <c r="T167" s="218">
        <f>J167</f>
        <v/>
      </c>
      <c r="U167" s="217" t="n"/>
      <c r="V167" s="218" t="n"/>
      <c r="W167" s="222" t="n"/>
      <c r="X167" s="88" t="n"/>
      <c r="Y167" s="88" t="n"/>
    </row>
    <row r="168" ht="18" customHeight="1" s="79">
      <c r="A168" s="47" t="n">
        <v>1</v>
      </c>
      <c r="B168" s="47" t="n">
        <v>2</v>
      </c>
      <c r="C168" s="592" t="n"/>
      <c r="D168" s="539" t="n">
        <v>3</v>
      </c>
      <c r="E168" s="539" t="n">
        <v>4</v>
      </c>
      <c r="F168" s="542" t="n">
        <v>5</v>
      </c>
      <c r="G168" s="542" t="n">
        <v>6</v>
      </c>
      <c r="H168" s="104" t="n">
        <v>7</v>
      </c>
      <c r="I168" s="104" t="n">
        <v>8</v>
      </c>
      <c r="J168" s="104" t="n">
        <v>9</v>
      </c>
      <c r="K168" s="104" t="n">
        <v>10</v>
      </c>
      <c r="L168" s="104" t="n">
        <v>11</v>
      </c>
      <c r="M168" s="104" t="n">
        <v>12</v>
      </c>
      <c r="N168" s="104" t="n">
        <v>13</v>
      </c>
      <c r="O168" s="539" t="n">
        <v>14</v>
      </c>
      <c r="P168" s="214" t="n"/>
      <c r="Q168" s="217">
        <f>B168</f>
        <v/>
      </c>
      <c r="R168" s="217" t="n"/>
      <c r="S168" s="218">
        <f>H168</f>
        <v/>
      </c>
      <c r="T168" s="218">
        <f>J168</f>
        <v/>
      </c>
      <c r="U168" s="217" t="n"/>
      <c r="V168" s="218" t="n"/>
      <c r="W168" s="222" t="n"/>
      <c r="X168" s="88" t="n"/>
      <c r="Y168" s="88" t="n"/>
    </row>
    <row r="169" ht="94.5" customHeight="1" s="79">
      <c r="A169" s="47">
        <f>A156+1</f>
        <v/>
      </c>
      <c r="B169" s="564" t="inlineStr">
        <is>
          <t>Sofa</t>
        </is>
      </c>
      <c r="C169" s="592" t="n"/>
      <c r="D169" s="59" t="inlineStr">
        <is>
          <t>3.2.1. In Frame IF 007Hitam/CT Royal 0198/Espresso 0197</t>
        </is>
      </c>
      <c r="E169" s="59" t="n"/>
      <c r="F169" s="60" t="n"/>
      <c r="G169" s="39" t="inlineStr">
        <is>
          <t>Kulit Hitam</t>
        </is>
      </c>
      <c r="H169" s="39" t="n">
        <v>2013</v>
      </c>
      <c r="I169" s="39" t="inlineStr">
        <is>
          <t>02.06.02.01.049</t>
        </is>
      </c>
      <c r="J169" s="56" t="inlineStr">
        <is>
          <t>0001</t>
        </is>
      </c>
      <c r="K169" s="154" t="n">
        <v>9384350.039999999</v>
      </c>
      <c r="L169" s="39" t="inlineStr">
        <is>
          <t>Baik</t>
        </is>
      </c>
      <c r="M169" s="57" t="n"/>
      <c r="N169" s="60" t="n"/>
      <c r="O169" s="50" t="inlineStr">
        <is>
          <t>Ruang Sekretaris</t>
        </is>
      </c>
      <c r="P169" s="214" t="n"/>
      <c r="Q169" s="217" t="n"/>
      <c r="R169" s="217" t="n"/>
      <c r="S169" s="218" t="n"/>
      <c r="T169" s="218" t="n"/>
      <c r="U169" s="217" t="n"/>
      <c r="V169" s="218" t="n"/>
      <c r="W169" s="222" t="n"/>
      <c r="X169" s="88" t="n"/>
      <c r="Y169" s="88" t="n"/>
    </row>
    <row r="170" ht="31.5" customHeight="1" s="79">
      <c r="A170" s="47">
        <f>A169+1</f>
        <v/>
      </c>
      <c r="B170" s="567" t="inlineStr">
        <is>
          <t>Sofa</t>
        </is>
      </c>
      <c r="C170" s="592" t="n"/>
      <c r="D170" s="26" t="inlineStr">
        <is>
          <t>LEXUS / 321</t>
        </is>
      </c>
      <c r="E170" s="26" t="n"/>
      <c r="F170" s="32" t="n"/>
      <c r="G170" s="9" t="n"/>
      <c r="H170" s="9" t="n">
        <v>2020</v>
      </c>
      <c r="I170" s="9" t="inlineStr">
        <is>
          <t>02.06.02.01.049</t>
        </is>
      </c>
      <c r="J170" s="11" t="inlineStr">
        <is>
          <t>0002</t>
        </is>
      </c>
      <c r="K170" s="20" t="n">
        <v>12524430</v>
      </c>
      <c r="L170" s="9" t="inlineStr">
        <is>
          <t>Baik</t>
        </is>
      </c>
      <c r="M170" s="32" t="n"/>
      <c r="N170" s="32" t="n"/>
      <c r="O170" s="40" t="inlineStr">
        <is>
          <t>Ruang Kaban</t>
        </is>
      </c>
      <c r="P170" s="214" t="n"/>
      <c r="Q170" s="217" t="n"/>
      <c r="R170" s="217" t="n"/>
      <c r="S170" s="218" t="n"/>
      <c r="T170" s="218" t="n"/>
      <c r="U170" s="217" t="n"/>
      <c r="V170" s="218" t="n"/>
      <c r="W170" s="222" t="n"/>
      <c r="X170" s="88" t="n"/>
      <c r="Y170" s="88" t="n"/>
    </row>
    <row r="171" ht="47.25" customHeight="1" s="79">
      <c r="A171" s="47">
        <f>A170+1</f>
        <v/>
      </c>
      <c r="B171" s="567" t="inlineStr">
        <is>
          <t>Lemari Es</t>
        </is>
      </c>
      <c r="C171" s="592" t="n"/>
      <c r="D171" s="26" t="inlineStr">
        <is>
          <t>Kulkas SHARP/    SJ19BHTB</t>
        </is>
      </c>
      <c r="E171" s="27" t="n"/>
      <c r="F171" s="27" t="n"/>
      <c r="G171" s="9" t="inlineStr">
        <is>
          <t>Besi</t>
        </is>
      </c>
      <c r="H171" s="7" t="n">
        <v>2012</v>
      </c>
      <c r="I171" s="9" t="inlineStr">
        <is>
          <t>02.06.02.04.001</t>
        </is>
      </c>
      <c r="J171" s="11" t="inlineStr">
        <is>
          <t>0001</t>
        </is>
      </c>
      <c r="K171" s="19" t="n">
        <v>1975000</v>
      </c>
      <c r="L171" s="9" t="inlineStr">
        <is>
          <t>Baik</t>
        </is>
      </c>
      <c r="M171" s="27" t="n"/>
      <c r="N171" s="27" t="n"/>
      <c r="O171" s="40" t="inlineStr">
        <is>
          <t>Ruang Kaban</t>
        </is>
      </c>
      <c r="P171" s="214" t="n"/>
      <c r="Q171" s="217" t="n"/>
      <c r="R171" s="217" t="n"/>
      <c r="S171" s="218" t="n"/>
      <c r="T171" s="218" t="n"/>
      <c r="U171" s="217" t="n"/>
      <c r="V171" s="218" t="n"/>
      <c r="W171" s="222" t="n"/>
      <c r="X171" s="88" t="n"/>
      <c r="Y171" s="88" t="n"/>
    </row>
    <row r="172" ht="31.5" customHeight="1" s="79">
      <c r="A172" s="47">
        <f>A171+1</f>
        <v/>
      </c>
      <c r="B172" s="567" t="inlineStr">
        <is>
          <t>Lemari ES</t>
        </is>
      </c>
      <c r="C172" s="592" t="n"/>
      <c r="D172" s="26" t="inlineStr">
        <is>
          <t>LG / GR602JLC</t>
        </is>
      </c>
      <c r="E172" s="12" t="n"/>
      <c r="F172" s="12" t="n"/>
      <c r="G172" s="30" t="inlineStr">
        <is>
          <t>Besi</t>
        </is>
      </c>
      <c r="H172" s="9" t="n">
        <v>2011</v>
      </c>
      <c r="I172" s="9" t="inlineStr">
        <is>
          <t>02.06.02.04.001</t>
        </is>
      </c>
      <c r="J172" s="11" t="inlineStr">
        <is>
          <t>0003</t>
        </is>
      </c>
      <c r="K172" s="20" t="n">
        <v>14700000</v>
      </c>
      <c r="L172" s="9" t="inlineStr">
        <is>
          <t>Baik</t>
        </is>
      </c>
      <c r="M172" s="12" t="n"/>
      <c r="N172" s="12" t="n"/>
      <c r="O172" s="10" t="inlineStr">
        <is>
          <t>Ruang Dapur</t>
        </is>
      </c>
      <c r="P172" s="214" t="n"/>
      <c r="Q172" s="217">
        <f>B172</f>
        <v/>
      </c>
      <c r="R172" s="217" t="n"/>
      <c r="S172" s="218">
        <f>H172</f>
        <v/>
      </c>
      <c r="T172" s="218">
        <f>J172</f>
        <v/>
      </c>
      <c r="U172" s="217" t="n"/>
      <c r="V172" s="218" t="n"/>
      <c r="W172" s="222" t="n"/>
      <c r="X172" s="88" t="n"/>
      <c r="Y172" s="88" t="n"/>
    </row>
    <row r="173" ht="47.25" customHeight="1" s="79">
      <c r="A173" s="47">
        <f>A172+1</f>
        <v/>
      </c>
      <c r="B173" s="564" t="inlineStr">
        <is>
          <t>AC Unit</t>
        </is>
      </c>
      <c r="C173" s="592" t="n"/>
      <c r="D173" s="48" t="inlineStr">
        <is>
          <t>Samsung / AS09TSMNXEA</t>
        </is>
      </c>
      <c r="E173" s="170" t="n"/>
      <c r="F173" s="170" t="n"/>
      <c r="G173" s="43" t="inlineStr">
        <is>
          <t>Besi Plastik</t>
        </is>
      </c>
      <c r="H173" s="39" t="n">
        <v>2013</v>
      </c>
      <c r="I173" s="39" t="inlineStr">
        <is>
          <t>02.06.02.04.003</t>
        </is>
      </c>
      <c r="J173" s="44" t="inlineStr">
        <is>
          <t>0007</t>
        </is>
      </c>
      <c r="K173" s="90" t="n">
        <v>4150000</v>
      </c>
      <c r="L173" s="39" t="inlineStr">
        <is>
          <t>Baik</t>
        </is>
      </c>
      <c r="M173" s="170" t="n"/>
      <c r="N173" s="170" t="n"/>
      <c r="O173" s="40" t="inlineStr">
        <is>
          <t>Kabid Hansenibud</t>
        </is>
      </c>
      <c r="P173" s="214" t="n"/>
      <c r="Q173" s="217">
        <f>B173</f>
        <v/>
      </c>
      <c r="R173" s="217" t="n"/>
      <c r="S173" s="218">
        <f>H173</f>
        <v/>
      </c>
      <c r="T173" s="218">
        <f>J173</f>
        <v/>
      </c>
      <c r="U173" s="217" t="n"/>
      <c r="V173" s="218" t="n"/>
      <c r="W173" s="222" t="n"/>
      <c r="X173" s="88" t="n"/>
      <c r="Y173" s="88" t="n"/>
    </row>
    <row r="174" ht="63" customHeight="1" s="79">
      <c r="A174" s="47">
        <f>A173+1</f>
        <v/>
      </c>
      <c r="B174" s="567" t="inlineStr">
        <is>
          <t>AC Unit</t>
        </is>
      </c>
      <c r="C174" s="592" t="n"/>
      <c r="D174" s="10" t="inlineStr">
        <is>
          <t>Samsung/AR09 HCFSTWKNSE</t>
        </is>
      </c>
      <c r="E174" s="12" t="n"/>
      <c r="F174" s="12" t="n"/>
      <c r="G174" s="30" t="inlineStr">
        <is>
          <t>Besi Plastik     1 PK</t>
        </is>
      </c>
      <c r="H174" s="9" t="n">
        <v>2014</v>
      </c>
      <c r="I174" s="9" t="inlineStr">
        <is>
          <t>02.06.02.04.003</t>
        </is>
      </c>
      <c r="J174" s="11" t="inlineStr">
        <is>
          <t>0008</t>
        </is>
      </c>
      <c r="K174" s="89" t="n">
        <v>4916358</v>
      </c>
      <c r="L174" s="9" t="inlineStr">
        <is>
          <t>Baik</t>
        </is>
      </c>
      <c r="M174" s="12" t="n"/>
      <c r="N174" s="12" t="n"/>
      <c r="O174" s="50" t="inlineStr">
        <is>
          <t>Subbag Sunram</t>
        </is>
      </c>
      <c r="P174" s="214" t="n"/>
      <c r="Q174" s="217">
        <f>B174</f>
        <v/>
      </c>
      <c r="R174" s="217" t="n"/>
      <c r="S174" s="218">
        <f>H174</f>
        <v/>
      </c>
      <c r="T174" s="218">
        <f>J174</f>
        <v/>
      </c>
      <c r="U174" s="217" t="n"/>
      <c r="V174" s="218" t="n"/>
      <c r="W174" s="222" t="n"/>
      <c r="X174" s="88" t="n"/>
      <c r="Y174" s="88" t="n"/>
    </row>
    <row r="175" ht="31.5" customHeight="1" s="79">
      <c r="A175" s="47">
        <f>A174+1</f>
        <v/>
      </c>
      <c r="B175" s="567" t="inlineStr">
        <is>
          <t>AC Unit</t>
        </is>
      </c>
      <c r="C175" s="592" t="n"/>
      <c r="D175" s="26" t="inlineStr">
        <is>
          <t>DAIKIN/FTNE25JEV14</t>
        </is>
      </c>
      <c r="E175" s="32" t="n"/>
      <c r="F175" s="32" t="n"/>
      <c r="G175" s="30" t="inlineStr">
        <is>
          <t>Besi Plastik                             1 PK</t>
        </is>
      </c>
      <c r="H175" s="9" t="n">
        <v>2016</v>
      </c>
      <c r="I175" s="9" t="inlineStr">
        <is>
          <t>02.06.02.04.003</t>
        </is>
      </c>
      <c r="J175" s="11" t="inlineStr">
        <is>
          <t>0011</t>
        </is>
      </c>
      <c r="K175" s="89" t="n">
        <v>5000000</v>
      </c>
      <c r="L175" s="9" t="inlineStr">
        <is>
          <t>Baik</t>
        </is>
      </c>
      <c r="M175" s="32" t="n"/>
      <c r="N175" s="32" t="n"/>
      <c r="O175" s="26" t="inlineStr">
        <is>
          <t>Subbag Keuangan</t>
        </is>
      </c>
      <c r="P175" s="214" t="n"/>
      <c r="Q175" s="217">
        <f>B175</f>
        <v/>
      </c>
      <c r="R175" s="217" t="n"/>
      <c r="S175" s="218">
        <f>H175</f>
        <v/>
      </c>
      <c r="T175" s="218">
        <f>J175</f>
        <v/>
      </c>
      <c r="U175" s="217" t="n"/>
      <c r="V175" s="218" t="n"/>
      <c r="W175" s="222" t="n"/>
      <c r="X175" s="88" t="n"/>
      <c r="Y175" s="88" t="n"/>
    </row>
    <row r="176" ht="47.25" customHeight="1" s="79">
      <c r="A176" s="47">
        <f>A175+1</f>
        <v/>
      </c>
      <c r="B176" s="567" t="inlineStr">
        <is>
          <t>AC Unit</t>
        </is>
      </c>
      <c r="C176" s="592" t="n"/>
      <c r="D176" s="26" t="inlineStr">
        <is>
          <t>Daikin / FTNE25JEV14</t>
        </is>
      </c>
      <c r="E176" s="12" t="n"/>
      <c r="F176" s="12" t="n"/>
      <c r="G176" s="9" t="inlineStr">
        <is>
          <t>Besi Plastik</t>
        </is>
      </c>
      <c r="H176" s="30" t="inlineStr">
        <is>
          <t xml:space="preserve">2016                                    1 PK             </t>
        </is>
      </c>
      <c r="I176" s="9" t="inlineStr">
        <is>
          <t>02.06.02.04.003</t>
        </is>
      </c>
      <c r="J176" s="11" t="inlineStr">
        <is>
          <t>0012</t>
        </is>
      </c>
      <c r="K176" s="172">
        <f>5000000/2</f>
        <v/>
      </c>
      <c r="L176" s="9" t="inlineStr">
        <is>
          <t>Baik</t>
        </is>
      </c>
      <c r="M176" s="12" t="n"/>
      <c r="N176" s="12" t="n"/>
      <c r="O176" s="26" t="inlineStr">
        <is>
          <t>Ruang Rapat</t>
        </is>
      </c>
      <c r="P176" s="214" t="n"/>
      <c r="Q176" s="217">
        <f>B176</f>
        <v/>
      </c>
      <c r="R176" s="217" t="n"/>
      <c r="S176" s="218">
        <f>H176</f>
        <v/>
      </c>
      <c r="T176" s="218">
        <f>J176</f>
        <v/>
      </c>
      <c r="U176" s="217" t="n"/>
      <c r="V176" s="218" t="n"/>
      <c r="W176" s="222" t="n"/>
      <c r="X176" s="88" t="n"/>
      <c r="Y176" s="88" t="n"/>
    </row>
    <row r="177" ht="31.5" customHeight="1" s="79">
      <c r="A177" s="47">
        <f>A176+1</f>
        <v/>
      </c>
      <c r="B177" s="567" t="inlineStr">
        <is>
          <t>AC Unit</t>
        </is>
      </c>
      <c r="C177" s="592" t="n"/>
      <c r="D177" s="26" t="inlineStr">
        <is>
          <t>Daikin/ FTNE25MV</t>
        </is>
      </c>
      <c r="E177" s="32" t="n"/>
      <c r="F177" s="32" t="n"/>
      <c r="G177" s="9" t="n"/>
      <c r="H177" s="30" t="inlineStr">
        <is>
          <t>2018                                         1 PK</t>
        </is>
      </c>
      <c r="I177" s="9" t="inlineStr">
        <is>
          <t>02.06.02.04.003</t>
        </is>
      </c>
      <c r="J177" s="11" t="inlineStr">
        <is>
          <t>0013</t>
        </is>
      </c>
      <c r="K177" s="89" t="n">
        <v>5009175</v>
      </c>
      <c r="L177" s="9" t="inlineStr">
        <is>
          <t>Baik</t>
        </is>
      </c>
      <c r="M177" s="32" t="n"/>
      <c r="N177" s="27" t="n"/>
      <c r="O177" s="50" t="inlineStr">
        <is>
          <t>Subbag Umpeg</t>
        </is>
      </c>
      <c r="P177" s="214" t="n"/>
      <c r="Q177" s="217">
        <f>B177</f>
        <v/>
      </c>
      <c r="R177" s="217" t="n"/>
      <c r="S177" s="218">
        <f>H177</f>
        <v/>
      </c>
      <c r="T177" s="218">
        <f>J177</f>
        <v/>
      </c>
      <c r="U177" s="217" t="n"/>
      <c r="V177" s="218" t="n"/>
      <c r="W177" s="222" t="n"/>
      <c r="X177" s="88" t="n"/>
      <c r="Y177" s="88" t="n"/>
    </row>
    <row r="178" ht="31.5" customHeight="1" s="79">
      <c r="A178" s="47">
        <f>A177+1</f>
        <v/>
      </c>
      <c r="B178" s="567" t="inlineStr">
        <is>
          <t>AC Unit</t>
        </is>
      </c>
      <c r="C178" s="592" t="n"/>
      <c r="D178" s="26" t="inlineStr">
        <is>
          <t>Daikin/   FTV25BXV</t>
        </is>
      </c>
      <c r="E178" s="32" t="n"/>
      <c r="F178" s="32" t="n"/>
      <c r="G178" s="9" t="inlineStr">
        <is>
          <t>1 PK</t>
        </is>
      </c>
      <c r="H178" s="9" t="n">
        <v>2019</v>
      </c>
      <c r="I178" s="9" t="inlineStr">
        <is>
          <t>02.06.02.04.003</t>
        </is>
      </c>
      <c r="J178" s="11" t="inlineStr">
        <is>
          <t>0014</t>
        </is>
      </c>
      <c r="K178" s="20" t="n">
        <v>5033356</v>
      </c>
      <c r="L178" s="9" t="inlineStr">
        <is>
          <t>Baik</t>
        </is>
      </c>
      <c r="M178" s="32" t="n"/>
      <c r="N178" s="32" t="n"/>
      <c r="O178" s="40" t="inlineStr">
        <is>
          <t>Ruang Kaban</t>
        </is>
      </c>
      <c r="P178" s="214" t="n"/>
      <c r="Q178" s="217">
        <f>B178</f>
        <v/>
      </c>
      <c r="R178" s="217" t="n"/>
      <c r="S178" s="218">
        <f>H178</f>
        <v/>
      </c>
      <c r="T178" s="218">
        <f>J178</f>
        <v/>
      </c>
      <c r="U178" s="217" t="n"/>
      <c r="V178" s="218" t="n"/>
      <c r="W178" s="222" t="n"/>
      <c r="X178" s="88" t="n"/>
      <c r="Y178" s="88" t="n"/>
    </row>
    <row r="179" ht="31.5" customHeight="1" s="79">
      <c r="A179" s="47">
        <f>A178+1</f>
        <v/>
      </c>
      <c r="B179" s="564" t="inlineStr">
        <is>
          <t>AC Unit</t>
        </is>
      </c>
      <c r="C179" s="592" t="n"/>
      <c r="D179" s="59" t="inlineStr">
        <is>
          <t>Daikin/FTV25CXV</t>
        </is>
      </c>
      <c r="E179" s="60" t="n"/>
      <c r="F179" s="60" t="n"/>
      <c r="G179" s="39" t="n"/>
      <c r="H179" s="39" t="n">
        <v>2020</v>
      </c>
      <c r="I179" s="39" t="inlineStr">
        <is>
          <t>02.06.02.04.003</t>
        </is>
      </c>
      <c r="J179" s="56" t="inlineStr">
        <is>
          <t>0015</t>
        </is>
      </c>
      <c r="K179" s="155" t="n">
        <v>8165750</v>
      </c>
      <c r="L179" s="39" t="inlineStr">
        <is>
          <t>Baik</t>
        </is>
      </c>
      <c r="M179" s="60" t="n"/>
      <c r="N179" s="60" t="n"/>
      <c r="O179" s="50" t="inlineStr">
        <is>
          <t>Ruang Sekretaris</t>
        </is>
      </c>
      <c r="P179" s="214" t="n"/>
      <c r="Q179" s="217">
        <f>B179</f>
        <v/>
      </c>
      <c r="R179" s="217" t="n"/>
      <c r="S179" s="218">
        <f>H179</f>
        <v/>
      </c>
      <c r="T179" s="218">
        <f>J179</f>
        <v/>
      </c>
      <c r="U179" s="217" t="n"/>
      <c r="V179" s="218" t="n"/>
      <c r="W179" s="222" t="n"/>
      <c r="X179" s="88" t="n"/>
      <c r="Y179" s="88" t="n"/>
    </row>
    <row r="180" ht="31.5" customHeight="1" s="79">
      <c r="A180" s="47">
        <f>A179+1</f>
        <v/>
      </c>
      <c r="B180" s="567" t="inlineStr">
        <is>
          <t>AC Unit</t>
        </is>
      </c>
      <c r="C180" s="592" t="n"/>
      <c r="D180" s="26" t="inlineStr">
        <is>
          <t>Daikin / FTV25CXV</t>
        </is>
      </c>
      <c r="E180" s="12" t="n"/>
      <c r="F180" s="12" t="n"/>
      <c r="G180" s="9" t="n"/>
      <c r="H180" s="9" t="n">
        <v>2020</v>
      </c>
      <c r="I180" s="9" t="inlineStr">
        <is>
          <t>02.06.02.04.003</t>
        </is>
      </c>
      <c r="J180" s="11" t="inlineStr">
        <is>
          <t>0016</t>
        </is>
      </c>
      <c r="K180" s="172">
        <f>32663710/4</f>
        <v/>
      </c>
      <c r="L180" s="9" t="inlineStr">
        <is>
          <t>Baik</t>
        </is>
      </c>
      <c r="M180" s="12" t="n"/>
      <c r="N180" s="12" t="n"/>
      <c r="O180" s="26" t="inlineStr">
        <is>
          <t>Ruang Rapat</t>
        </is>
      </c>
      <c r="P180" s="214" t="n"/>
      <c r="Q180" s="217">
        <f>B180</f>
        <v/>
      </c>
      <c r="R180" s="217" t="n"/>
      <c r="S180" s="218">
        <f>H180</f>
        <v/>
      </c>
      <c r="T180" s="218">
        <f>J180</f>
        <v/>
      </c>
      <c r="U180" s="217" t="n"/>
      <c r="V180" s="218" t="n"/>
      <c r="W180" s="222" t="n"/>
      <c r="X180" s="88" t="n"/>
      <c r="Y180" s="88" t="n"/>
    </row>
    <row r="181" ht="31.5" customHeight="1" s="79">
      <c r="A181" s="47">
        <f>A180+1</f>
        <v/>
      </c>
      <c r="B181" s="567" t="inlineStr">
        <is>
          <t>AC Unit</t>
        </is>
      </c>
      <c r="C181" s="592" t="n"/>
      <c r="D181" s="26" t="inlineStr">
        <is>
          <t>Daikin / FTV25CXV</t>
        </is>
      </c>
      <c r="E181" s="12" t="n"/>
      <c r="F181" s="12" t="n"/>
      <c r="G181" s="9" t="n"/>
      <c r="H181" s="9" t="n">
        <v>2020</v>
      </c>
      <c r="I181" s="9" t="inlineStr">
        <is>
          <t>02.06.02.04.003</t>
        </is>
      </c>
      <c r="J181" s="11" t="inlineStr">
        <is>
          <t>0017</t>
        </is>
      </c>
      <c r="K181" s="20">
        <f>32663710/4</f>
        <v/>
      </c>
      <c r="L181" s="9" t="inlineStr">
        <is>
          <t>Baik</t>
        </is>
      </c>
      <c r="M181" s="12" t="n"/>
      <c r="N181" s="12" t="n"/>
      <c r="O181" s="26" t="inlineStr">
        <is>
          <t>Ruang Pelayanan</t>
        </is>
      </c>
      <c r="P181" s="214" t="n"/>
      <c r="Q181" s="217">
        <f>B181</f>
        <v/>
      </c>
      <c r="R181" s="217" t="n"/>
      <c r="S181" s="218">
        <f>H181</f>
        <v/>
      </c>
      <c r="T181" s="218">
        <f>J181</f>
        <v/>
      </c>
      <c r="U181" s="217" t="n"/>
      <c r="V181" s="218" t="n"/>
      <c r="W181" s="222" t="n"/>
      <c r="X181" s="88" t="n"/>
      <c r="Y181" s="88" t="n"/>
    </row>
    <row r="182" ht="31.5" customHeight="1" s="79">
      <c r="A182" s="47">
        <f>A181+1</f>
        <v/>
      </c>
      <c r="B182" s="564" t="inlineStr">
        <is>
          <t>AC Unit</t>
        </is>
      </c>
      <c r="C182" s="592" t="n"/>
      <c r="D182" s="55" t="inlineStr">
        <is>
          <t>Daikin/FTV25CXV</t>
        </is>
      </c>
      <c r="E182" s="170" t="n"/>
      <c r="F182" s="170" t="n"/>
      <c r="G182" s="49" t="n"/>
      <c r="H182" s="39" t="n">
        <v>2020</v>
      </c>
      <c r="I182" s="39" t="inlineStr">
        <is>
          <t>02.06.02.04.003</t>
        </is>
      </c>
      <c r="J182" s="44" t="inlineStr">
        <is>
          <t>0018</t>
        </is>
      </c>
      <c r="K182" s="90" t="n">
        <v>8165750</v>
      </c>
      <c r="L182" s="39" t="inlineStr">
        <is>
          <t>Baik</t>
        </is>
      </c>
      <c r="M182" s="170" t="n"/>
      <c r="N182" s="170" t="n"/>
      <c r="O182" s="55" t="inlineStr">
        <is>
          <t>Kabid Wasnas</t>
        </is>
      </c>
      <c r="P182" s="214" t="n"/>
      <c r="Q182" s="217">
        <f>B182</f>
        <v/>
      </c>
      <c r="R182" s="217" t="n"/>
      <c r="S182" s="218">
        <f>H182</f>
        <v/>
      </c>
      <c r="T182" s="218">
        <f>J182</f>
        <v/>
      </c>
      <c r="U182" s="217" t="n"/>
      <c r="V182" s="218" t="n"/>
      <c r="W182" s="222" t="n"/>
      <c r="X182" s="88" t="n"/>
      <c r="Y182" s="88" t="n"/>
    </row>
    <row r="183" ht="31.5" customHeight="1" s="79">
      <c r="A183" s="47">
        <f>A182+1</f>
        <v/>
      </c>
      <c r="B183" s="567" t="inlineStr">
        <is>
          <t>Televisi</t>
        </is>
      </c>
      <c r="C183" s="592" t="n"/>
      <c r="D183" s="26" t="inlineStr">
        <is>
          <t>THOSIBA/   47L2400VJ</t>
        </is>
      </c>
      <c r="E183" s="32" t="n"/>
      <c r="F183" s="32" t="n"/>
      <c r="G183" s="9" t="inlineStr">
        <is>
          <t>Besi Plastik</t>
        </is>
      </c>
      <c r="H183" s="9" t="n">
        <v>2014</v>
      </c>
      <c r="I183" s="9" t="inlineStr">
        <is>
          <t>02.06.02.06.003</t>
        </is>
      </c>
      <c r="J183" s="11" t="inlineStr">
        <is>
          <t>0005</t>
        </is>
      </c>
      <c r="K183" s="20" t="n">
        <v>10223684</v>
      </c>
      <c r="L183" s="9" t="inlineStr">
        <is>
          <t>Baik</t>
        </is>
      </c>
      <c r="M183" s="32" t="n"/>
      <c r="N183" s="32" t="n"/>
      <c r="O183" s="40" t="inlineStr">
        <is>
          <t>Ruang Kaban</t>
        </is>
      </c>
      <c r="P183" s="214" t="n"/>
      <c r="Q183" s="217">
        <f>B183</f>
        <v/>
      </c>
      <c r="R183" s="217" t="n"/>
      <c r="S183" s="218">
        <f>H183</f>
        <v/>
      </c>
      <c r="T183" s="218">
        <f>J183</f>
        <v/>
      </c>
      <c r="U183" s="217" t="n"/>
      <c r="V183" s="218" t="n"/>
      <c r="W183" s="222" t="n"/>
      <c r="X183" s="88" t="n"/>
      <c r="Y183" s="88" t="n"/>
    </row>
    <row r="184" ht="31.5" customHeight="1" s="79">
      <c r="A184" s="47">
        <f>A183+1</f>
        <v/>
      </c>
      <c r="B184" s="567" t="inlineStr">
        <is>
          <t>Televisi</t>
        </is>
      </c>
      <c r="C184" s="592" t="n"/>
      <c r="D184" s="26" t="inlineStr">
        <is>
          <t>Samsung./ 43n5001</t>
        </is>
      </c>
      <c r="E184" s="32" t="n"/>
      <c r="F184" s="32" t="n"/>
      <c r="G184" s="9" t="n"/>
      <c r="H184" s="9" t="n">
        <v>2020</v>
      </c>
      <c r="I184" s="9" t="inlineStr">
        <is>
          <t>02.06.02.06.003</t>
        </is>
      </c>
      <c r="J184" s="11" t="inlineStr">
        <is>
          <t>0006</t>
        </is>
      </c>
      <c r="K184" s="20">
        <f>16532240/3</f>
        <v/>
      </c>
      <c r="L184" s="9" t="inlineStr">
        <is>
          <t>Baik</t>
        </is>
      </c>
      <c r="M184" s="32" t="n"/>
      <c r="N184" s="32" t="n"/>
      <c r="O184" s="40" t="inlineStr">
        <is>
          <t>Ruang Kaban</t>
        </is>
      </c>
      <c r="P184" s="214" t="n"/>
      <c r="Q184" s="217">
        <f>B184</f>
        <v/>
      </c>
      <c r="R184" s="217" t="n"/>
      <c r="S184" s="218">
        <f>H184</f>
        <v/>
      </c>
      <c r="T184" s="218">
        <f>J184</f>
        <v/>
      </c>
      <c r="U184" s="217" t="n"/>
      <c r="V184" s="218" t="n"/>
      <c r="W184" s="222" t="n"/>
      <c r="X184" s="88" t="n"/>
      <c r="Y184" s="88" t="n"/>
    </row>
    <row r="185" ht="31.5" customHeight="1" s="79">
      <c r="A185" s="47">
        <f>A184+1</f>
        <v/>
      </c>
      <c r="B185" s="658" t="inlineStr">
        <is>
          <t>Televisi</t>
        </is>
      </c>
      <c r="C185" s="592" t="n"/>
      <c r="D185" s="174" t="inlineStr">
        <is>
          <t>Samsung./ 43n5001</t>
        </is>
      </c>
      <c r="E185" s="175" t="n"/>
      <c r="F185" s="175" t="n"/>
      <c r="G185" s="176" t="n"/>
      <c r="H185" s="176" t="n">
        <v>2020</v>
      </c>
      <c r="I185" s="176" t="inlineStr">
        <is>
          <t>02.06.02.06.003</t>
        </is>
      </c>
      <c r="J185" s="177" t="inlineStr">
        <is>
          <t>0006</t>
        </is>
      </c>
      <c r="K185" s="178">
        <f>16532240/3</f>
        <v/>
      </c>
      <c r="L185" s="176" t="inlineStr">
        <is>
          <t>Baik</t>
        </is>
      </c>
      <c r="M185" s="175" t="n"/>
      <c r="N185" s="174" t="inlineStr">
        <is>
          <t>Cek kembali nomor</t>
        </is>
      </c>
      <c r="O185" s="179" t="inlineStr">
        <is>
          <t>Ruang Pelayanan</t>
        </is>
      </c>
      <c r="P185" s="214" t="n"/>
      <c r="Q185" s="217">
        <f>B185</f>
        <v/>
      </c>
      <c r="R185" s="217" t="n"/>
      <c r="S185" s="218">
        <f>H185</f>
        <v/>
      </c>
      <c r="T185" s="218">
        <f>J185</f>
        <v/>
      </c>
      <c r="U185" s="217" t="n"/>
      <c r="V185" s="218" t="n"/>
      <c r="W185" s="222" t="n"/>
      <c r="X185" s="88" t="n"/>
      <c r="Y185" s="88" t="n"/>
    </row>
    <row r="186" ht="31.5" customHeight="1" s="79">
      <c r="A186" s="47">
        <f>A185+1</f>
        <v/>
      </c>
      <c r="B186" s="567" t="inlineStr">
        <is>
          <t>Televisi</t>
        </is>
      </c>
      <c r="C186" s="592" t="n"/>
      <c r="D186" s="26" t="inlineStr">
        <is>
          <t>Samsung./ 43n5001</t>
        </is>
      </c>
      <c r="E186" s="32" t="n"/>
      <c r="F186" s="32" t="n"/>
      <c r="G186" s="9" t="n"/>
      <c r="H186" s="9" t="n">
        <v>2020</v>
      </c>
      <c r="I186" s="9" t="inlineStr">
        <is>
          <t>02.06.02.06.003</t>
        </is>
      </c>
      <c r="J186" s="11" t="inlineStr">
        <is>
          <t>0007</t>
        </is>
      </c>
      <c r="K186" s="20">
        <f>16532240/3</f>
        <v/>
      </c>
      <c r="L186" s="9" t="inlineStr">
        <is>
          <t>Baik</t>
        </is>
      </c>
      <c r="M186" s="32" t="n"/>
      <c r="N186" s="32" t="n"/>
      <c r="O186" s="26" t="inlineStr">
        <is>
          <t>Ruang Rapat</t>
        </is>
      </c>
      <c r="P186" s="214" t="n"/>
      <c r="Q186" s="217">
        <f>B186</f>
        <v/>
      </c>
      <c r="R186" s="217" t="n"/>
      <c r="S186" s="218">
        <f>H186</f>
        <v/>
      </c>
      <c r="T186" s="218">
        <f>J186</f>
        <v/>
      </c>
      <c r="U186" s="217" t="n"/>
      <c r="V186" s="218" t="n"/>
      <c r="W186" s="222" t="n"/>
      <c r="X186" s="88" t="n"/>
      <c r="Y186" s="88" t="n"/>
    </row>
    <row r="187" ht="31.5" customHeight="1" s="79">
      <c r="A187" s="47">
        <f>A186+1</f>
        <v/>
      </c>
      <c r="B187" s="567" t="inlineStr">
        <is>
          <t>Sound System</t>
        </is>
      </c>
      <c r="C187" s="592" t="n"/>
      <c r="D187" s="10" t="inlineStr">
        <is>
          <t>Soundqueen/ SK210</t>
        </is>
      </c>
      <c r="E187" s="12" t="n"/>
      <c r="F187" s="12" t="n"/>
      <c r="G187" s="9" t="n"/>
      <c r="H187" s="9" t="n">
        <v>2020</v>
      </c>
      <c r="I187" s="9" t="inlineStr">
        <is>
          <t>02.06.02.06.008</t>
        </is>
      </c>
      <c r="J187" s="11" t="inlineStr">
        <is>
          <t>0002 s/d 0003</t>
        </is>
      </c>
      <c r="K187" s="20" t="n">
        <v>7013680</v>
      </c>
      <c r="L187" s="9" t="inlineStr">
        <is>
          <t>Baik</t>
        </is>
      </c>
      <c r="M187" s="12" t="n"/>
      <c r="N187" s="12" t="n"/>
      <c r="O187" s="26" t="inlineStr">
        <is>
          <t>Ruang Rapat</t>
        </is>
      </c>
      <c r="P187" s="214" t="n"/>
      <c r="Q187" s="217">
        <f>B187</f>
        <v/>
      </c>
      <c r="R187" s="217" t="n"/>
      <c r="S187" s="218">
        <f>H187</f>
        <v/>
      </c>
      <c r="T187" s="218">
        <f>J187</f>
        <v/>
      </c>
      <c r="U187" s="217" t="n"/>
      <c r="V187" s="218" t="n"/>
      <c r="W187" s="222" t="n"/>
      <c r="X187" s="88" t="n"/>
      <c r="Y187" s="88" t="n"/>
    </row>
    <row r="188" ht="18" customHeight="1" s="79">
      <c r="K188" s="233">
        <f>SUM(K169:K187)</f>
        <v/>
      </c>
      <c r="P188" s="214" t="n"/>
      <c r="Q188" s="217">
        <f>B198</f>
        <v/>
      </c>
      <c r="R188" s="217" t="n"/>
      <c r="S188" s="218">
        <f>H198</f>
        <v/>
      </c>
      <c r="T188" s="218">
        <f>J198</f>
        <v/>
      </c>
      <c r="U188" s="217" t="n"/>
      <c r="V188" s="218" t="n"/>
      <c r="W188" s="222" t="n"/>
      <c r="X188" s="88" t="n"/>
      <c r="Y188" s="88" t="n"/>
    </row>
    <row r="189" ht="18" customHeight="1" s="79">
      <c r="P189" s="214" t="n"/>
      <c r="Q189" s="217">
        <f>B199</f>
        <v/>
      </c>
      <c r="R189" s="217" t="n"/>
      <c r="S189" s="218">
        <f>H199</f>
        <v/>
      </c>
      <c r="T189" s="218">
        <f>J199</f>
        <v/>
      </c>
      <c r="U189" s="217" t="n"/>
      <c r="V189" s="218" t="n"/>
      <c r="W189" s="222" t="n"/>
      <c r="X189" s="88" t="n"/>
      <c r="Y189" s="88" t="n"/>
    </row>
    <row r="190" ht="18" customHeight="1" s="79">
      <c r="P190" s="214" t="n"/>
      <c r="Q190" s="217">
        <f>B200</f>
        <v/>
      </c>
      <c r="R190" s="217" t="n"/>
      <c r="S190" s="218">
        <f>H200</f>
        <v/>
      </c>
      <c r="T190" s="218">
        <f>J200</f>
        <v/>
      </c>
      <c r="U190" s="217" t="n"/>
      <c r="V190" s="218" t="n"/>
      <c r="W190" s="222" t="n"/>
      <c r="X190" s="88" t="n"/>
      <c r="Y190" s="88" t="n"/>
    </row>
    <row r="191" ht="18" customHeight="1" s="79">
      <c r="A191" s="157" t="n"/>
      <c r="B191" s="67" t="n"/>
      <c r="C191" s="67" t="n"/>
      <c r="D191" s="68" t="n"/>
      <c r="E191" s="88" t="n"/>
      <c r="F191" s="88" t="n"/>
      <c r="G191" s="222" t="n"/>
      <c r="H191" s="222" t="n"/>
      <c r="I191" s="222" t="n"/>
      <c r="J191" s="71" t="n"/>
      <c r="K191" s="72" t="n"/>
      <c r="L191" s="222" t="n"/>
      <c r="M191" s="88" t="n"/>
      <c r="N191" s="88" t="n"/>
      <c r="O191" s="68" t="n"/>
      <c r="P191" s="214" t="n"/>
      <c r="Q191" s="217">
        <f>B191</f>
        <v/>
      </c>
      <c r="R191" s="217" t="n"/>
      <c r="S191" s="218">
        <f>H191</f>
        <v/>
      </c>
      <c r="T191" s="218">
        <f>J191</f>
        <v/>
      </c>
      <c r="U191" s="217" t="n"/>
      <c r="V191" s="218" t="n"/>
      <c r="W191" s="222" t="n"/>
      <c r="X191" s="88" t="n"/>
      <c r="Y191" s="88" t="n"/>
    </row>
    <row r="192" ht="18" customHeight="1" s="79">
      <c r="A192" s="157" t="n"/>
      <c r="B192" s="67" t="n"/>
      <c r="C192" s="67" t="n"/>
      <c r="D192" s="68" t="n"/>
      <c r="E192" s="88" t="n"/>
      <c r="F192" s="88" t="n"/>
      <c r="G192" s="222" t="n"/>
      <c r="H192" s="222" t="n"/>
      <c r="I192" s="222" t="n"/>
      <c r="J192" s="71" t="n"/>
      <c r="K192" s="72" t="n"/>
      <c r="L192" s="222" t="n"/>
      <c r="M192" s="88" t="n"/>
      <c r="N192" s="88" t="n"/>
      <c r="O192" s="68" t="n"/>
      <c r="P192" s="214" t="n"/>
      <c r="Q192" s="217">
        <f>B192</f>
        <v/>
      </c>
      <c r="R192" s="217" t="n"/>
      <c r="S192" s="218">
        <f>H192</f>
        <v/>
      </c>
      <c r="T192" s="218">
        <f>J192</f>
        <v/>
      </c>
      <c r="U192" s="217" t="n"/>
      <c r="V192" s="218" t="n"/>
      <c r="W192" s="222" t="n"/>
      <c r="X192" s="88" t="n"/>
      <c r="Y192" s="88" t="n"/>
    </row>
    <row r="193" ht="18" customHeight="1" s="79">
      <c r="A193" s="186" t="n"/>
      <c r="B193" s="82" t="n"/>
      <c r="C193" s="82" t="n"/>
      <c r="D193" s="83" t="n"/>
      <c r="E193" s="113" t="n"/>
      <c r="F193" s="113" t="n"/>
      <c r="G193" s="86" t="n"/>
      <c r="H193" s="86" t="n"/>
      <c r="I193" s="86" t="n"/>
      <c r="J193" s="87" t="n"/>
      <c r="K193" s="114" t="n"/>
      <c r="L193" s="86" t="n"/>
      <c r="M193" s="113" t="n"/>
      <c r="N193" s="113" t="n"/>
      <c r="O193" s="83" t="n"/>
      <c r="P193" s="214" t="n"/>
      <c r="Q193" s="217">
        <f>B193</f>
        <v/>
      </c>
      <c r="R193" s="217" t="n"/>
      <c r="S193" s="218">
        <f>H193</f>
        <v/>
      </c>
      <c r="T193" s="218">
        <f>J193</f>
        <v/>
      </c>
      <c r="U193" s="217" t="n"/>
      <c r="V193" s="218" t="n"/>
      <c r="W193" s="222" t="n"/>
      <c r="X193" s="88" t="n"/>
      <c r="Y193" s="88" t="n"/>
    </row>
    <row r="194" ht="18" customHeight="1" s="79">
      <c r="A194" s="538" t="inlineStr">
        <is>
          <t>No.</t>
        </is>
      </c>
      <c r="B194" s="538" t="inlineStr">
        <is>
          <t>Nama Barang</t>
        </is>
      </c>
      <c r="C194" s="589" t="n"/>
      <c r="D194" s="538" t="inlineStr">
        <is>
          <t>Merk/</t>
        </is>
      </c>
      <c r="E194" s="538" t="inlineStr">
        <is>
          <t>No. Seri</t>
        </is>
      </c>
      <c r="F194" s="655" t="inlineStr">
        <is>
          <t>Ukuran</t>
        </is>
      </c>
      <c r="G194" s="655" t="inlineStr">
        <is>
          <t>Bahan</t>
        </is>
      </c>
      <c r="H194" s="538" t="inlineStr">
        <is>
          <t xml:space="preserve">Tahun </t>
        </is>
      </c>
      <c r="I194" s="538" t="n"/>
      <c r="J194" s="538" t="inlineStr">
        <is>
          <t xml:space="preserve">Jumlah </t>
        </is>
      </c>
      <c r="K194" s="538" t="inlineStr">
        <is>
          <t xml:space="preserve">Harga </t>
        </is>
      </c>
      <c r="L194" s="544" t="inlineStr">
        <is>
          <t xml:space="preserve">Keadaan Barang </t>
        </is>
      </c>
      <c r="M194" s="591" t="n"/>
      <c r="N194" s="592" t="n"/>
      <c r="O194" s="538" t="inlineStr">
        <is>
          <t>Keterangan</t>
        </is>
      </c>
      <c r="P194" s="214" t="n"/>
      <c r="Q194" s="217">
        <f>B194</f>
        <v/>
      </c>
      <c r="R194" s="217" t="n"/>
      <c r="S194" s="218">
        <f>H194</f>
        <v/>
      </c>
      <c r="T194" s="218">
        <f>J194</f>
        <v/>
      </c>
      <c r="U194" s="217" t="n"/>
      <c r="V194" s="218" t="n"/>
      <c r="W194" s="222" t="n"/>
      <c r="X194" s="88" t="n"/>
      <c r="Y194" s="88" t="n"/>
    </row>
    <row r="195" ht="18" customHeight="1" s="79">
      <c r="A195" s="543" t="inlineStr">
        <is>
          <t>Urut</t>
        </is>
      </c>
      <c r="B195" s="543" t="inlineStr">
        <is>
          <t>Jenis Barang</t>
        </is>
      </c>
      <c r="C195" s="593" t="n"/>
      <c r="D195" s="543" t="inlineStr">
        <is>
          <t>Model</t>
        </is>
      </c>
      <c r="E195" s="543" t="inlineStr">
        <is>
          <t>Pabrik</t>
        </is>
      </c>
      <c r="F195" s="594" t="n"/>
      <c r="G195" s="594" t="n"/>
      <c r="H195" s="104" t="inlineStr">
        <is>
          <t>Pembuatan</t>
        </is>
      </c>
      <c r="I195" s="104" t="inlineStr">
        <is>
          <t xml:space="preserve">No/. Kode Barang </t>
        </is>
      </c>
      <c r="J195" s="104" t="inlineStr">
        <is>
          <t>Barang</t>
        </is>
      </c>
      <c r="K195" s="104" t="inlineStr">
        <is>
          <t>Beli/</t>
        </is>
      </c>
      <c r="L195" s="104" t="inlineStr">
        <is>
          <t>Baik</t>
        </is>
      </c>
      <c r="M195" s="104" t="inlineStr">
        <is>
          <t>Kurang Baik</t>
        </is>
      </c>
      <c r="N195" s="104" t="inlineStr">
        <is>
          <t>Rusak Berat</t>
        </is>
      </c>
      <c r="O195" s="540" t="inlineStr">
        <is>
          <t>Mutasi dll</t>
        </is>
      </c>
      <c r="P195" s="214" t="n"/>
      <c r="Q195" s="217">
        <f>B195</f>
        <v/>
      </c>
      <c r="R195" s="217" t="n"/>
      <c r="S195" s="218">
        <f>H195</f>
        <v/>
      </c>
      <c r="T195" s="218">
        <f>J195</f>
        <v/>
      </c>
      <c r="U195" s="217" t="n"/>
      <c r="V195" s="218" t="n"/>
      <c r="W195" s="222" t="n"/>
      <c r="X195" s="88" t="n"/>
      <c r="Y195" s="88" t="n"/>
    </row>
    <row r="196" ht="18" customHeight="1" s="79">
      <c r="A196" s="595" t="n"/>
      <c r="B196" s="596" t="n"/>
      <c r="C196" s="597" t="n"/>
      <c r="D196" s="595" t="n"/>
      <c r="E196" s="595" t="n"/>
      <c r="F196" s="595" t="n"/>
      <c r="G196" s="595" t="n"/>
      <c r="H196" s="105" t="inlineStr">
        <is>
          <t>Atau Pembelian</t>
        </is>
      </c>
      <c r="I196" s="105" t="n"/>
      <c r="J196" s="105" t="inlineStr">
        <is>
          <t>Register x)</t>
        </is>
      </c>
      <c r="K196" s="105" t="inlineStr">
        <is>
          <t>Perolehan</t>
        </is>
      </c>
      <c r="L196" s="105" t="inlineStr">
        <is>
          <t>(B)</t>
        </is>
      </c>
      <c r="M196" s="105" t="inlineStr">
        <is>
          <t>(KB)</t>
        </is>
      </c>
      <c r="N196" s="105" t="inlineStr">
        <is>
          <t>(RB)</t>
        </is>
      </c>
      <c r="O196" s="595" t="n"/>
      <c r="P196" s="214" t="n"/>
      <c r="Q196" s="217">
        <f>B196</f>
        <v/>
      </c>
      <c r="R196" s="217" t="n"/>
      <c r="S196" s="218">
        <f>H196</f>
        <v/>
      </c>
      <c r="T196" s="218">
        <f>J196</f>
        <v/>
      </c>
      <c r="U196" s="217" t="n"/>
      <c r="V196" s="218" t="n"/>
      <c r="W196" s="222" t="n"/>
      <c r="X196" s="88" t="n"/>
      <c r="Y196" s="88" t="n"/>
    </row>
    <row r="197" ht="18" customHeight="1" s="79">
      <c r="A197" s="47" t="n">
        <v>1</v>
      </c>
      <c r="B197" s="47" t="n">
        <v>2</v>
      </c>
      <c r="C197" s="592" t="n"/>
      <c r="D197" s="539" t="n">
        <v>3</v>
      </c>
      <c r="E197" s="539" t="n">
        <v>4</v>
      </c>
      <c r="F197" s="542" t="n">
        <v>5</v>
      </c>
      <c r="G197" s="542" t="n">
        <v>6</v>
      </c>
      <c r="H197" s="104" t="n">
        <v>7</v>
      </c>
      <c r="I197" s="104" t="n">
        <v>8</v>
      </c>
      <c r="J197" s="104" t="n">
        <v>9</v>
      </c>
      <c r="K197" s="104" t="n">
        <v>10</v>
      </c>
      <c r="L197" s="104" t="n">
        <v>11</v>
      </c>
      <c r="M197" s="104" t="n">
        <v>12</v>
      </c>
      <c r="N197" s="104" t="n">
        <v>13</v>
      </c>
      <c r="O197" s="539" t="n">
        <v>14</v>
      </c>
      <c r="P197" s="214" t="n"/>
      <c r="Q197" s="217">
        <f>B197</f>
        <v/>
      </c>
      <c r="R197" s="217" t="n"/>
      <c r="S197" s="218">
        <f>H197</f>
        <v/>
      </c>
      <c r="T197" s="218">
        <f>J197</f>
        <v/>
      </c>
      <c r="U197" s="217" t="n"/>
      <c r="V197" s="218" t="n"/>
      <c r="W197" s="222" t="n"/>
      <c r="X197" s="88" t="n"/>
      <c r="Y197" s="88" t="n"/>
    </row>
    <row r="198" ht="63" customHeight="1" s="79">
      <c r="A198" s="47">
        <f>A187+1</f>
        <v/>
      </c>
      <c r="B198" s="567" t="inlineStr">
        <is>
          <t>Camera Video</t>
        </is>
      </c>
      <c r="C198" s="592" t="n"/>
      <c r="D198" s="26" t="inlineStr">
        <is>
          <t>CCTV/UVR SPC 8 CH / KAMERA SPC 2 MP</t>
        </is>
      </c>
      <c r="E198" s="32" t="n"/>
      <c r="F198" s="32" t="n"/>
      <c r="G198" s="9" t="inlineStr">
        <is>
          <t>Besi Plastik</t>
        </is>
      </c>
      <c r="H198" s="9" t="n">
        <v>2019</v>
      </c>
      <c r="I198" s="9" t="inlineStr">
        <is>
          <t>02.06.02.06.021</t>
        </is>
      </c>
      <c r="J198" s="11" t="inlineStr">
        <is>
          <t>0002</t>
        </is>
      </c>
      <c r="K198" s="20" t="n">
        <v>4620620</v>
      </c>
      <c r="L198" s="9" t="inlineStr">
        <is>
          <t>Baik</t>
        </is>
      </c>
      <c r="M198" s="32" t="n"/>
      <c r="N198" s="32" t="n"/>
      <c r="O198" s="40" t="inlineStr">
        <is>
          <t>Ruang Kaban</t>
        </is>
      </c>
      <c r="P198" s="214" t="n"/>
      <c r="Q198" s="217" t="n"/>
      <c r="R198" s="217" t="n"/>
      <c r="S198" s="218" t="n"/>
      <c r="T198" s="218" t="n"/>
      <c r="U198" s="217" t="n"/>
      <c r="V198" s="218" t="n"/>
      <c r="W198" s="222" t="n"/>
      <c r="X198" s="88" t="n"/>
      <c r="Y198" s="88" t="n"/>
    </row>
    <row r="199" ht="47.25" customHeight="1" s="79">
      <c r="A199" s="47">
        <f>A198+1</f>
        <v/>
      </c>
      <c r="B199" s="567" t="inlineStr">
        <is>
          <t>Dispenser</t>
        </is>
      </c>
      <c r="C199" s="592" t="n"/>
      <c r="D199" s="26" t="inlineStr">
        <is>
          <t>Toshiba / RWFW1830</t>
        </is>
      </c>
      <c r="E199" s="32" t="n"/>
      <c r="F199" s="32" t="n"/>
      <c r="G199" s="9" t="n"/>
      <c r="H199" s="9" t="n">
        <v>2020</v>
      </c>
      <c r="I199" s="9" t="inlineStr">
        <is>
          <t>02.06.02.06.039</t>
        </is>
      </c>
      <c r="J199" s="11" t="inlineStr">
        <is>
          <t>0002</t>
        </is>
      </c>
      <c r="K199" s="89">
        <f>8917390/2</f>
        <v/>
      </c>
      <c r="L199" s="9" t="inlineStr">
        <is>
          <t>Baik</t>
        </is>
      </c>
      <c r="M199" s="32" t="n"/>
      <c r="N199" s="32" t="n"/>
      <c r="O199" s="26" t="inlineStr">
        <is>
          <t>Subbag Keuangan</t>
        </is>
      </c>
      <c r="P199" s="214" t="n"/>
      <c r="Q199" s="217" t="n"/>
      <c r="R199" s="217" t="n"/>
      <c r="S199" s="218" t="n"/>
      <c r="T199" s="218" t="n"/>
      <c r="U199" s="217" t="n"/>
      <c r="V199" s="218" t="n"/>
      <c r="W199" s="222" t="n"/>
      <c r="X199" s="88" t="n"/>
      <c r="Y199" s="88" t="n"/>
    </row>
    <row r="200" ht="47.25" customHeight="1" s="79">
      <c r="A200" s="47">
        <f>A199+1</f>
        <v/>
      </c>
      <c r="B200" s="567" t="inlineStr">
        <is>
          <t>Dispenser</t>
        </is>
      </c>
      <c r="C200" s="592" t="n"/>
      <c r="D200" s="26" t="inlineStr">
        <is>
          <t>Toshiba / RWFW1830</t>
        </is>
      </c>
      <c r="E200" s="12" t="n"/>
      <c r="F200" s="12" t="n"/>
      <c r="G200" s="9" t="n"/>
      <c r="H200" s="9" t="n">
        <v>2020</v>
      </c>
      <c r="I200" s="9" t="inlineStr">
        <is>
          <t>02.06.02.06.039</t>
        </is>
      </c>
      <c r="J200" s="11" t="inlineStr">
        <is>
          <t>0003</t>
        </is>
      </c>
      <c r="K200" s="20">
        <f>8917390/2</f>
        <v/>
      </c>
      <c r="L200" s="9" t="inlineStr">
        <is>
          <t>Baik</t>
        </is>
      </c>
      <c r="M200" s="12" t="n"/>
      <c r="N200" s="12" t="n"/>
      <c r="O200" s="26" t="inlineStr">
        <is>
          <t>Ruang Pelayanan</t>
        </is>
      </c>
      <c r="P200" s="214" t="n"/>
      <c r="Q200" s="217" t="n"/>
      <c r="R200" s="217" t="n"/>
      <c r="S200" s="218" t="n"/>
      <c r="T200" s="218" t="n"/>
      <c r="U200" s="217" t="n"/>
      <c r="V200" s="218" t="n"/>
      <c r="W200" s="222" t="n"/>
      <c r="X200" s="88" t="n"/>
      <c r="Y200" s="88" t="n"/>
    </row>
    <row r="201" ht="78.75" customHeight="1" s="79">
      <c r="A201" s="47">
        <f>A200+1</f>
        <v/>
      </c>
      <c r="B201" s="563" t="inlineStr">
        <is>
          <t>PC Unit</t>
        </is>
      </c>
      <c r="C201" s="592" t="n"/>
      <c r="D201" s="40" t="inlineStr">
        <is>
          <t>Intel - Casing ATX-LG/MB MSI G41M-P28- LG wide 16</t>
        </is>
      </c>
      <c r="E201" s="41" t="n"/>
      <c r="F201" s="41" t="n"/>
      <c r="G201" s="42" t="inlineStr">
        <is>
          <t>Besi Plastik</t>
        </is>
      </c>
      <c r="H201" s="42" t="inlineStr">
        <is>
          <t>2012                     6 inci</t>
        </is>
      </c>
      <c r="I201" s="43" t="inlineStr">
        <is>
          <t>02.06.03.02.001</t>
        </is>
      </c>
      <c r="J201" s="44" t="inlineStr">
        <is>
          <t>0010</t>
        </is>
      </c>
      <c r="K201" s="63" t="n">
        <v>3980000</v>
      </c>
      <c r="L201" s="43" t="inlineStr">
        <is>
          <t>Baik</t>
        </is>
      </c>
      <c r="M201" s="41" t="n"/>
      <c r="N201" s="45" t="n"/>
      <c r="O201" s="109" t="inlineStr">
        <is>
          <t>Ibu Jannah</t>
        </is>
      </c>
      <c r="P201" s="214" t="n"/>
      <c r="Q201" s="217">
        <f>B201</f>
        <v/>
      </c>
      <c r="R201" s="217" t="n"/>
      <c r="S201" s="218">
        <f>H201</f>
        <v/>
      </c>
      <c r="T201" s="218">
        <f>J201</f>
        <v/>
      </c>
      <c r="U201" s="217" t="n"/>
      <c r="V201" s="218" t="n"/>
      <c r="W201" s="222" t="n"/>
      <c r="X201" s="88" t="n"/>
      <c r="Y201" s="88" t="n"/>
    </row>
    <row r="202" ht="110.25" customHeight="1" s="79">
      <c r="A202" s="47">
        <f>A201+1</f>
        <v/>
      </c>
      <c r="B202" s="567" t="inlineStr">
        <is>
          <t>PC Unit</t>
        </is>
      </c>
      <c r="C202" s="592" t="n"/>
      <c r="D202" s="26" t="inlineStr">
        <is>
          <t>Intel - Casing DE Case-LG / Pentium ® G 2020Asrock HGI-LG LED 16</t>
        </is>
      </c>
      <c r="E202" s="32" t="n"/>
      <c r="F202" s="32" t="n"/>
      <c r="G202" s="30" t="inlineStr">
        <is>
          <t>Besi Plastik</t>
        </is>
      </c>
      <c r="H202" s="9" t="n">
        <v>2013</v>
      </c>
      <c r="I202" s="9" t="inlineStr">
        <is>
          <t>02.06.03.02.001</t>
        </is>
      </c>
      <c r="J202" s="11" t="inlineStr">
        <is>
          <t>0011</t>
        </is>
      </c>
      <c r="K202" s="20" t="n">
        <v>3922641.51</v>
      </c>
      <c r="L202" s="9" t="inlineStr">
        <is>
          <t>Baik</t>
        </is>
      </c>
      <c r="M202" s="32" t="n"/>
      <c r="N202" s="32" t="n"/>
      <c r="O202" s="26" t="inlineStr">
        <is>
          <t>Selasar/Selamat</t>
        </is>
      </c>
      <c r="P202" s="214" t="n"/>
      <c r="Q202" s="217">
        <f>B202</f>
        <v/>
      </c>
      <c r="R202" s="217" t="n"/>
      <c r="S202" s="218">
        <f>H202</f>
        <v/>
      </c>
      <c r="T202" s="218">
        <f>J202</f>
        <v/>
      </c>
      <c r="U202" s="217" t="n"/>
      <c r="V202" s="218" t="n"/>
      <c r="W202" s="222" t="n"/>
      <c r="X202" s="88" t="n"/>
      <c r="Y202" s="88" t="n"/>
    </row>
    <row r="203" ht="110.25" customHeight="1" s="79">
      <c r="A203" s="47">
        <f>A202+1</f>
        <v/>
      </c>
      <c r="B203" s="567" t="inlineStr">
        <is>
          <t>PC Unit</t>
        </is>
      </c>
      <c r="C203" s="592" t="n"/>
      <c r="D203" s="26" t="inlineStr">
        <is>
          <t>Intel - Casing DE Case-LG / Pentium ® G 2020Asrock HGI-LG LED 16</t>
        </is>
      </c>
      <c r="E203" s="32" t="n"/>
      <c r="F203" s="32" t="n"/>
      <c r="G203" s="30" t="inlineStr">
        <is>
          <t>Besi Plastik</t>
        </is>
      </c>
      <c r="H203" s="9" t="n">
        <v>2013</v>
      </c>
      <c r="I203" s="9" t="inlineStr">
        <is>
          <t>02.06.03.02.001</t>
        </is>
      </c>
      <c r="J203" s="11" t="inlineStr">
        <is>
          <t>0012</t>
        </is>
      </c>
      <c r="K203" s="20" t="n">
        <v>3922641.51</v>
      </c>
      <c r="L203" s="9" t="inlineStr">
        <is>
          <t>Baik</t>
        </is>
      </c>
      <c r="M203" s="32" t="n"/>
      <c r="N203" s="32" t="n"/>
      <c r="O203" s="32" t="inlineStr">
        <is>
          <t>Inu Yani</t>
        </is>
      </c>
      <c r="P203" s="214" t="n"/>
      <c r="Q203" s="217">
        <f>B203</f>
        <v/>
      </c>
      <c r="R203" s="217" t="n"/>
      <c r="S203" s="218">
        <f>H203</f>
        <v/>
      </c>
      <c r="T203" s="218">
        <f>J203</f>
        <v/>
      </c>
      <c r="U203" s="217" t="n"/>
      <c r="V203" s="218" t="n"/>
      <c r="W203" s="222" t="n"/>
      <c r="X203" s="88" t="n"/>
      <c r="Y203" s="88" t="n"/>
    </row>
    <row r="204" ht="47.25" customHeight="1" s="79">
      <c r="A204" s="47">
        <f>A203+1</f>
        <v/>
      </c>
      <c r="B204" s="567" t="inlineStr">
        <is>
          <t>PC Unit</t>
        </is>
      </c>
      <c r="C204" s="592" t="n"/>
      <c r="D204" s="26" t="inlineStr">
        <is>
          <t>Lenovo / C260</t>
        </is>
      </c>
      <c r="E204" s="27" t="n"/>
      <c r="F204" s="27" t="n"/>
      <c r="G204" s="32" t="inlineStr">
        <is>
          <t>Besi Plastik</t>
        </is>
      </c>
      <c r="H204" s="30" t="n">
        <v>2015</v>
      </c>
      <c r="I204" s="9" t="inlineStr">
        <is>
          <t>02.06.03.02.001</t>
        </is>
      </c>
      <c r="J204" s="11" t="inlineStr">
        <is>
          <t>0013</t>
        </is>
      </c>
      <c r="K204" s="19" t="n">
        <v>6026316</v>
      </c>
      <c r="L204" s="9" t="inlineStr">
        <is>
          <t>Baik</t>
        </is>
      </c>
      <c r="M204" s="27" t="n"/>
      <c r="N204" s="27" t="n"/>
      <c r="O204" s="50" t="inlineStr">
        <is>
          <t>Ruang Sekretariat (Siska)</t>
        </is>
      </c>
      <c r="P204" s="214" t="n"/>
      <c r="Q204" s="217">
        <f>B204</f>
        <v/>
      </c>
      <c r="R204" s="217" t="n"/>
      <c r="S204" s="218">
        <f>H204</f>
        <v/>
      </c>
      <c r="T204" s="218">
        <f>J204</f>
        <v/>
      </c>
      <c r="U204" s="217" t="n"/>
      <c r="V204" s="218" t="n"/>
      <c r="W204" s="222" t="n"/>
      <c r="X204" s="88" t="n"/>
      <c r="Y204" s="88" t="n"/>
    </row>
    <row r="205" ht="31.5" customHeight="1" s="79">
      <c r="A205" s="47">
        <f>A204+1</f>
        <v/>
      </c>
      <c r="B205" s="563" t="inlineStr">
        <is>
          <t>PC Unit</t>
        </is>
      </c>
      <c r="C205" s="592" t="n"/>
      <c r="D205" s="40" t="inlineStr">
        <is>
          <t>Lenovo / C260</t>
        </is>
      </c>
      <c r="E205" s="41" t="n"/>
      <c r="F205" s="41" t="n"/>
      <c r="G205" s="42" t="inlineStr">
        <is>
          <t>Besi Plastik</t>
        </is>
      </c>
      <c r="H205" s="42" t="n">
        <v>2015</v>
      </c>
      <c r="I205" s="43" t="inlineStr">
        <is>
          <t>02.06.03.02.001</t>
        </is>
      </c>
      <c r="J205" s="44" t="inlineStr">
        <is>
          <t>0014</t>
        </is>
      </c>
      <c r="K205" s="63" t="n">
        <v>6026316</v>
      </c>
      <c r="L205" s="43" t="inlineStr">
        <is>
          <t>Baik</t>
        </is>
      </c>
      <c r="M205" s="41" t="n"/>
      <c r="N205" s="41" t="n"/>
      <c r="O205" s="109" t="inlineStr">
        <is>
          <t>Olip</t>
        </is>
      </c>
      <c r="P205" s="214" t="n"/>
      <c r="Q205" s="217">
        <f>B205</f>
        <v/>
      </c>
      <c r="R205" s="217" t="n"/>
      <c r="S205" s="218">
        <f>H205</f>
        <v/>
      </c>
      <c r="T205" s="218">
        <f>J205</f>
        <v/>
      </c>
      <c r="U205" s="217" t="n"/>
      <c r="V205" s="218" t="n"/>
      <c r="W205" s="222" t="n"/>
      <c r="X205" s="88" t="n"/>
      <c r="Y205" s="88" t="n"/>
    </row>
    <row r="206" ht="47.25" customHeight="1" s="79">
      <c r="A206" s="47">
        <f>A205+1</f>
        <v/>
      </c>
      <c r="B206" s="563" t="inlineStr">
        <is>
          <t>PC Unit</t>
        </is>
      </c>
      <c r="C206" s="592" t="n"/>
      <c r="D206" s="40" t="inlineStr">
        <is>
          <t>Lenovo / C260</t>
        </is>
      </c>
      <c r="E206" s="41" t="n"/>
      <c r="F206" s="41" t="n"/>
      <c r="G206" s="42" t="inlineStr">
        <is>
          <t>Besi Plastik</t>
        </is>
      </c>
      <c r="H206" s="43" t="n">
        <v>2015</v>
      </c>
      <c r="I206" s="43" t="inlineStr">
        <is>
          <t>02.06.03.02.001</t>
        </is>
      </c>
      <c r="J206" s="44" t="inlineStr">
        <is>
          <t>0015</t>
        </is>
      </c>
      <c r="K206" s="63" t="n">
        <v>6026316</v>
      </c>
      <c r="L206" s="43" t="inlineStr">
        <is>
          <t>Baik</t>
        </is>
      </c>
      <c r="M206" s="41" t="n"/>
      <c r="N206" s="45" t="n"/>
      <c r="O206" s="40" t="inlineStr">
        <is>
          <t>Kabid Hansenibud</t>
        </is>
      </c>
      <c r="P206" s="214" t="n"/>
      <c r="Q206" s="217">
        <f>B206</f>
        <v/>
      </c>
      <c r="R206" s="217" t="n"/>
      <c r="S206" s="218">
        <f>H206</f>
        <v/>
      </c>
      <c r="T206" s="218">
        <f>J206</f>
        <v/>
      </c>
      <c r="U206" s="217" t="n"/>
      <c r="V206" s="218" t="n"/>
      <c r="W206" s="222" t="n"/>
      <c r="X206" s="88" t="n"/>
      <c r="Y206" s="88" t="n"/>
    </row>
    <row r="207" ht="31.5" customHeight="1" s="79">
      <c r="A207" s="47">
        <f>A206+1</f>
        <v/>
      </c>
      <c r="B207" s="567" t="inlineStr">
        <is>
          <t>PC Unit</t>
        </is>
      </c>
      <c r="C207" s="592" t="n"/>
      <c r="D207" s="26" t="inlineStr">
        <is>
          <t>Lenovo / C260</t>
        </is>
      </c>
      <c r="E207" s="12" t="n"/>
      <c r="F207" s="12" t="n"/>
      <c r="G207" s="32" t="inlineStr">
        <is>
          <t>Besi Plastik</t>
        </is>
      </c>
      <c r="H207" s="30" t="n">
        <v>2017</v>
      </c>
      <c r="I207" s="9" t="inlineStr">
        <is>
          <t>02.06.03.02.001</t>
        </is>
      </c>
      <c r="J207" s="11" t="inlineStr">
        <is>
          <t>0016</t>
        </is>
      </c>
      <c r="K207" s="20" t="n">
        <v>6976243</v>
      </c>
      <c r="L207" s="9" t="inlineStr">
        <is>
          <t>Baik</t>
        </is>
      </c>
      <c r="M207" s="32" t="n"/>
      <c r="N207" s="32" t="n"/>
      <c r="O207" s="26" t="inlineStr">
        <is>
          <t>Ruang Pelayanan</t>
        </is>
      </c>
      <c r="P207" s="214" t="n"/>
      <c r="Q207" s="217">
        <f>B207</f>
        <v/>
      </c>
      <c r="R207" s="217" t="n"/>
      <c r="S207" s="218">
        <f>H207</f>
        <v/>
      </c>
      <c r="T207" s="218">
        <f>J207</f>
        <v/>
      </c>
      <c r="U207" s="217" t="n"/>
      <c r="V207" s="218" t="n"/>
      <c r="W207" s="222" t="n"/>
      <c r="X207" s="88" t="n"/>
      <c r="Y207" s="88" t="n"/>
    </row>
    <row r="208" ht="110.25" customHeight="1" s="79">
      <c r="A208" s="47">
        <f>A207+1</f>
        <v/>
      </c>
      <c r="B208" s="567" t="inlineStr">
        <is>
          <t>PC Unit</t>
        </is>
      </c>
      <c r="C208" s="592" t="n"/>
      <c r="D208" s="26" t="inlineStr">
        <is>
          <t>Intel - Casing DE Case-LG Pentium ® G 2020 Asrock HG1-LG LED16</t>
        </is>
      </c>
      <c r="E208" s="27" t="n"/>
      <c r="F208" s="27" t="n"/>
      <c r="G208" s="32" t="inlineStr">
        <is>
          <t>Besi Plastik</t>
        </is>
      </c>
      <c r="H208" s="30" t="inlineStr">
        <is>
          <t>2013                       16 Inci</t>
        </is>
      </c>
      <c r="I208" s="9" t="inlineStr">
        <is>
          <t>02.06.03.02.001</t>
        </is>
      </c>
      <c r="J208" s="11" t="inlineStr">
        <is>
          <t>0017</t>
        </is>
      </c>
      <c r="K208" s="19" t="n">
        <v>3922641.51</v>
      </c>
      <c r="L208" s="9" t="inlineStr">
        <is>
          <t>Baik</t>
        </is>
      </c>
      <c r="M208" s="27" t="n"/>
      <c r="N208" s="27" t="n"/>
      <c r="O208" s="50" t="inlineStr">
        <is>
          <t>Ruang Sekretariat (Yanti)</t>
        </is>
      </c>
      <c r="P208" s="214" t="n"/>
      <c r="Q208" s="217">
        <f>B208</f>
        <v/>
      </c>
      <c r="R208" s="217" t="n"/>
      <c r="S208" s="218">
        <f>H208</f>
        <v/>
      </c>
      <c r="T208" s="218">
        <f>J208</f>
        <v/>
      </c>
      <c r="U208" s="217" t="n"/>
      <c r="V208" s="218" t="n"/>
      <c r="W208" s="222" t="n"/>
      <c r="X208" s="88" t="n"/>
      <c r="Y208" s="88" t="n"/>
    </row>
    <row r="209" ht="18" customHeight="1" s="79">
      <c r="K209" s="234">
        <f>SUM(K198:K208)</f>
        <v/>
      </c>
      <c r="P209" s="214" t="n"/>
      <c r="Q209" s="217">
        <f>B220</f>
        <v/>
      </c>
      <c r="R209" s="217" t="n"/>
      <c r="S209" s="218">
        <f>H220</f>
        <v/>
      </c>
      <c r="T209" s="218">
        <f>J220</f>
        <v/>
      </c>
      <c r="U209" s="217" t="n"/>
      <c r="V209" s="218" t="n"/>
      <c r="W209" s="222" t="n"/>
      <c r="X209" s="88" t="n"/>
      <c r="Y209" s="88" t="n"/>
    </row>
    <row r="210" ht="18" customHeight="1" s="79">
      <c r="P210" s="214" t="n"/>
      <c r="Q210" s="217">
        <f>B221</f>
        <v/>
      </c>
      <c r="R210" s="217" t="n"/>
      <c r="S210" s="218">
        <f>H221</f>
        <v/>
      </c>
      <c r="T210" s="218">
        <f>J221</f>
        <v/>
      </c>
      <c r="U210" s="217" t="n"/>
      <c r="V210" s="218" t="n"/>
      <c r="W210" s="222" t="n"/>
      <c r="X210" s="88" t="n"/>
      <c r="Y210" s="88" t="n"/>
    </row>
    <row r="211" ht="18" customHeight="1" s="79">
      <c r="P211" s="214" t="n"/>
      <c r="Q211" s="217">
        <f>B222</f>
        <v/>
      </c>
      <c r="R211" s="217" t="n"/>
      <c r="S211" s="218">
        <f>H222</f>
        <v/>
      </c>
      <c r="T211" s="218">
        <f>J222</f>
        <v/>
      </c>
      <c r="U211" s="217" t="n"/>
      <c r="V211" s="218" t="n"/>
      <c r="W211" s="222" t="n"/>
      <c r="X211" s="88" t="n"/>
      <c r="Y211" s="88" t="n"/>
    </row>
    <row r="212" ht="18" customHeight="1" s="79">
      <c r="P212" s="214" t="n"/>
      <c r="Q212" s="217">
        <f>B223</f>
        <v/>
      </c>
      <c r="R212" s="217" t="n"/>
      <c r="S212" s="218">
        <f>H223</f>
        <v/>
      </c>
      <c r="T212" s="218">
        <f>J223</f>
        <v/>
      </c>
      <c r="U212" s="217" t="n"/>
      <c r="V212" s="218" t="n"/>
      <c r="W212" s="222" t="n"/>
      <c r="X212" s="88" t="n"/>
      <c r="Y212" s="88" t="n"/>
    </row>
    <row r="213" ht="18" customHeight="1" s="79">
      <c r="A213" s="157" t="n"/>
      <c r="B213" s="67" t="n"/>
      <c r="C213" s="67" t="n"/>
      <c r="D213" s="68" t="n"/>
      <c r="E213" s="110" t="n"/>
      <c r="F213" s="110" t="n"/>
      <c r="G213" s="69" t="n"/>
      <c r="H213" s="80" t="n"/>
      <c r="I213" s="222" t="n"/>
      <c r="J213" s="71" t="n"/>
      <c r="K213" s="101" t="n"/>
      <c r="L213" s="222" t="n"/>
      <c r="M213" s="110" t="n"/>
      <c r="N213" s="110" t="n"/>
      <c r="O213" s="192" t="n"/>
      <c r="P213" s="214" t="n"/>
      <c r="Q213" s="217">
        <f>B213</f>
        <v/>
      </c>
      <c r="R213" s="217" t="n"/>
      <c r="S213" s="218">
        <f>H213</f>
        <v/>
      </c>
      <c r="T213" s="218">
        <f>J213</f>
        <v/>
      </c>
      <c r="U213" s="217" t="n"/>
      <c r="V213" s="218" t="n"/>
      <c r="W213" s="222" t="n"/>
      <c r="X213" s="88" t="n"/>
      <c r="Y213" s="88" t="n"/>
    </row>
    <row r="214" ht="18" customHeight="1" s="79">
      <c r="A214" s="157" t="n"/>
      <c r="B214" s="67" t="n"/>
      <c r="C214" s="67" t="n"/>
      <c r="D214" s="68" t="n"/>
      <c r="E214" s="110" t="n"/>
      <c r="F214" s="110" t="n"/>
      <c r="G214" s="69" t="n"/>
      <c r="H214" s="80" t="n"/>
      <c r="I214" s="222" t="n"/>
      <c r="J214" s="71" t="n"/>
      <c r="K214" s="101" t="n"/>
      <c r="L214" s="222" t="n"/>
      <c r="M214" s="110" t="n"/>
      <c r="N214" s="110" t="n"/>
      <c r="O214" s="192" t="n"/>
      <c r="P214" s="214" t="n"/>
      <c r="Q214" s="217">
        <f>B214</f>
        <v/>
      </c>
      <c r="R214" s="217" t="n"/>
      <c r="S214" s="218">
        <f>H214</f>
        <v/>
      </c>
      <c r="T214" s="218">
        <f>J214</f>
        <v/>
      </c>
      <c r="U214" s="217" t="n"/>
      <c r="V214" s="218" t="n"/>
      <c r="W214" s="222" t="n"/>
      <c r="X214" s="88" t="n"/>
      <c r="Y214" s="88" t="n"/>
    </row>
    <row r="215" ht="18" customHeight="1" s="79">
      <c r="A215" s="186" t="n"/>
      <c r="B215" s="82" t="n"/>
      <c r="C215" s="82" t="n"/>
      <c r="D215" s="83" t="n"/>
      <c r="E215" s="112" t="n"/>
      <c r="F215" s="112" t="n"/>
      <c r="G215" s="111" t="n"/>
      <c r="H215" s="85" t="n"/>
      <c r="I215" s="86" t="n"/>
      <c r="J215" s="87" t="n"/>
      <c r="K215" s="102" t="n"/>
      <c r="L215" s="86" t="n"/>
      <c r="M215" s="112" t="n"/>
      <c r="N215" s="112" t="n"/>
      <c r="O215" s="193" t="n"/>
      <c r="P215" s="214" t="n"/>
      <c r="Q215" s="217">
        <f>B215</f>
        <v/>
      </c>
      <c r="R215" s="217" t="n"/>
      <c r="S215" s="218">
        <f>H215</f>
        <v/>
      </c>
      <c r="T215" s="218">
        <f>J215</f>
        <v/>
      </c>
      <c r="U215" s="217" t="n"/>
      <c r="V215" s="218" t="n"/>
      <c r="W215" s="222" t="n"/>
      <c r="X215" s="88" t="n"/>
      <c r="Y215" s="88" t="n"/>
    </row>
    <row r="216" ht="18" customHeight="1" s="79">
      <c r="A216" s="538" t="inlineStr">
        <is>
          <t>No.</t>
        </is>
      </c>
      <c r="B216" s="538" t="inlineStr">
        <is>
          <t>Nama Barang</t>
        </is>
      </c>
      <c r="C216" s="589" t="n"/>
      <c r="D216" s="538" t="inlineStr">
        <is>
          <t>Merk/</t>
        </is>
      </c>
      <c r="E216" s="538" t="inlineStr">
        <is>
          <t>No. Seri</t>
        </is>
      </c>
      <c r="F216" s="655" t="inlineStr">
        <is>
          <t>Ukuran</t>
        </is>
      </c>
      <c r="G216" s="655" t="inlineStr">
        <is>
          <t>Bahan</t>
        </is>
      </c>
      <c r="H216" s="538" t="inlineStr">
        <is>
          <t xml:space="preserve">Tahun </t>
        </is>
      </c>
      <c r="I216" s="538" t="n"/>
      <c r="J216" s="538" t="inlineStr">
        <is>
          <t xml:space="preserve">Jumlah </t>
        </is>
      </c>
      <c r="K216" s="538" t="inlineStr">
        <is>
          <t xml:space="preserve">Harga </t>
        </is>
      </c>
      <c r="L216" s="544" t="inlineStr">
        <is>
          <t xml:space="preserve">Keadaan Barang </t>
        </is>
      </c>
      <c r="M216" s="591" t="n"/>
      <c r="N216" s="592" t="n"/>
      <c r="O216" s="538" t="inlineStr">
        <is>
          <t>Keterangan</t>
        </is>
      </c>
      <c r="P216" s="214" t="n"/>
      <c r="Q216" s="217">
        <f>B216</f>
        <v/>
      </c>
      <c r="R216" s="217" t="n"/>
      <c r="S216" s="218">
        <f>H216</f>
        <v/>
      </c>
      <c r="T216" s="218">
        <f>J216</f>
        <v/>
      </c>
      <c r="U216" s="217" t="n"/>
      <c r="V216" s="218" t="n"/>
      <c r="W216" s="222" t="n"/>
      <c r="X216" s="88" t="n"/>
      <c r="Y216" s="88" t="n"/>
    </row>
    <row r="217" ht="18" customHeight="1" s="79">
      <c r="A217" s="543" t="inlineStr">
        <is>
          <t>Urut</t>
        </is>
      </c>
      <c r="B217" s="543" t="inlineStr">
        <is>
          <t>Jenis Barang</t>
        </is>
      </c>
      <c r="C217" s="593" t="n"/>
      <c r="D217" s="543" t="inlineStr">
        <is>
          <t>Model</t>
        </is>
      </c>
      <c r="E217" s="543" t="inlineStr">
        <is>
          <t>Pabrik</t>
        </is>
      </c>
      <c r="F217" s="594" t="n"/>
      <c r="G217" s="594" t="n"/>
      <c r="H217" s="104" t="inlineStr">
        <is>
          <t>Pembuatan</t>
        </is>
      </c>
      <c r="I217" s="104" t="inlineStr">
        <is>
          <t xml:space="preserve">No/. Kode Barang </t>
        </is>
      </c>
      <c r="J217" s="104" t="inlineStr">
        <is>
          <t>Barang</t>
        </is>
      </c>
      <c r="K217" s="104" t="inlineStr">
        <is>
          <t>Beli/</t>
        </is>
      </c>
      <c r="L217" s="104" t="inlineStr">
        <is>
          <t>Baik</t>
        </is>
      </c>
      <c r="M217" s="104" t="inlineStr">
        <is>
          <t>Kurang Baik</t>
        </is>
      </c>
      <c r="N217" s="104" t="inlineStr">
        <is>
          <t>Rusak Berat</t>
        </is>
      </c>
      <c r="O217" s="540" t="inlineStr">
        <is>
          <t>Mutasi dll</t>
        </is>
      </c>
      <c r="P217" s="214" t="n"/>
      <c r="Q217" s="217">
        <f>B217</f>
        <v/>
      </c>
      <c r="R217" s="217" t="n"/>
      <c r="S217" s="218">
        <f>H217</f>
        <v/>
      </c>
      <c r="T217" s="218">
        <f>J217</f>
        <v/>
      </c>
      <c r="U217" s="217" t="n"/>
      <c r="V217" s="218" t="n"/>
      <c r="W217" s="222" t="n"/>
      <c r="X217" s="88" t="n"/>
      <c r="Y217" s="88" t="n"/>
    </row>
    <row r="218" ht="18" customHeight="1" s="79">
      <c r="A218" s="595" t="n"/>
      <c r="B218" s="596" t="n"/>
      <c r="C218" s="597" t="n"/>
      <c r="D218" s="595" t="n"/>
      <c r="E218" s="595" t="n"/>
      <c r="F218" s="595" t="n"/>
      <c r="G218" s="595" t="n"/>
      <c r="H218" s="105" t="inlineStr">
        <is>
          <t>Atau Pembelian</t>
        </is>
      </c>
      <c r="I218" s="105" t="n"/>
      <c r="J218" s="105" t="inlineStr">
        <is>
          <t>Register x)</t>
        </is>
      </c>
      <c r="K218" s="105" t="inlineStr">
        <is>
          <t>Perolehan</t>
        </is>
      </c>
      <c r="L218" s="105" t="inlineStr">
        <is>
          <t>(B)</t>
        </is>
      </c>
      <c r="M218" s="105" t="inlineStr">
        <is>
          <t>(KB)</t>
        </is>
      </c>
      <c r="N218" s="105" t="inlineStr">
        <is>
          <t>(RB)</t>
        </is>
      </c>
      <c r="O218" s="595" t="n"/>
      <c r="P218" s="214" t="n"/>
      <c r="Q218" s="217">
        <f>B218</f>
        <v/>
      </c>
      <c r="R218" s="217" t="n"/>
      <c r="S218" s="218">
        <f>H218</f>
        <v/>
      </c>
      <c r="T218" s="218">
        <f>J218</f>
        <v/>
      </c>
      <c r="U218" s="217" t="n"/>
      <c r="V218" s="218" t="n"/>
      <c r="W218" s="222" t="n"/>
      <c r="X218" s="88" t="n"/>
      <c r="Y218" s="88" t="n"/>
    </row>
    <row r="219" ht="18" customHeight="1" s="79">
      <c r="A219" s="47" t="n">
        <v>1</v>
      </c>
      <c r="B219" s="47" t="n">
        <v>2</v>
      </c>
      <c r="C219" s="592" t="n"/>
      <c r="D219" s="539" t="n">
        <v>3</v>
      </c>
      <c r="E219" s="539" t="n">
        <v>4</v>
      </c>
      <c r="F219" s="542" t="n">
        <v>5</v>
      </c>
      <c r="G219" s="542" t="n">
        <v>6</v>
      </c>
      <c r="H219" s="104" t="n">
        <v>7</v>
      </c>
      <c r="I219" s="104" t="n">
        <v>8</v>
      </c>
      <c r="J219" s="104" t="n">
        <v>9</v>
      </c>
      <c r="K219" s="104" t="n">
        <v>10</v>
      </c>
      <c r="L219" s="104" t="n">
        <v>11</v>
      </c>
      <c r="M219" s="104" t="n">
        <v>12</v>
      </c>
      <c r="N219" s="104" t="n">
        <v>13</v>
      </c>
      <c r="O219" s="539" t="n">
        <v>14</v>
      </c>
      <c r="P219" s="214" t="n"/>
      <c r="Q219" s="217">
        <f>B219</f>
        <v/>
      </c>
      <c r="R219" s="217" t="n"/>
      <c r="S219" s="218">
        <f>H219</f>
        <v/>
      </c>
      <c r="T219" s="218">
        <f>J219</f>
        <v/>
      </c>
      <c r="U219" s="217" t="n"/>
      <c r="V219" s="218" t="n"/>
      <c r="W219" s="222" t="n"/>
      <c r="X219" s="88" t="n"/>
      <c r="Y219" s="88" t="n"/>
    </row>
    <row r="220" ht="47.25" customHeight="1" s="79">
      <c r="A220" s="47">
        <f>A208+1</f>
        <v/>
      </c>
      <c r="B220" s="567" t="inlineStr">
        <is>
          <t>PC Unit</t>
        </is>
      </c>
      <c r="C220" s="592" t="n"/>
      <c r="D220" s="26" t="inlineStr">
        <is>
          <t>Lenovo / 330 -201 GM AIO</t>
        </is>
      </c>
      <c r="E220" s="32" t="n"/>
      <c r="F220" s="32" t="n"/>
      <c r="G220" s="32" t="inlineStr">
        <is>
          <t>Besi Plastik</t>
        </is>
      </c>
      <c r="H220" s="30" t="n">
        <v>2019</v>
      </c>
      <c r="I220" s="9" t="inlineStr">
        <is>
          <t>02.06.03.02.001</t>
        </is>
      </c>
      <c r="J220" s="11" t="inlineStr">
        <is>
          <t>0018</t>
        </is>
      </c>
      <c r="K220" s="20" t="n">
        <v>5327418</v>
      </c>
      <c r="L220" s="9" t="inlineStr">
        <is>
          <t>Baik</t>
        </is>
      </c>
      <c r="M220" s="32" t="n"/>
      <c r="N220" s="32" t="n"/>
      <c r="O220" s="50" t="inlineStr">
        <is>
          <t>Ruang Sekretariat (b Taty)</t>
        </is>
      </c>
      <c r="P220" s="214" t="n"/>
      <c r="Q220" s="217" t="n"/>
      <c r="R220" s="217" t="n"/>
      <c r="S220" s="218" t="n"/>
      <c r="T220" s="218" t="n"/>
      <c r="U220" s="217" t="n"/>
      <c r="V220" s="218" t="n"/>
      <c r="W220" s="222" t="n"/>
      <c r="X220" s="88" t="n"/>
      <c r="Y220" s="88" t="n"/>
    </row>
    <row r="221" ht="47.25" customHeight="1" s="79">
      <c r="A221" s="47">
        <f>A220+1</f>
        <v/>
      </c>
      <c r="B221" s="567" t="inlineStr">
        <is>
          <t>PC Unit</t>
        </is>
      </c>
      <c r="C221" s="592" t="n"/>
      <c r="D221" s="26" t="inlineStr">
        <is>
          <t>Lenovo / 330 -201 GM AIO</t>
        </is>
      </c>
      <c r="E221" s="32" t="n"/>
      <c r="F221" s="32" t="n"/>
      <c r="G221" s="32" t="inlineStr">
        <is>
          <t>Besi Plastik</t>
        </is>
      </c>
      <c r="H221" s="30" t="n">
        <v>2019</v>
      </c>
      <c r="I221" s="9" t="inlineStr">
        <is>
          <t>02.06.03.02.001</t>
        </is>
      </c>
      <c r="J221" s="11" t="inlineStr">
        <is>
          <t>0019</t>
        </is>
      </c>
      <c r="K221" s="20" t="n">
        <v>5327418</v>
      </c>
      <c r="L221" s="9" t="inlineStr">
        <is>
          <t>Baik</t>
        </is>
      </c>
      <c r="M221" s="32" t="n"/>
      <c r="N221" s="32" t="n"/>
      <c r="O221" s="50" t="inlineStr">
        <is>
          <t>Ruang Sekretariat (Indra H)</t>
        </is>
      </c>
      <c r="P221" s="214" t="n"/>
      <c r="Q221" s="217" t="n"/>
      <c r="R221" s="217" t="n"/>
      <c r="S221" s="218" t="n"/>
      <c r="T221" s="218" t="n"/>
      <c r="U221" s="217" t="n"/>
      <c r="V221" s="218" t="n"/>
      <c r="W221" s="222" t="n"/>
      <c r="X221" s="88" t="n"/>
      <c r="Y221" s="88" t="n"/>
    </row>
    <row r="222" ht="47.25" customHeight="1" s="79">
      <c r="A222" s="47">
        <f>A221+1</f>
        <v/>
      </c>
      <c r="B222" s="567" t="inlineStr">
        <is>
          <t>PC Unit</t>
        </is>
      </c>
      <c r="C222" s="592" t="n"/>
      <c r="D222" s="26" t="inlineStr">
        <is>
          <t>Lenovo / 330 -201 GM AIO</t>
        </is>
      </c>
      <c r="E222" s="27" t="n"/>
      <c r="F222" s="27" t="n"/>
      <c r="G222" s="32" t="inlineStr">
        <is>
          <t>Besi Plastik</t>
        </is>
      </c>
      <c r="H222" s="30" t="n">
        <v>2019</v>
      </c>
      <c r="I222" s="9" t="inlineStr">
        <is>
          <t>02.06.03.02.001</t>
        </is>
      </c>
      <c r="J222" s="11" t="inlineStr">
        <is>
          <t>0020</t>
        </is>
      </c>
      <c r="K222" s="19" t="n">
        <v>5327418</v>
      </c>
      <c r="L222" s="9" t="inlineStr">
        <is>
          <t>Baik</t>
        </is>
      </c>
      <c r="M222" s="27" t="n"/>
      <c r="N222" s="27" t="n"/>
      <c r="O222" s="50" t="inlineStr">
        <is>
          <t>Ruang Sekretariat (Rosy)</t>
        </is>
      </c>
      <c r="P222" s="214" t="n"/>
      <c r="Q222" s="217" t="n"/>
      <c r="R222" s="217" t="n"/>
      <c r="S222" s="218" t="n"/>
      <c r="T222" s="218" t="n"/>
      <c r="U222" s="217" t="n"/>
      <c r="V222" s="218" t="n"/>
      <c r="W222" s="222" t="n"/>
      <c r="X222" s="88" t="n"/>
      <c r="Y222" s="88" t="n"/>
    </row>
    <row r="223" ht="47.25" customHeight="1" s="79">
      <c r="A223" s="47">
        <f>A222+1</f>
        <v/>
      </c>
      <c r="B223" s="567" t="inlineStr">
        <is>
          <t>PC Unit</t>
        </is>
      </c>
      <c r="C223" s="592" t="n"/>
      <c r="D223" s="26" t="inlineStr">
        <is>
          <t>LENOVO V130 / -</t>
        </is>
      </c>
      <c r="E223" s="27" t="n"/>
      <c r="F223" s="27" t="n"/>
      <c r="G223" s="32" t="inlineStr">
        <is>
          <t>Campuran</t>
        </is>
      </c>
      <c r="H223" s="30" t="n">
        <v>2020</v>
      </c>
      <c r="I223" s="9" t="inlineStr">
        <is>
          <t>02.06.03.02.001</t>
        </is>
      </c>
      <c r="J223" s="11" t="inlineStr">
        <is>
          <t>0021</t>
        </is>
      </c>
      <c r="K223" s="19" t="n">
        <v>5567960</v>
      </c>
      <c r="L223" s="9" t="inlineStr">
        <is>
          <t>Baik</t>
        </is>
      </c>
      <c r="M223" s="27" t="n"/>
      <c r="N223" s="27" t="n"/>
      <c r="O223" s="50" t="inlineStr">
        <is>
          <t>Ruang Sekretariat (Indra A)</t>
        </is>
      </c>
      <c r="P223" s="214" t="n"/>
      <c r="Q223" s="217" t="n"/>
      <c r="R223" s="217" t="n"/>
      <c r="S223" s="218" t="n"/>
      <c r="T223" s="218" t="n"/>
      <c r="U223" s="217" t="n"/>
      <c r="V223" s="218" t="n"/>
      <c r="W223" s="222" t="n"/>
      <c r="X223" s="88" t="n"/>
      <c r="Y223" s="88" t="n"/>
    </row>
    <row r="224" ht="47.25" customHeight="1" s="79">
      <c r="A224" s="47">
        <f>A223+1</f>
        <v/>
      </c>
      <c r="B224" s="567" t="inlineStr">
        <is>
          <t>PC Unit</t>
        </is>
      </c>
      <c r="C224" s="592" t="n"/>
      <c r="D224" s="26" t="inlineStr">
        <is>
          <t>LENOVO / AIO 330 (A6)</t>
        </is>
      </c>
      <c r="E224" s="12" t="n"/>
      <c r="F224" s="12" t="n"/>
      <c r="G224" s="9" t="inlineStr">
        <is>
          <t>Campuran</t>
        </is>
      </c>
      <c r="H224" s="9" t="n">
        <v>2020</v>
      </c>
      <c r="I224" s="9" t="inlineStr">
        <is>
          <t>02.06.03.02.001</t>
        </is>
      </c>
      <c r="J224" s="11" t="inlineStr">
        <is>
          <t>0022</t>
        </is>
      </c>
      <c r="K224" s="172" t="n">
        <v>6996010</v>
      </c>
      <c r="L224" s="9" t="inlineStr">
        <is>
          <t>Baik</t>
        </is>
      </c>
      <c r="M224" s="12" t="n"/>
      <c r="N224" s="12" t="n"/>
      <c r="O224" s="26" t="inlineStr">
        <is>
          <t>Kabid Ideologi</t>
        </is>
      </c>
      <c r="P224" s="214" t="n"/>
      <c r="Q224" s="217">
        <f>B224</f>
        <v/>
      </c>
      <c r="R224" s="217" t="n"/>
      <c r="S224" s="218">
        <f>H224</f>
        <v/>
      </c>
      <c r="T224" s="218">
        <f>J224</f>
        <v/>
      </c>
      <c r="U224" s="217" t="n"/>
      <c r="V224" s="218" t="n"/>
      <c r="W224" s="222" t="n"/>
      <c r="X224" s="88" t="n"/>
      <c r="Y224" s="88" t="n"/>
    </row>
    <row r="225" ht="31.5" customHeight="1" s="79">
      <c r="A225" s="47">
        <f>A224+1</f>
        <v/>
      </c>
      <c r="B225" s="563" t="inlineStr">
        <is>
          <t>Printer</t>
        </is>
      </c>
      <c r="C225" s="592" t="n"/>
      <c r="D225" s="48" t="inlineStr">
        <is>
          <t>EPSON /        L 360</t>
        </is>
      </c>
      <c r="E225" s="41" t="n"/>
      <c r="F225" s="41" t="n"/>
      <c r="G225" s="43" t="inlineStr">
        <is>
          <t>Besi Plastik</t>
        </is>
      </c>
      <c r="H225" s="43" t="n">
        <v>2016</v>
      </c>
      <c r="I225" s="43" t="inlineStr">
        <is>
          <t>02.06.03.05.003</t>
        </is>
      </c>
      <c r="J225" s="44" t="inlineStr">
        <is>
          <t>0020</t>
        </is>
      </c>
      <c r="K225" s="63" t="n">
        <v>3142612</v>
      </c>
      <c r="L225" s="43" t="inlineStr">
        <is>
          <t>Baik</t>
        </is>
      </c>
      <c r="M225" s="41" t="n"/>
      <c r="N225" s="41" t="n"/>
      <c r="O225" s="109" t="inlineStr">
        <is>
          <t>bu Jannah</t>
        </is>
      </c>
      <c r="P225" s="214" t="n"/>
      <c r="Q225" s="217">
        <f>B225</f>
        <v/>
      </c>
      <c r="R225" s="217" t="n"/>
      <c r="S225" s="218">
        <f>H225</f>
        <v/>
      </c>
      <c r="T225" s="218">
        <f>J225</f>
        <v/>
      </c>
      <c r="U225" s="217" t="n"/>
      <c r="V225" s="218" t="n"/>
      <c r="W225" s="222" t="n"/>
      <c r="X225" s="88" t="n"/>
      <c r="Y225" s="88" t="n"/>
    </row>
    <row r="226" ht="47.25" customHeight="1" s="79">
      <c r="A226" s="47">
        <f>A225+1</f>
        <v/>
      </c>
      <c r="B226" s="32" t="inlineStr">
        <is>
          <t xml:space="preserve">Printer </t>
        </is>
      </c>
      <c r="C226" s="592" t="n"/>
      <c r="D226" s="26" t="inlineStr">
        <is>
          <t>EPSON / L 360</t>
        </is>
      </c>
      <c r="E226" s="32" t="n"/>
      <c r="F226" s="32" t="n"/>
      <c r="G226" s="26" t="inlineStr">
        <is>
          <t>Besi Plastik</t>
        </is>
      </c>
      <c r="H226" s="9" t="n">
        <v>2016</v>
      </c>
      <c r="I226" s="9" t="inlineStr">
        <is>
          <t>02.06.03.05.003</t>
        </is>
      </c>
      <c r="J226" s="11" t="inlineStr">
        <is>
          <t>0021</t>
        </is>
      </c>
      <c r="K226" s="20" t="n">
        <v>3142612</v>
      </c>
      <c r="L226" s="9" t="inlineStr">
        <is>
          <t>Baik</t>
        </is>
      </c>
      <c r="M226" s="32" t="n"/>
      <c r="N226" s="32" t="n"/>
      <c r="O226" s="50" t="inlineStr">
        <is>
          <t>Ruang Sekretariat (b Taty)</t>
        </is>
      </c>
      <c r="P226" s="214" t="n"/>
      <c r="Q226" s="217">
        <f>B226</f>
        <v/>
      </c>
      <c r="R226" s="217" t="n"/>
      <c r="S226" s="218">
        <f>H226</f>
        <v/>
      </c>
      <c r="T226" s="218">
        <f>J226</f>
        <v/>
      </c>
      <c r="U226" s="217" t="n"/>
      <c r="V226" s="218" t="n"/>
      <c r="W226" s="222" t="n"/>
      <c r="X226" s="88" t="n"/>
      <c r="Y226" s="88" t="n"/>
    </row>
    <row r="227" ht="31.5" customHeight="1" s="79">
      <c r="A227" s="47">
        <f>A226+1</f>
        <v/>
      </c>
      <c r="B227" s="563" t="inlineStr">
        <is>
          <t>Printer</t>
        </is>
      </c>
      <c r="C227" s="592" t="n"/>
      <c r="D227" s="48" t="inlineStr">
        <is>
          <t>EPSON /        L 360</t>
        </is>
      </c>
      <c r="E227" s="41" t="n"/>
      <c r="F227" s="41" t="n"/>
      <c r="G227" s="43" t="inlineStr">
        <is>
          <t>Besi Plastik</t>
        </is>
      </c>
      <c r="H227" s="43" t="n">
        <v>2016</v>
      </c>
      <c r="I227" s="43" t="inlineStr">
        <is>
          <t>02.06.03.05.003</t>
        </is>
      </c>
      <c r="J227" s="44" t="inlineStr">
        <is>
          <t>0022</t>
        </is>
      </c>
      <c r="K227" s="63" t="n">
        <v>3142612</v>
      </c>
      <c r="L227" s="43" t="inlineStr">
        <is>
          <t>Baik</t>
        </is>
      </c>
      <c r="M227" s="41" t="n"/>
      <c r="N227" s="41" t="n"/>
      <c r="O227" s="109" t="inlineStr">
        <is>
          <t>Olip</t>
        </is>
      </c>
      <c r="P227" s="214" t="n"/>
      <c r="Q227" s="217">
        <f>B227</f>
        <v/>
      </c>
      <c r="R227" s="217" t="n"/>
      <c r="S227" s="218">
        <f>H227</f>
        <v/>
      </c>
      <c r="T227" s="218">
        <f>J227</f>
        <v/>
      </c>
      <c r="U227" s="217" t="n"/>
      <c r="V227" s="218" t="n"/>
      <c r="W227" s="222" t="n"/>
      <c r="X227" s="88" t="n"/>
      <c r="Y227" s="88" t="n"/>
    </row>
    <row r="228" ht="47.25" customHeight="1" s="79">
      <c r="A228" s="47">
        <f>A227+1</f>
        <v/>
      </c>
      <c r="B228" s="563" t="inlineStr">
        <is>
          <t>Printer</t>
        </is>
      </c>
      <c r="C228" s="592" t="n"/>
      <c r="D228" s="40" t="inlineStr">
        <is>
          <t>EPSON /L360</t>
        </is>
      </c>
      <c r="E228" s="41" t="n"/>
      <c r="F228" s="41" t="n"/>
      <c r="G228" s="43" t="inlineStr">
        <is>
          <t>Besi Plastik</t>
        </is>
      </c>
      <c r="H228" s="43" t="n">
        <v>2016</v>
      </c>
      <c r="I228" s="43" t="inlineStr">
        <is>
          <t>02.06.03.05.003</t>
        </is>
      </c>
      <c r="J228" s="44" t="inlineStr">
        <is>
          <t>0023</t>
        </is>
      </c>
      <c r="K228" s="63" t="n">
        <v>3142612</v>
      </c>
      <c r="L228" s="43" t="inlineStr">
        <is>
          <t>Baik</t>
        </is>
      </c>
      <c r="M228" s="41" t="n"/>
      <c r="N228" s="41" t="n"/>
      <c r="O228" s="40" t="inlineStr">
        <is>
          <t>Kabid Hansenibud</t>
        </is>
      </c>
      <c r="P228" s="214" t="n"/>
      <c r="Q228" s="217">
        <f>B228</f>
        <v/>
      </c>
      <c r="R228" s="217" t="n"/>
      <c r="S228" s="218">
        <f>H228</f>
        <v/>
      </c>
      <c r="T228" s="218">
        <f>J228</f>
        <v/>
      </c>
      <c r="U228" s="217" t="n"/>
      <c r="V228" s="218" t="n"/>
      <c r="W228" s="222" t="n"/>
      <c r="X228" s="88" t="n"/>
      <c r="Y228" s="88" t="n"/>
    </row>
    <row r="229" ht="47.25" customHeight="1" s="79">
      <c r="A229" s="47">
        <f>A228+1</f>
        <v/>
      </c>
      <c r="B229" s="567" t="inlineStr">
        <is>
          <t xml:space="preserve">Printer </t>
        </is>
      </c>
      <c r="C229" s="592" t="n"/>
      <c r="D229" s="26" t="inlineStr">
        <is>
          <t>EPSON / L 120</t>
        </is>
      </c>
      <c r="E229" s="32" t="n"/>
      <c r="F229" s="32" t="n"/>
      <c r="G229" s="30" t="inlineStr">
        <is>
          <t>Besi Plastik</t>
        </is>
      </c>
      <c r="H229" s="9" t="n">
        <v>2016</v>
      </c>
      <c r="I229" s="9" t="inlineStr">
        <is>
          <t>02.06.03.05.003</t>
        </is>
      </c>
      <c r="J229" s="11" t="inlineStr">
        <is>
          <t>0024</t>
        </is>
      </c>
      <c r="K229" s="20" t="n">
        <v>2000000</v>
      </c>
      <c r="L229" s="9" t="inlineStr">
        <is>
          <t>Baik</t>
        </is>
      </c>
      <c r="M229" s="32" t="n"/>
      <c r="N229" s="27" t="n"/>
      <c r="O229" s="50" t="inlineStr">
        <is>
          <t>Ruang Sekretariat (Yanti)</t>
        </is>
      </c>
      <c r="P229" s="214" t="n"/>
      <c r="Q229" s="217">
        <f>B229</f>
        <v/>
      </c>
      <c r="R229" s="217" t="n"/>
      <c r="S229" s="218">
        <f>H229</f>
        <v/>
      </c>
      <c r="T229" s="218">
        <f>J229</f>
        <v/>
      </c>
      <c r="U229" s="217" t="n"/>
      <c r="V229" s="218" t="n"/>
      <c r="W229" s="222" t="n"/>
      <c r="X229" s="88" t="n"/>
      <c r="Y229" s="88" t="n"/>
    </row>
    <row r="230" ht="47.25" customHeight="1" s="79">
      <c r="A230" s="47">
        <f>A229+1</f>
        <v/>
      </c>
      <c r="B230" s="567" t="inlineStr">
        <is>
          <t xml:space="preserve">Printer </t>
        </is>
      </c>
      <c r="C230" s="592" t="n"/>
      <c r="D230" s="26" t="inlineStr">
        <is>
          <t>EPSON / L 120</t>
        </is>
      </c>
      <c r="E230" s="32" t="n"/>
      <c r="F230" s="32" t="n"/>
      <c r="G230" s="30" t="inlineStr">
        <is>
          <t>Besi Plastik</t>
        </is>
      </c>
      <c r="H230" s="9" t="n">
        <v>2016</v>
      </c>
      <c r="I230" s="9" t="inlineStr">
        <is>
          <t>02.06.03.05.003</t>
        </is>
      </c>
      <c r="J230" s="11" t="inlineStr">
        <is>
          <t>0025</t>
        </is>
      </c>
      <c r="K230" s="20" t="n">
        <v>2000000</v>
      </c>
      <c r="L230" s="9" t="inlineStr">
        <is>
          <t>Baik</t>
        </is>
      </c>
      <c r="M230" s="32" t="n"/>
      <c r="N230" s="27" t="n"/>
      <c r="O230" s="50" t="inlineStr">
        <is>
          <t>Ruang Sekretariat (Rosy)</t>
        </is>
      </c>
      <c r="P230" s="214" t="n"/>
      <c r="Q230" s="217">
        <f>B230</f>
        <v/>
      </c>
      <c r="R230" s="217" t="n"/>
      <c r="S230" s="218">
        <f>H230</f>
        <v/>
      </c>
      <c r="T230" s="218">
        <f>J230</f>
        <v/>
      </c>
      <c r="U230" s="217" t="n"/>
      <c r="V230" s="218" t="n"/>
      <c r="W230" s="222" t="n"/>
      <c r="X230" s="88" t="n"/>
      <c r="Y230" s="88" t="n"/>
    </row>
    <row r="231" ht="31.5" customHeight="1" s="79">
      <c r="A231" s="47">
        <f>A230+1</f>
        <v/>
      </c>
      <c r="B231" s="567" t="inlineStr">
        <is>
          <t>Printer</t>
        </is>
      </c>
      <c r="C231" s="592" t="n"/>
      <c r="D231" s="26" t="inlineStr">
        <is>
          <t>EPSON /L 120</t>
        </is>
      </c>
      <c r="E231" s="32" t="n"/>
      <c r="F231" s="32" t="n"/>
      <c r="G231" s="9" t="n"/>
      <c r="H231" s="9" t="n">
        <v>2017</v>
      </c>
      <c r="I231" s="9" t="inlineStr">
        <is>
          <t>02.06.03.05.003</t>
        </is>
      </c>
      <c r="J231" s="11" t="inlineStr">
        <is>
          <t>0026</t>
        </is>
      </c>
      <c r="K231" s="89" t="n">
        <v>2173757</v>
      </c>
      <c r="L231" s="9" t="inlineStr">
        <is>
          <t>Baik</t>
        </is>
      </c>
      <c r="M231" s="32" t="n"/>
      <c r="N231" s="32" t="n"/>
      <c r="O231" s="26" t="inlineStr">
        <is>
          <t>Ruang Pelayanan</t>
        </is>
      </c>
      <c r="P231" s="214" t="n"/>
      <c r="Q231" s="217">
        <f>B231</f>
        <v/>
      </c>
      <c r="R231" s="217" t="n"/>
      <c r="S231" s="218">
        <f>H231</f>
        <v/>
      </c>
      <c r="T231" s="218">
        <f>J231</f>
        <v/>
      </c>
      <c r="U231" s="217" t="n"/>
      <c r="V231" s="218" t="n"/>
      <c r="W231" s="222" t="n"/>
      <c r="X231" s="88" t="n"/>
      <c r="Y231" s="88" t="n"/>
    </row>
    <row r="232" ht="31.5" customHeight="1" s="79">
      <c r="A232" s="47">
        <f>A231+1</f>
        <v/>
      </c>
      <c r="B232" s="563" t="inlineStr">
        <is>
          <t>Printer</t>
        </is>
      </c>
      <c r="C232" s="592" t="n"/>
      <c r="D232" s="48" t="inlineStr">
        <is>
          <t>EPSON /L120</t>
        </is>
      </c>
      <c r="E232" s="41" t="n"/>
      <c r="F232" s="41" t="n"/>
      <c r="G232" s="43" t="inlineStr">
        <is>
          <t>Besi Plastik</t>
        </is>
      </c>
      <c r="H232" s="43" t="n">
        <v>2017</v>
      </c>
      <c r="I232" s="43" t="inlineStr">
        <is>
          <t>02.06.03.05.003</t>
        </is>
      </c>
      <c r="J232" s="44" t="inlineStr">
        <is>
          <t>0027</t>
        </is>
      </c>
      <c r="K232" s="63" t="n">
        <v>2173757</v>
      </c>
      <c r="L232" s="43" t="inlineStr">
        <is>
          <t>Baik</t>
        </is>
      </c>
      <c r="M232" s="41" t="n"/>
      <c r="N232" s="41" t="n"/>
      <c r="O232" s="109" t="inlineStr">
        <is>
          <t>Adir</t>
        </is>
      </c>
      <c r="P232" s="214" t="n"/>
      <c r="Q232" s="217">
        <f>B232</f>
        <v/>
      </c>
      <c r="R232" s="217" t="n"/>
      <c r="S232" s="218">
        <f>H232</f>
        <v/>
      </c>
      <c r="T232" s="218">
        <f>J232</f>
        <v/>
      </c>
      <c r="U232" s="217" t="n"/>
      <c r="V232" s="218" t="n"/>
      <c r="W232" s="222" t="n"/>
      <c r="X232" s="88" t="n"/>
      <c r="Y232" s="88" t="n"/>
    </row>
    <row r="233" ht="31.5" customHeight="1" s="79">
      <c r="A233" s="47">
        <f>A232+1</f>
        <v/>
      </c>
      <c r="B233" s="567" t="inlineStr">
        <is>
          <t>Printer</t>
        </is>
      </c>
      <c r="C233" s="592" t="n"/>
      <c r="D233" s="26" t="inlineStr">
        <is>
          <t>EPSON /L360</t>
        </is>
      </c>
      <c r="E233" s="12" t="n"/>
      <c r="F233" s="12" t="n"/>
      <c r="G233" s="9" t="n"/>
      <c r="H233" s="9" t="n">
        <v>2018</v>
      </c>
      <c r="I233" s="9" t="inlineStr">
        <is>
          <t>02.06.03.05.003</t>
        </is>
      </c>
      <c r="J233" s="11" t="inlineStr">
        <is>
          <t>0028</t>
        </is>
      </c>
      <c r="K233" s="172" t="n">
        <v>2428691</v>
      </c>
      <c r="L233" s="9" t="inlineStr">
        <is>
          <t>Baik</t>
        </is>
      </c>
      <c r="M233" s="12" t="n"/>
      <c r="N233" s="12" t="n"/>
      <c r="O233" s="10" t="inlineStr">
        <is>
          <t>Kabid Ideologi</t>
        </is>
      </c>
      <c r="P233" s="214" t="n"/>
      <c r="Q233" s="217">
        <f>B233</f>
        <v/>
      </c>
      <c r="R233" s="217" t="n"/>
      <c r="S233" s="218">
        <f>H233</f>
        <v/>
      </c>
      <c r="T233" s="218">
        <f>J233</f>
        <v/>
      </c>
      <c r="U233" s="217" t="n"/>
      <c r="V233" s="218" t="n"/>
      <c r="W233" s="222" t="n"/>
      <c r="X233" s="88" t="n"/>
      <c r="Y233" s="88" t="n"/>
    </row>
    <row r="234" ht="31.5" customHeight="1" s="79">
      <c r="A234" s="47">
        <f>A233+1</f>
        <v/>
      </c>
      <c r="B234" s="567" t="inlineStr">
        <is>
          <t>Printer</t>
        </is>
      </c>
      <c r="C234" s="592" t="n"/>
      <c r="D234" s="26" t="inlineStr">
        <is>
          <t>EPSON /L360</t>
        </is>
      </c>
      <c r="E234" s="32" t="n"/>
      <c r="F234" s="32" t="n"/>
      <c r="G234" s="9" t="n"/>
      <c r="H234" s="9" t="n">
        <v>2018</v>
      </c>
      <c r="I234" s="9" t="inlineStr">
        <is>
          <t>02.06.03.05.003</t>
        </is>
      </c>
      <c r="J234" s="11" t="inlineStr">
        <is>
          <t>0029</t>
        </is>
      </c>
      <c r="K234" s="89" t="n">
        <v>2428691</v>
      </c>
      <c r="L234" s="9" t="inlineStr">
        <is>
          <t>Baik</t>
        </is>
      </c>
      <c r="M234" s="32" t="n"/>
      <c r="N234" s="32" t="n"/>
      <c r="O234" s="50" t="inlineStr">
        <is>
          <t>Subbag Umpeg</t>
        </is>
      </c>
      <c r="P234" s="214" t="n"/>
      <c r="Q234" s="217">
        <f>B234</f>
        <v/>
      </c>
      <c r="R234" s="217" t="n"/>
      <c r="S234" s="218">
        <f>H234</f>
        <v/>
      </c>
      <c r="T234" s="218">
        <f>J234</f>
        <v/>
      </c>
      <c r="U234" s="217" t="n"/>
      <c r="V234" s="218" t="n"/>
      <c r="W234" s="222" t="n"/>
      <c r="X234" s="88" t="n"/>
      <c r="Y234" s="88" t="n"/>
    </row>
    <row r="235" ht="47.25" customHeight="1" s="79">
      <c r="A235" s="47">
        <f>A234+1</f>
        <v/>
      </c>
      <c r="B235" s="567" t="inlineStr">
        <is>
          <t xml:space="preserve">Printer </t>
        </is>
      </c>
      <c r="C235" s="592" t="n"/>
      <c r="D235" s="26" t="inlineStr">
        <is>
          <t>EPSON / L 3110</t>
        </is>
      </c>
      <c r="E235" s="32" t="n"/>
      <c r="F235" s="32" t="n"/>
      <c r="G235" s="30" t="inlineStr">
        <is>
          <t>Besi</t>
        </is>
      </c>
      <c r="H235" s="9" t="n">
        <v>2019</v>
      </c>
      <c r="I235" s="9" t="inlineStr">
        <is>
          <t>02.06.03.05.003</t>
        </is>
      </c>
      <c r="J235" s="11" t="inlineStr">
        <is>
          <t>0030</t>
        </is>
      </c>
      <c r="K235" s="20" t="n">
        <v>2512933</v>
      </c>
      <c r="L235" s="9" t="inlineStr">
        <is>
          <t>Baik</t>
        </is>
      </c>
      <c r="M235" s="32" t="n"/>
      <c r="N235" s="27" t="n"/>
      <c r="O235" s="50" t="inlineStr">
        <is>
          <t>Ruang Sekretariat (Indra A)</t>
        </is>
      </c>
      <c r="P235" s="214" t="n"/>
      <c r="Q235" s="217">
        <f>B235</f>
        <v/>
      </c>
      <c r="R235" s="217" t="n"/>
      <c r="S235" s="218">
        <f>H235</f>
        <v/>
      </c>
      <c r="T235" s="218">
        <f>J235</f>
        <v/>
      </c>
      <c r="U235" s="217" t="n"/>
      <c r="V235" s="218" t="n"/>
      <c r="W235" s="222" t="n"/>
      <c r="X235" s="88" t="n"/>
      <c r="Y235" s="88" t="n"/>
    </row>
    <row r="236" ht="94.5" customHeight="1" s="79">
      <c r="A236" s="47">
        <f>A235+1</f>
        <v/>
      </c>
      <c r="B236" s="567" t="inlineStr">
        <is>
          <t xml:space="preserve">Printer </t>
        </is>
      </c>
      <c r="C236" s="592" t="n"/>
      <c r="D236" s="26" t="inlineStr">
        <is>
          <t xml:space="preserve">BROTHER / INKJET MULTIFUNCTION MFC-T4500DW </t>
        </is>
      </c>
      <c r="E236" s="32" t="n"/>
      <c r="F236" s="32" t="n"/>
      <c r="G236" s="30" t="n"/>
      <c r="H236" s="9" t="n">
        <v>2019</v>
      </c>
      <c r="I236" s="9" t="inlineStr">
        <is>
          <t>02.06.03.05.003</t>
        </is>
      </c>
      <c r="J236" s="11" t="inlineStr">
        <is>
          <t>0031</t>
        </is>
      </c>
      <c r="K236" s="20" t="n">
        <v>11056905</v>
      </c>
      <c r="L236" s="9" t="inlineStr">
        <is>
          <t>Baik</t>
        </is>
      </c>
      <c r="M236" s="32" t="n"/>
      <c r="N236" s="27" t="n"/>
      <c r="O236" s="50" t="inlineStr">
        <is>
          <t>Ruang Sekretariat Orerasional</t>
        </is>
      </c>
      <c r="P236" s="214" t="n"/>
      <c r="Q236" s="217">
        <f>B236</f>
        <v/>
      </c>
      <c r="R236" s="217" t="n"/>
      <c r="S236" s="218">
        <f>H236</f>
        <v/>
      </c>
      <c r="T236" s="218">
        <f>J236</f>
        <v/>
      </c>
      <c r="U236" s="217" t="n"/>
      <c r="V236" s="218" t="n"/>
      <c r="W236" s="222" t="n"/>
      <c r="X236" s="88" t="n"/>
      <c r="Y236" s="88" t="n"/>
    </row>
    <row r="237" ht="18" customHeight="1" s="79">
      <c r="A237" s="75" t="n"/>
      <c r="B237" s="75" t="n"/>
      <c r="C237" s="75" t="n"/>
      <c r="D237" s="75" t="n"/>
      <c r="E237" s="75" t="n"/>
      <c r="F237" s="75" t="n"/>
      <c r="G237" s="75" t="n"/>
      <c r="H237" s="75" t="n"/>
      <c r="I237" s="75" t="n"/>
      <c r="J237" s="75" t="n"/>
      <c r="K237" s="231">
        <f>SUM(K220:K236)</f>
        <v/>
      </c>
      <c r="L237" s="75" t="n"/>
      <c r="M237" s="75" t="n"/>
      <c r="N237" s="75" t="n"/>
      <c r="O237" s="75" t="n"/>
      <c r="P237" s="214" t="n"/>
      <c r="Q237" s="217">
        <f>B246</f>
        <v/>
      </c>
      <c r="R237" s="217" t="n"/>
      <c r="S237" s="218">
        <f>H246</f>
        <v/>
      </c>
      <c r="T237" s="218">
        <f>J246</f>
        <v/>
      </c>
      <c r="U237" s="217" t="n"/>
      <c r="V237" s="218" t="n"/>
      <c r="W237" s="222" t="n"/>
      <c r="X237" s="88" t="n"/>
      <c r="Y237" s="88" t="n"/>
    </row>
    <row r="238" ht="18" customHeight="1" s="79">
      <c r="P238" s="214" t="n"/>
      <c r="Q238" s="217">
        <f>B247</f>
        <v/>
      </c>
      <c r="R238" s="217" t="n"/>
      <c r="S238" s="218">
        <f>H247</f>
        <v/>
      </c>
      <c r="T238" s="218">
        <f>J247</f>
        <v/>
      </c>
      <c r="U238" s="217" t="n"/>
      <c r="V238" s="218" t="n"/>
      <c r="W238" s="222" t="n"/>
      <c r="X238" s="88" t="n"/>
      <c r="Y238" s="88" t="n"/>
    </row>
    <row r="239" ht="18" customHeight="1" s="79">
      <c r="A239" s="157" t="n"/>
      <c r="B239" s="189" t="n"/>
      <c r="C239" s="189" t="n"/>
      <c r="D239" s="68" t="n"/>
      <c r="E239" s="110" t="n"/>
      <c r="F239" s="110" t="n"/>
      <c r="G239" s="221" t="n"/>
      <c r="H239" s="221" t="n"/>
      <c r="I239" s="222" t="n"/>
      <c r="J239" s="71" t="n"/>
      <c r="K239" s="194" t="n"/>
      <c r="L239" s="222" t="n"/>
      <c r="M239" s="110" t="n"/>
      <c r="N239" s="110" t="n"/>
      <c r="O239" s="192" t="n"/>
      <c r="P239" s="214" t="n"/>
      <c r="Q239" s="217">
        <f>B239</f>
        <v/>
      </c>
      <c r="R239" s="217" t="n"/>
      <c r="S239" s="218">
        <f>H239</f>
        <v/>
      </c>
      <c r="T239" s="218">
        <f>J239</f>
        <v/>
      </c>
      <c r="U239" s="217" t="n"/>
      <c r="V239" s="218" t="n"/>
      <c r="W239" s="222" t="n"/>
      <c r="X239" s="88" t="n"/>
      <c r="Y239" s="88" t="n"/>
    </row>
    <row r="240" ht="18" customHeight="1" s="79">
      <c r="A240" s="157" t="n"/>
      <c r="B240" s="189" t="n"/>
      <c r="C240" s="189" t="n"/>
      <c r="D240" s="68" t="n"/>
      <c r="E240" s="110" t="n"/>
      <c r="F240" s="110" t="n"/>
      <c r="G240" s="221" t="n"/>
      <c r="H240" s="221" t="n"/>
      <c r="I240" s="222" t="n"/>
      <c r="J240" s="71" t="n"/>
      <c r="K240" s="194" t="n"/>
      <c r="L240" s="222" t="n"/>
      <c r="M240" s="110" t="n"/>
      <c r="N240" s="110" t="n"/>
      <c r="O240" s="192" t="n"/>
      <c r="P240" s="214" t="n"/>
      <c r="Q240" s="217">
        <f>B240</f>
        <v/>
      </c>
      <c r="R240" s="217" t="n"/>
      <c r="S240" s="218">
        <f>H240</f>
        <v/>
      </c>
      <c r="T240" s="218">
        <f>J240</f>
        <v/>
      </c>
      <c r="U240" s="217" t="n"/>
      <c r="V240" s="218" t="n"/>
      <c r="W240" s="222" t="n"/>
      <c r="X240" s="88" t="n"/>
      <c r="Y240" s="88" t="n"/>
    </row>
    <row r="241" ht="18" customHeight="1" s="79">
      <c r="A241" s="186" t="n"/>
      <c r="B241" s="190" t="n"/>
      <c r="C241" s="190" t="n"/>
      <c r="D241" s="83" t="n"/>
      <c r="E241" s="112" t="n"/>
      <c r="F241" s="112" t="n"/>
      <c r="G241" s="81" t="n"/>
      <c r="H241" s="81" t="n"/>
      <c r="I241" s="86" t="n"/>
      <c r="J241" s="87" t="n"/>
      <c r="K241" s="195" t="n"/>
      <c r="L241" s="86" t="n"/>
      <c r="M241" s="112" t="n"/>
      <c r="N241" s="112" t="n"/>
      <c r="O241" s="193" t="n"/>
      <c r="P241" s="214" t="n"/>
      <c r="Q241" s="217">
        <f>B241</f>
        <v/>
      </c>
      <c r="R241" s="217" t="n"/>
      <c r="S241" s="218">
        <f>H241</f>
        <v/>
      </c>
      <c r="T241" s="218">
        <f>J241</f>
        <v/>
      </c>
      <c r="U241" s="217" t="n"/>
      <c r="V241" s="218" t="n"/>
      <c r="W241" s="222" t="n"/>
      <c r="X241" s="88" t="n"/>
      <c r="Y241" s="88" t="n"/>
    </row>
    <row r="242" ht="22.5" customHeight="1" s="79">
      <c r="A242" s="538" t="inlineStr">
        <is>
          <t>No.</t>
        </is>
      </c>
      <c r="B242" s="538" t="inlineStr">
        <is>
          <t>Nama Barang</t>
        </is>
      </c>
      <c r="C242" s="589" t="n"/>
      <c r="D242" s="538" t="inlineStr">
        <is>
          <t>Merk/</t>
        </is>
      </c>
      <c r="E242" s="538" t="inlineStr">
        <is>
          <t>No. Seri</t>
        </is>
      </c>
      <c r="F242" s="655" t="inlineStr">
        <is>
          <t>Ukuran</t>
        </is>
      </c>
      <c r="G242" s="655" t="inlineStr">
        <is>
          <t>Bahan</t>
        </is>
      </c>
      <c r="H242" s="538" t="inlineStr">
        <is>
          <t xml:space="preserve">Tahun </t>
        </is>
      </c>
      <c r="I242" s="538" t="n"/>
      <c r="J242" s="538" t="inlineStr">
        <is>
          <t xml:space="preserve">Jumlah </t>
        </is>
      </c>
      <c r="K242" s="538" t="inlineStr">
        <is>
          <t xml:space="preserve">Harga </t>
        </is>
      </c>
      <c r="L242" s="544" t="inlineStr">
        <is>
          <t xml:space="preserve">Keadaan Barang </t>
        </is>
      </c>
      <c r="M242" s="591" t="n"/>
      <c r="N242" s="592" t="n"/>
      <c r="O242" s="538" t="inlineStr">
        <is>
          <t>Keterangan</t>
        </is>
      </c>
      <c r="P242" s="214" t="n"/>
      <c r="Q242" s="217">
        <f>B242</f>
        <v/>
      </c>
      <c r="R242" s="217" t="n"/>
      <c r="S242" s="218">
        <f>H242</f>
        <v/>
      </c>
      <c r="T242" s="218">
        <f>J242</f>
        <v/>
      </c>
      <c r="U242" s="217" t="n"/>
      <c r="V242" s="218" t="n"/>
      <c r="W242" s="222" t="n"/>
      <c r="X242" s="88" t="n"/>
      <c r="Y242" s="88" t="n"/>
    </row>
    <row r="243" ht="18" customHeight="1" s="79">
      <c r="A243" s="543" t="inlineStr">
        <is>
          <t>Urut</t>
        </is>
      </c>
      <c r="B243" s="543" t="inlineStr">
        <is>
          <t>Jenis Barang</t>
        </is>
      </c>
      <c r="C243" s="593" t="n"/>
      <c r="D243" s="543" t="inlineStr">
        <is>
          <t>Model</t>
        </is>
      </c>
      <c r="E243" s="543" t="inlineStr">
        <is>
          <t>Pabrik</t>
        </is>
      </c>
      <c r="F243" s="594" t="n"/>
      <c r="G243" s="594" t="n"/>
      <c r="H243" s="104" t="inlineStr">
        <is>
          <t>Pembuatan</t>
        </is>
      </c>
      <c r="I243" s="104" t="inlineStr">
        <is>
          <t xml:space="preserve">No/. Kode Barang </t>
        </is>
      </c>
      <c r="J243" s="104" t="inlineStr">
        <is>
          <t>Barang</t>
        </is>
      </c>
      <c r="K243" s="104" t="inlineStr">
        <is>
          <t>Beli/</t>
        </is>
      </c>
      <c r="L243" s="104" t="inlineStr">
        <is>
          <t>Baik</t>
        </is>
      </c>
      <c r="M243" s="104" t="inlineStr">
        <is>
          <t>Kurang Baik</t>
        </is>
      </c>
      <c r="N243" s="104" t="inlineStr">
        <is>
          <t>Rusak Berat</t>
        </is>
      </c>
      <c r="O243" s="540" t="inlineStr">
        <is>
          <t>Mutasi dll</t>
        </is>
      </c>
      <c r="P243" s="214" t="n"/>
      <c r="Q243" s="217">
        <f>B243</f>
        <v/>
      </c>
      <c r="R243" s="217" t="n"/>
      <c r="S243" s="218">
        <f>H243</f>
        <v/>
      </c>
      <c r="T243" s="218">
        <f>J243</f>
        <v/>
      </c>
      <c r="U243" s="217" t="n"/>
      <c r="V243" s="218" t="n"/>
      <c r="W243" s="222" t="n"/>
      <c r="X243" s="88" t="n"/>
      <c r="Y243" s="88" t="n"/>
    </row>
    <row r="244" ht="18" customHeight="1" s="79">
      <c r="A244" s="595" t="n"/>
      <c r="B244" s="596" t="n"/>
      <c r="C244" s="597" t="n"/>
      <c r="D244" s="595" t="n"/>
      <c r="E244" s="595" t="n"/>
      <c r="F244" s="595" t="n"/>
      <c r="G244" s="595" t="n"/>
      <c r="H244" s="105" t="inlineStr">
        <is>
          <t>Atau Pembelian</t>
        </is>
      </c>
      <c r="I244" s="105" t="n"/>
      <c r="J244" s="105" t="inlineStr">
        <is>
          <t>Register x)</t>
        </is>
      </c>
      <c r="K244" s="105" t="inlineStr">
        <is>
          <t>Perolehan</t>
        </is>
      </c>
      <c r="L244" s="105" t="inlineStr">
        <is>
          <t>(B)</t>
        </is>
      </c>
      <c r="M244" s="105" t="inlineStr">
        <is>
          <t>(KB)</t>
        </is>
      </c>
      <c r="N244" s="105" t="inlineStr">
        <is>
          <t>(RB)</t>
        </is>
      </c>
      <c r="O244" s="595" t="n"/>
      <c r="P244" s="214" t="n"/>
      <c r="Q244" s="217">
        <f>B244</f>
        <v/>
      </c>
      <c r="R244" s="217" t="n"/>
      <c r="S244" s="218">
        <f>H244</f>
        <v/>
      </c>
      <c r="T244" s="218">
        <f>J244</f>
        <v/>
      </c>
      <c r="U244" s="217" t="n"/>
      <c r="V244" s="218" t="n"/>
      <c r="W244" s="222" t="n"/>
      <c r="X244" s="88" t="n"/>
      <c r="Y244" s="88" t="n"/>
    </row>
    <row r="245" ht="18" customHeight="1" s="79">
      <c r="A245" s="47" t="n">
        <v>1</v>
      </c>
      <c r="B245" s="47" t="n">
        <v>2</v>
      </c>
      <c r="C245" s="592" t="n"/>
      <c r="D245" s="539" t="n">
        <v>3</v>
      </c>
      <c r="E245" s="539" t="n">
        <v>4</v>
      </c>
      <c r="F245" s="542" t="n">
        <v>5</v>
      </c>
      <c r="G245" s="542" t="n">
        <v>6</v>
      </c>
      <c r="H245" s="104" t="n">
        <v>7</v>
      </c>
      <c r="I245" s="104" t="n">
        <v>8</v>
      </c>
      <c r="J245" s="104" t="n">
        <v>9</v>
      </c>
      <c r="K245" s="104" t="n">
        <v>10</v>
      </c>
      <c r="L245" s="104" t="n">
        <v>11</v>
      </c>
      <c r="M245" s="104" t="n">
        <v>12</v>
      </c>
      <c r="N245" s="104" t="n">
        <v>13</v>
      </c>
      <c r="O245" s="539" t="n">
        <v>14</v>
      </c>
      <c r="P245" s="214" t="n"/>
      <c r="Q245" s="217">
        <f>B245</f>
        <v/>
      </c>
      <c r="R245" s="217" t="n"/>
      <c r="S245" s="218">
        <f>H245</f>
        <v/>
      </c>
      <c r="T245" s="218">
        <f>J245</f>
        <v/>
      </c>
      <c r="U245" s="217" t="n"/>
      <c r="V245" s="218" t="n"/>
      <c r="W245" s="222" t="n"/>
      <c r="X245" s="88" t="n"/>
      <c r="Y245" s="88" t="n"/>
    </row>
    <row r="246" ht="47.25" customHeight="1" s="79">
      <c r="A246" s="47">
        <f>A236+1</f>
        <v/>
      </c>
      <c r="B246" s="567" t="inlineStr">
        <is>
          <t xml:space="preserve">Printer </t>
        </is>
      </c>
      <c r="C246" s="592" t="n"/>
      <c r="D246" s="26" t="inlineStr">
        <is>
          <t>EPSON / L 3110</t>
        </is>
      </c>
      <c r="E246" s="32" t="n"/>
      <c r="F246" s="32" t="n"/>
      <c r="G246" s="30" t="inlineStr">
        <is>
          <t>Besi</t>
        </is>
      </c>
      <c r="H246" s="9" t="n">
        <v>2019</v>
      </c>
      <c r="I246" s="9" t="inlineStr">
        <is>
          <t>02.06.03.05.003</t>
        </is>
      </c>
      <c r="J246" s="11" t="inlineStr">
        <is>
          <t>0032</t>
        </is>
      </c>
      <c r="K246" s="20" t="n">
        <v>2512933</v>
      </c>
      <c r="L246" s="9" t="inlineStr">
        <is>
          <t>Baik</t>
        </is>
      </c>
      <c r="M246" s="32" t="n"/>
      <c r="N246" s="27" t="n"/>
      <c r="O246" s="50" t="inlineStr">
        <is>
          <t>Ruang Sekretariat (Indra H)</t>
        </is>
      </c>
      <c r="P246" s="214" t="n"/>
      <c r="Q246" s="217" t="n"/>
      <c r="R246" s="217" t="n"/>
      <c r="S246" s="218" t="n"/>
      <c r="T246" s="218" t="n"/>
      <c r="U246" s="217" t="n"/>
      <c r="V246" s="218" t="n"/>
      <c r="W246" s="222" t="n"/>
      <c r="X246" s="88" t="n"/>
      <c r="Y246" s="88" t="n"/>
    </row>
    <row r="247" ht="47.25" customHeight="1" s="79">
      <c r="A247" s="47">
        <f>A246+1</f>
        <v/>
      </c>
      <c r="B247" s="599" t="inlineStr">
        <is>
          <t>Printer</t>
        </is>
      </c>
      <c r="C247" s="592" t="n"/>
      <c r="D247" s="26" t="inlineStr">
        <is>
          <t>Epson ECO Tank L3110N /-</t>
        </is>
      </c>
      <c r="E247" s="27" t="n"/>
      <c r="F247" s="27" t="n"/>
      <c r="G247" s="9" t="inlineStr">
        <is>
          <t>Campuran</t>
        </is>
      </c>
      <c r="H247" s="7" t="n">
        <v>2020</v>
      </c>
      <c r="I247" s="9" t="inlineStr">
        <is>
          <t>02.06.03.05.003</t>
        </is>
      </c>
      <c r="J247" s="11" t="inlineStr">
        <is>
          <t>0033</t>
        </is>
      </c>
      <c r="K247" s="153" t="n">
        <v>2783950</v>
      </c>
      <c r="L247" s="9" t="inlineStr">
        <is>
          <t>Baik</t>
        </is>
      </c>
      <c r="M247" s="27" t="n"/>
      <c r="N247" s="27" t="n"/>
      <c r="O247" s="50" t="inlineStr">
        <is>
          <t>Ruang Sekretaris</t>
        </is>
      </c>
      <c r="P247" s="214" t="n"/>
      <c r="Q247" s="217" t="n"/>
      <c r="R247" s="217" t="n"/>
      <c r="S247" s="218" t="n"/>
      <c r="T247" s="218" t="n"/>
      <c r="U247" s="217" t="n"/>
      <c r="V247" s="218" t="n"/>
      <c r="W247" s="222" t="n"/>
      <c r="X247" s="88" t="n"/>
      <c r="Y247" s="88" t="n"/>
    </row>
    <row r="248" ht="31.5" customHeight="1" s="79">
      <c r="A248" s="47">
        <f>A247+1</f>
        <v/>
      </c>
      <c r="B248" s="563" t="inlineStr">
        <is>
          <t>Printer</t>
        </is>
      </c>
      <c r="C248" s="592" t="n"/>
      <c r="D248" s="48" t="inlineStr">
        <is>
          <t>EPSON /L3110</t>
        </is>
      </c>
      <c r="E248" s="41" t="n"/>
      <c r="F248" s="41" t="n"/>
      <c r="G248" s="43" t="inlineStr">
        <is>
          <t>Campuran</t>
        </is>
      </c>
      <c r="H248" s="43" t="n">
        <v>2020</v>
      </c>
      <c r="I248" s="43" t="inlineStr">
        <is>
          <t>02.06.03.05.003</t>
        </is>
      </c>
      <c r="J248" s="44" t="inlineStr">
        <is>
          <t>0034</t>
        </is>
      </c>
      <c r="K248" s="63">
        <f>5516570/2</f>
        <v/>
      </c>
      <c r="L248" s="43" t="inlineStr">
        <is>
          <t>Baik</t>
        </is>
      </c>
      <c r="M248" s="41" t="n"/>
      <c r="N248" s="41" t="n"/>
      <c r="O248" s="109" t="inlineStr">
        <is>
          <t>Aan</t>
        </is>
      </c>
      <c r="P248" s="214" t="n"/>
      <c r="Q248" s="217" t="n"/>
      <c r="R248" s="217" t="n"/>
      <c r="S248" s="218" t="n"/>
      <c r="T248" s="218" t="n"/>
      <c r="U248" s="217" t="n"/>
      <c r="V248" s="218" t="n"/>
      <c r="W248" s="222" t="n"/>
      <c r="X248" s="88" t="n"/>
      <c r="Y248" s="88" t="n"/>
    </row>
    <row r="249" ht="47.25" customHeight="1" s="79">
      <c r="A249" s="47">
        <f>A248+1</f>
        <v/>
      </c>
      <c r="B249" s="599" t="inlineStr">
        <is>
          <t>Printer</t>
        </is>
      </c>
      <c r="C249" s="592" t="n"/>
      <c r="D249" s="26" t="inlineStr">
        <is>
          <t>Epson ECO Tank L3110N /-</t>
        </is>
      </c>
      <c r="E249" s="27" t="n"/>
      <c r="F249" s="27" t="n"/>
      <c r="G249" s="7" t="n"/>
      <c r="H249" s="7" t="n">
        <v>2020</v>
      </c>
      <c r="I249" s="9" t="inlineStr">
        <is>
          <t>02.06.03.05.003</t>
        </is>
      </c>
      <c r="J249" s="11" t="inlineStr">
        <is>
          <t>0035</t>
        </is>
      </c>
      <c r="K249" s="28">
        <f>5516570/2</f>
        <v/>
      </c>
      <c r="L249" s="9" t="inlineStr">
        <is>
          <t>Baik</t>
        </is>
      </c>
      <c r="M249" s="27" t="n"/>
      <c r="N249" s="27" t="n"/>
      <c r="O249" s="50" t="inlineStr">
        <is>
          <t>Ruang Sekretariat (Siska)</t>
        </is>
      </c>
      <c r="P249" s="214" t="n"/>
      <c r="Q249" s="217" t="n"/>
      <c r="R249" s="217" t="n"/>
      <c r="S249" s="218" t="n"/>
      <c r="T249" s="218" t="n"/>
      <c r="U249" s="217" t="n"/>
      <c r="V249" s="218" t="n"/>
      <c r="W249" s="222" t="n"/>
      <c r="X249" s="88" t="n"/>
      <c r="Y249" s="88" t="n"/>
    </row>
    <row r="250" ht="47.25" customHeight="1" s="79">
      <c r="A250" s="47">
        <f>A249+1</f>
        <v/>
      </c>
      <c r="B250" s="564" t="inlineStr">
        <is>
          <t>Meja Kerja Pejabat Eselon II</t>
        </is>
      </c>
      <c r="C250" s="592" t="n"/>
      <c r="D250" s="40" t="inlineStr">
        <is>
          <t>Zetta MT 301 / Esselon II</t>
        </is>
      </c>
      <c r="E250" s="60" t="n"/>
      <c r="F250" s="60" t="n"/>
      <c r="G250" s="39" t="inlineStr">
        <is>
          <t>Kayu Partikel</t>
        </is>
      </c>
      <c r="H250" s="39" t="n">
        <v>2014</v>
      </c>
      <c r="I250" s="39" t="inlineStr">
        <is>
          <t>02.06.04.01.004</t>
        </is>
      </c>
      <c r="J250" s="56" t="inlineStr">
        <is>
          <t>0001</t>
        </is>
      </c>
      <c r="K250" s="155" t="n">
        <v>5780423</v>
      </c>
      <c r="L250" s="39" t="inlineStr">
        <is>
          <t>Baik</t>
        </is>
      </c>
      <c r="M250" s="60" t="n"/>
      <c r="N250" s="60" t="n"/>
      <c r="O250" s="50" t="inlineStr">
        <is>
          <t>Ruang Sekretaris</t>
        </is>
      </c>
      <c r="P250" s="214" t="n"/>
      <c r="Q250" s="217">
        <f>B250</f>
        <v/>
      </c>
      <c r="R250" s="217" t="n"/>
      <c r="S250" s="218">
        <f>H250</f>
        <v/>
      </c>
      <c r="T250" s="218">
        <f>J250</f>
        <v/>
      </c>
      <c r="U250" s="217" t="n"/>
      <c r="V250" s="218" t="n"/>
      <c r="W250" s="222" t="n"/>
      <c r="X250" s="88" t="n"/>
      <c r="Y250" s="88" t="n"/>
    </row>
    <row r="251" ht="47.25" customHeight="1" s="79">
      <c r="A251" s="47">
        <f>A250+1</f>
        <v/>
      </c>
      <c r="B251" s="599" t="inlineStr">
        <is>
          <t>Meja Kerja Pejabat Eselon II</t>
        </is>
      </c>
      <c r="C251" s="592" t="n"/>
      <c r="D251" s="50" t="inlineStr">
        <is>
          <t>Zetta MT 301/Esselon II</t>
        </is>
      </c>
      <c r="E251" s="27" t="n"/>
      <c r="F251" s="27" t="n"/>
      <c r="G251" s="7" t="inlineStr">
        <is>
          <t>Kayu Partikel</t>
        </is>
      </c>
      <c r="H251" s="7" t="n">
        <v>2016</v>
      </c>
      <c r="I251" s="7" t="inlineStr">
        <is>
          <t>02.06.04.01.004</t>
        </is>
      </c>
      <c r="J251" s="8" t="inlineStr">
        <is>
          <t>0002</t>
        </is>
      </c>
      <c r="K251" s="19" t="n">
        <v>2333333</v>
      </c>
      <c r="L251" s="7" t="inlineStr">
        <is>
          <t>Baik</t>
        </is>
      </c>
      <c r="M251" s="27" t="n"/>
      <c r="N251" s="27" t="n"/>
      <c r="O251" s="40" t="inlineStr">
        <is>
          <t>Ruang Kaban</t>
        </is>
      </c>
      <c r="P251" s="214" t="n"/>
      <c r="Q251" s="217">
        <f>B251</f>
        <v/>
      </c>
      <c r="R251" s="217" t="n"/>
      <c r="S251" s="218">
        <f>H251</f>
        <v/>
      </c>
      <c r="T251" s="218">
        <f>J251</f>
        <v/>
      </c>
      <c r="U251" s="217" t="n"/>
      <c r="V251" s="218" t="n"/>
      <c r="W251" s="222" t="n"/>
      <c r="X251" s="88" t="n"/>
      <c r="Y251" s="88" t="n"/>
    </row>
    <row r="252" ht="47.25" customHeight="1" s="79">
      <c r="A252" s="47">
        <f>A251+1</f>
        <v/>
      </c>
      <c r="B252" s="563" t="inlineStr">
        <is>
          <t>Meja Kerja Pejabat Eselon III</t>
        </is>
      </c>
      <c r="C252" s="592" t="n"/>
      <c r="D252" s="40" t="inlineStr">
        <is>
          <t>ZETTA / MT201S / Esselon III</t>
        </is>
      </c>
      <c r="E252" s="41" t="n"/>
      <c r="F252" s="41" t="n"/>
      <c r="G252" s="43" t="inlineStr">
        <is>
          <t>Kayu Pertikel</t>
        </is>
      </c>
      <c r="H252" s="43" t="n">
        <v>2014</v>
      </c>
      <c r="I252" s="43" t="inlineStr">
        <is>
          <t>02.06.04.01.005</t>
        </is>
      </c>
      <c r="J252" s="44" t="inlineStr">
        <is>
          <t>0003</t>
        </is>
      </c>
      <c r="K252" s="63" t="n">
        <v>5126984</v>
      </c>
      <c r="L252" s="43" t="inlineStr">
        <is>
          <t>Baik</t>
        </is>
      </c>
      <c r="M252" s="41" t="n"/>
      <c r="N252" s="41" t="n"/>
      <c r="O252" s="40" t="inlineStr">
        <is>
          <t>Kabid Hansenibud</t>
        </is>
      </c>
      <c r="P252" s="214" t="n"/>
      <c r="Q252" s="217">
        <f>B252</f>
        <v/>
      </c>
      <c r="R252" s="217" t="n"/>
      <c r="S252" s="218">
        <f>H252</f>
        <v/>
      </c>
      <c r="T252" s="218">
        <f>J252</f>
        <v/>
      </c>
      <c r="U252" s="217" t="n"/>
      <c r="V252" s="218" t="n"/>
      <c r="W252" s="222" t="n"/>
      <c r="X252" s="88" t="n"/>
      <c r="Y252" s="88" t="n"/>
    </row>
    <row r="253" ht="47.25" customHeight="1" s="79">
      <c r="A253" s="47">
        <f>A252+1</f>
        <v/>
      </c>
      <c r="B253" s="563" t="inlineStr">
        <is>
          <t>Meja Kerja Pejabat Eselon III</t>
        </is>
      </c>
      <c r="C253" s="592" t="n"/>
      <c r="D253" s="40" t="inlineStr">
        <is>
          <t>ZETTA / MT-301 / Esselon III</t>
        </is>
      </c>
      <c r="E253" s="41" t="n"/>
      <c r="F253" s="41" t="n"/>
      <c r="G253" s="43" t="inlineStr">
        <is>
          <t>Kayu Pertikel</t>
        </is>
      </c>
      <c r="H253" s="43" t="n">
        <v>2015</v>
      </c>
      <c r="I253" s="43" t="inlineStr">
        <is>
          <t>02.06.04.01.005</t>
        </is>
      </c>
      <c r="J253" s="44" t="inlineStr">
        <is>
          <t>0004</t>
        </is>
      </c>
      <c r="K253" s="173" t="n">
        <v>3600000</v>
      </c>
      <c r="L253" s="43" t="inlineStr">
        <is>
          <t>Baik</t>
        </is>
      </c>
      <c r="M253" s="41" t="n"/>
      <c r="N253" s="41" t="n"/>
      <c r="O253" s="40" t="inlineStr">
        <is>
          <t>Kabid Wasnas</t>
        </is>
      </c>
      <c r="P253" s="214" t="n"/>
      <c r="Q253" s="217">
        <f>B253</f>
        <v/>
      </c>
      <c r="R253" s="217" t="n"/>
      <c r="S253" s="218">
        <f>H253</f>
        <v/>
      </c>
      <c r="T253" s="218">
        <f>J253</f>
        <v/>
      </c>
      <c r="U253" s="217" t="n"/>
      <c r="V253" s="218" t="n"/>
      <c r="W253" s="222" t="n"/>
      <c r="X253" s="88" t="n"/>
      <c r="Y253" s="88" t="n"/>
    </row>
    <row r="254" ht="47.25" customHeight="1" s="79">
      <c r="A254" s="47">
        <f>A253+1</f>
        <v/>
      </c>
      <c r="B254" s="567" t="inlineStr">
        <is>
          <t>Meja Kerja Pejabat Eselon III</t>
        </is>
      </c>
      <c r="C254" s="592" t="n"/>
      <c r="D254" s="26" t="inlineStr">
        <is>
          <t>ZETTA / MT 201 / Esselon III</t>
        </is>
      </c>
      <c r="E254" s="12" t="n"/>
      <c r="F254" s="12" t="n"/>
      <c r="G254" s="9" t="inlineStr">
        <is>
          <t>Kayu Pertikel</t>
        </is>
      </c>
      <c r="H254" s="9" t="n">
        <v>2017</v>
      </c>
      <c r="I254" s="9" t="inlineStr">
        <is>
          <t>02.06.04.01.005</t>
        </is>
      </c>
      <c r="J254" s="11" t="inlineStr">
        <is>
          <t>0005</t>
        </is>
      </c>
      <c r="K254" s="172" t="n">
        <v>2284351</v>
      </c>
      <c r="L254" s="9" t="inlineStr">
        <is>
          <t>Baik</t>
        </is>
      </c>
      <c r="M254" s="12" t="n"/>
      <c r="N254" s="12" t="n"/>
      <c r="O254" s="26" t="inlineStr">
        <is>
          <t>Kabid Politik</t>
        </is>
      </c>
      <c r="P254" s="214" t="n"/>
      <c r="Q254" s="217">
        <f>B254</f>
        <v/>
      </c>
      <c r="R254" s="217" t="n"/>
      <c r="S254" s="218">
        <f>H254</f>
        <v/>
      </c>
      <c r="T254" s="218">
        <f>J254</f>
        <v/>
      </c>
      <c r="U254" s="217" t="n"/>
      <c r="V254" s="218" t="n"/>
      <c r="W254" s="222" t="n"/>
      <c r="X254" s="88" t="n"/>
      <c r="Y254" s="88" t="n"/>
    </row>
    <row r="255" ht="47.25" customHeight="1" s="79">
      <c r="A255" s="47">
        <f>A254+1</f>
        <v/>
      </c>
      <c r="B255" s="567" t="inlineStr">
        <is>
          <t>Meja Kerja Pejabat Eselon III</t>
        </is>
      </c>
      <c r="C255" s="592" t="n"/>
      <c r="D255" s="10" t="inlineStr">
        <is>
          <t>ZETTA/MT-201 / Esselon III</t>
        </is>
      </c>
      <c r="E255" s="12" t="n"/>
      <c r="F255" s="12" t="n"/>
      <c r="G255" s="9" t="inlineStr">
        <is>
          <t>Kayu Partikel</t>
        </is>
      </c>
      <c r="H255" s="9" t="n">
        <v>2017</v>
      </c>
      <c r="I255" s="9" t="inlineStr">
        <is>
          <t>02.06.04.01.005</t>
        </is>
      </c>
      <c r="J255" s="11" t="inlineStr">
        <is>
          <t>0006</t>
        </is>
      </c>
      <c r="K255" s="89" t="n">
        <v>2284351</v>
      </c>
      <c r="L255" s="9" t="inlineStr">
        <is>
          <t>Baik</t>
        </is>
      </c>
      <c r="M255" s="12" t="n"/>
      <c r="N255" s="12" t="n"/>
      <c r="O255" s="50" t="inlineStr">
        <is>
          <t>Subbag Sunram</t>
        </is>
      </c>
      <c r="P255" s="214" t="n"/>
      <c r="Q255" s="217">
        <f>B255</f>
        <v/>
      </c>
      <c r="R255" s="217" t="n"/>
      <c r="S255" s="218">
        <f>H255</f>
        <v/>
      </c>
      <c r="T255" s="218">
        <f>J255</f>
        <v/>
      </c>
      <c r="U255" s="217" t="n"/>
      <c r="V255" s="218" t="n"/>
      <c r="W255" s="222" t="n"/>
      <c r="X255" s="88" t="n"/>
      <c r="Y255" s="88" t="n"/>
    </row>
    <row r="256" ht="31.5" customHeight="1" s="79">
      <c r="A256" s="47">
        <f>A255+1</f>
        <v/>
      </c>
      <c r="B256" s="567" t="inlineStr">
        <is>
          <t>Meja Kerja Pejabat Eselon III</t>
        </is>
      </c>
      <c r="C256" s="592" t="n"/>
      <c r="D256" s="26" t="inlineStr">
        <is>
          <t>ZETTA / MT2015</t>
        </is>
      </c>
      <c r="E256" s="12" t="n"/>
      <c r="F256" s="12" t="n"/>
      <c r="G256" s="9" t="n"/>
      <c r="H256" s="9" t="n">
        <v>2018</v>
      </c>
      <c r="I256" s="9" t="inlineStr">
        <is>
          <t>02.06.04.01.005</t>
        </is>
      </c>
      <c r="J256" s="11" t="inlineStr">
        <is>
          <t>0007</t>
        </is>
      </c>
      <c r="K256" s="172" t="n">
        <v>3433301</v>
      </c>
      <c r="L256" s="9" t="inlineStr">
        <is>
          <t>Baik</t>
        </is>
      </c>
      <c r="M256" s="12" t="n"/>
      <c r="N256" s="12" t="n"/>
      <c r="O256" s="10" t="inlineStr">
        <is>
          <t>Kabid Ideologi</t>
        </is>
      </c>
      <c r="P256" s="214" t="n"/>
      <c r="Q256" s="217">
        <f>B256</f>
        <v/>
      </c>
      <c r="R256" s="217" t="n"/>
      <c r="S256" s="218">
        <f>H256</f>
        <v/>
      </c>
      <c r="T256" s="218">
        <f>J256</f>
        <v/>
      </c>
      <c r="U256" s="217" t="n"/>
      <c r="V256" s="218" t="n"/>
      <c r="W256" s="222" t="n"/>
      <c r="X256" s="88" t="n"/>
      <c r="Y256" s="88" t="n"/>
    </row>
    <row r="257" ht="31.5" customHeight="1" s="79">
      <c r="A257" s="47">
        <f>A256+1</f>
        <v/>
      </c>
      <c r="B257" s="563" t="inlineStr">
        <is>
          <t>Meja Kerja Pejabat Eselon IV</t>
        </is>
      </c>
      <c r="C257" s="592" t="n"/>
      <c r="D257" s="40" t="inlineStr">
        <is>
          <t>Blue Shark/ Meja Kerja</t>
        </is>
      </c>
      <c r="E257" s="41" t="n"/>
      <c r="F257" s="41" t="n"/>
      <c r="G257" s="42" t="inlineStr">
        <is>
          <t>Kayu Pertikel</t>
        </is>
      </c>
      <c r="H257" s="43" t="n">
        <v>2008</v>
      </c>
      <c r="I257" s="43" t="inlineStr">
        <is>
          <t>02.06.04.01.006</t>
        </is>
      </c>
      <c r="J257" s="44" t="inlineStr">
        <is>
          <t>0002</t>
        </is>
      </c>
      <c r="K257" s="63" t="n">
        <v>372666.67</v>
      </c>
      <c r="L257" s="43" t="inlineStr">
        <is>
          <t>Baik</t>
        </is>
      </c>
      <c r="M257" s="41" t="n"/>
      <c r="N257" s="45" t="n"/>
      <c r="O257" s="109" t="inlineStr">
        <is>
          <t>Lutfi</t>
        </is>
      </c>
      <c r="P257" s="214" t="n"/>
      <c r="Q257" s="217">
        <f>B257</f>
        <v/>
      </c>
      <c r="R257" s="217" t="n"/>
      <c r="S257" s="218">
        <f>H257</f>
        <v/>
      </c>
      <c r="T257" s="218">
        <f>J257</f>
        <v/>
      </c>
      <c r="U257" s="217" t="n"/>
      <c r="V257" s="218" t="n"/>
      <c r="W257" s="222" t="n"/>
      <c r="X257" s="88" t="n"/>
      <c r="Y257" s="88" t="n"/>
    </row>
    <row r="258" ht="31.5" customHeight="1" s="79">
      <c r="A258" s="47">
        <f>A257+1</f>
        <v/>
      </c>
      <c r="B258" s="567" t="inlineStr">
        <is>
          <t>Meja Kerja Pejabat Eselon IV</t>
        </is>
      </c>
      <c r="C258" s="592" t="n"/>
      <c r="D258" s="26" t="inlineStr">
        <is>
          <t>SAGA / Meja Kerja</t>
        </is>
      </c>
      <c r="E258" s="32" t="n"/>
      <c r="F258" s="32" t="n"/>
      <c r="G258" s="30" t="inlineStr">
        <is>
          <t>Kayu Partikel</t>
        </is>
      </c>
      <c r="H258" s="9" t="n">
        <v>2009</v>
      </c>
      <c r="I258" s="9" t="inlineStr">
        <is>
          <t>02.06.04.01.006</t>
        </is>
      </c>
      <c r="J258" s="11" t="inlineStr">
        <is>
          <t>0016</t>
        </is>
      </c>
      <c r="K258" s="20" t="n">
        <v>400000</v>
      </c>
      <c r="L258" s="9" t="inlineStr">
        <is>
          <t>Baik</t>
        </is>
      </c>
      <c r="M258" s="32" t="n"/>
      <c r="N258" s="32" t="n"/>
      <c r="O258" s="26" t="inlineStr">
        <is>
          <t>Selasar/Selamat</t>
        </is>
      </c>
      <c r="P258" s="214" t="n"/>
      <c r="Q258" s="217">
        <f>B258</f>
        <v/>
      </c>
      <c r="R258" s="217" t="n"/>
      <c r="S258" s="218">
        <f>H258</f>
        <v/>
      </c>
      <c r="T258" s="218">
        <f>J258</f>
        <v/>
      </c>
      <c r="U258" s="217" t="n"/>
      <c r="V258" s="218" t="n"/>
      <c r="W258" s="222" t="n"/>
      <c r="X258" s="88" t="n"/>
      <c r="Y258" s="88" t="n"/>
    </row>
    <row r="259" ht="63" customHeight="1" s="79">
      <c r="A259" s="47">
        <f>A258+1</f>
        <v/>
      </c>
      <c r="B259" s="567" t="inlineStr">
        <is>
          <t>Meja Kerja Pejabat Eselon IV</t>
        </is>
      </c>
      <c r="C259" s="592" t="n"/>
      <c r="D259" s="26" t="inlineStr">
        <is>
          <t>Pro Design/Meja Kerja VPM 120</t>
        </is>
      </c>
      <c r="E259" s="32" t="n"/>
      <c r="F259" s="32" t="n"/>
      <c r="G259" s="9" t="inlineStr">
        <is>
          <t>Kayu Partikel</t>
        </is>
      </c>
      <c r="H259" s="9" t="n">
        <v>2010</v>
      </c>
      <c r="I259" s="9" t="inlineStr">
        <is>
          <t>02.06.04.01.006</t>
        </is>
      </c>
      <c r="J259" s="11" t="inlineStr">
        <is>
          <t>0021</t>
        </is>
      </c>
      <c r="K259" s="89" t="n">
        <v>593750</v>
      </c>
      <c r="L259" s="9" t="inlineStr">
        <is>
          <t>Baik</t>
        </is>
      </c>
      <c r="M259" s="32" t="n"/>
      <c r="N259" s="32" t="n"/>
      <c r="O259" s="26" t="inlineStr">
        <is>
          <t>Subbag Keuangan</t>
        </is>
      </c>
      <c r="P259" s="214" t="n"/>
      <c r="Q259" s="217">
        <f>B259</f>
        <v/>
      </c>
      <c r="R259" s="217" t="n"/>
      <c r="S259" s="218">
        <f>H259</f>
        <v/>
      </c>
      <c r="T259" s="218">
        <f>J259</f>
        <v/>
      </c>
      <c r="U259" s="217" t="n"/>
      <c r="V259" s="218" t="n"/>
      <c r="W259" s="222" t="n"/>
      <c r="X259" s="88" t="n"/>
      <c r="Y259" s="88" t="n"/>
    </row>
    <row r="260" ht="47.25" customHeight="1" s="79">
      <c r="A260" s="47">
        <f>A259+1</f>
        <v/>
      </c>
      <c r="B260" s="563" t="inlineStr">
        <is>
          <t>Meja Kerja Pejabat Eselon IV</t>
        </is>
      </c>
      <c r="C260" s="592" t="n"/>
      <c r="D260" s="40" t="inlineStr">
        <is>
          <t>SAGA OD 022/ Meja Kerja Staf</t>
        </is>
      </c>
      <c r="E260" s="41" t="n"/>
      <c r="F260" s="41" t="n"/>
      <c r="G260" s="42" t="inlineStr">
        <is>
          <t>Kayu Pertikel</t>
        </is>
      </c>
      <c r="H260" s="43" t="n">
        <v>2011</v>
      </c>
      <c r="I260" s="43" t="inlineStr">
        <is>
          <t>02.06.04.01.006</t>
        </is>
      </c>
      <c r="J260" s="44" t="inlineStr">
        <is>
          <t>0022</t>
        </is>
      </c>
      <c r="K260" s="63" t="n">
        <v>485000</v>
      </c>
      <c r="L260" s="43" t="inlineStr">
        <is>
          <t>Baik</t>
        </is>
      </c>
      <c r="M260" s="41" t="n"/>
      <c r="N260" s="45" t="n"/>
      <c r="O260" s="109" t="inlineStr">
        <is>
          <t>Ibu Sanah</t>
        </is>
      </c>
      <c r="P260" s="214" t="n"/>
      <c r="Q260" s="217">
        <f>B260</f>
        <v/>
      </c>
      <c r="R260" s="217" t="n"/>
      <c r="S260" s="218">
        <f>H260</f>
        <v/>
      </c>
      <c r="T260" s="218">
        <f>J260</f>
        <v/>
      </c>
      <c r="U260" s="217" t="n"/>
      <c r="V260" s="218" t="n"/>
      <c r="W260" s="222" t="n"/>
      <c r="X260" s="88" t="n"/>
      <c r="Y260" s="88" t="n"/>
    </row>
    <row r="261" ht="18" customHeight="1" s="79">
      <c r="K261" s="234">
        <f>SUM(K246:K260)</f>
        <v/>
      </c>
      <c r="P261" s="214" t="n"/>
      <c r="Q261" s="217">
        <f>B273</f>
        <v/>
      </c>
      <c r="R261" s="217" t="n"/>
      <c r="S261" s="218">
        <f>H273</f>
        <v/>
      </c>
      <c r="T261" s="218">
        <f>J273</f>
        <v/>
      </c>
      <c r="U261" s="217" t="n"/>
      <c r="V261" s="218" t="n"/>
      <c r="W261" s="222" t="n"/>
      <c r="X261" s="88" t="n"/>
      <c r="Y261" s="88" t="n"/>
    </row>
    <row r="262" ht="18" customHeight="1" s="79">
      <c r="P262" s="214" t="n"/>
      <c r="Q262" s="217">
        <f>B274</f>
        <v/>
      </c>
      <c r="R262" s="217" t="n"/>
      <c r="S262" s="218">
        <f>H274</f>
        <v/>
      </c>
      <c r="T262" s="218">
        <f>J274</f>
        <v/>
      </c>
      <c r="U262" s="217" t="n"/>
      <c r="V262" s="218" t="n"/>
      <c r="W262" s="222" t="n"/>
      <c r="X262" s="88" t="n"/>
      <c r="Y262" s="88" t="n"/>
    </row>
    <row r="263" ht="18" customHeight="1" s="79">
      <c r="P263" s="214" t="n"/>
      <c r="Q263" s="217">
        <f>B275</f>
        <v/>
      </c>
      <c r="R263" s="217" t="n"/>
      <c r="S263" s="218">
        <f>H275</f>
        <v/>
      </c>
      <c r="T263" s="218">
        <f>J275</f>
        <v/>
      </c>
      <c r="U263" s="217" t="n"/>
      <c r="V263" s="218" t="n"/>
      <c r="W263" s="222" t="n"/>
      <c r="X263" s="88" t="n"/>
      <c r="Y263" s="88" t="n"/>
    </row>
    <row r="264" ht="62.25" customHeight="1" s="79">
      <c r="P264" s="214" t="n"/>
      <c r="Q264" s="217">
        <f>B276</f>
        <v/>
      </c>
      <c r="R264" s="217" t="n"/>
      <c r="S264" s="218">
        <f>H276</f>
        <v/>
      </c>
      <c r="T264" s="218">
        <f>J276</f>
        <v/>
      </c>
      <c r="U264" s="217" t="n"/>
      <c r="V264" s="218" t="n"/>
      <c r="W264" s="222" t="n"/>
      <c r="X264" s="88" t="n"/>
      <c r="Y264" s="88" t="n"/>
    </row>
    <row r="265" ht="15.75" customHeight="1" s="79">
      <c r="A265" s="157" t="n"/>
      <c r="B265" s="123" t="n"/>
      <c r="C265" s="123" t="n"/>
      <c r="D265" s="159" t="n"/>
      <c r="E265" s="125" t="n"/>
      <c r="F265" s="125" t="n"/>
      <c r="G265" s="160" t="n"/>
      <c r="H265" s="94" t="n"/>
      <c r="I265" s="94" t="n"/>
      <c r="J265" s="126" t="n"/>
      <c r="K265" s="134" t="n"/>
      <c r="L265" s="94" t="n"/>
      <c r="M265" s="125" t="n"/>
      <c r="N265" s="196" t="n"/>
      <c r="O265" s="197" t="n"/>
      <c r="P265" s="214" t="n"/>
      <c r="Q265" s="217">
        <f>B265</f>
        <v/>
      </c>
      <c r="R265" s="217" t="n"/>
      <c r="S265" s="218">
        <f>H265</f>
        <v/>
      </c>
      <c r="T265" s="218">
        <f>J265</f>
        <v/>
      </c>
      <c r="U265" s="217" t="n"/>
      <c r="V265" s="218" t="n"/>
      <c r="W265" s="222" t="n"/>
      <c r="X265" s="88" t="n"/>
      <c r="Y265" s="88" t="n"/>
    </row>
    <row r="266" ht="15.75" customHeight="1" s="79">
      <c r="A266" s="157" t="n"/>
      <c r="B266" s="123" t="n"/>
      <c r="C266" s="123" t="n"/>
      <c r="D266" s="159" t="n"/>
      <c r="E266" s="125" t="n"/>
      <c r="F266" s="125" t="n"/>
      <c r="G266" s="160" t="n"/>
      <c r="H266" s="94" t="n"/>
      <c r="I266" s="94" t="n"/>
      <c r="J266" s="126" t="n"/>
      <c r="K266" s="134" t="n"/>
      <c r="L266" s="94" t="n"/>
      <c r="M266" s="125" t="n"/>
      <c r="N266" s="196" t="n"/>
      <c r="O266" s="197" t="n"/>
      <c r="P266" s="214" t="n"/>
      <c r="Q266" s="217" t="n"/>
      <c r="R266" s="217" t="n"/>
      <c r="S266" s="218" t="n"/>
      <c r="T266" s="218" t="n"/>
      <c r="U266" s="217" t="n"/>
      <c r="V266" s="218" t="n"/>
      <c r="W266" s="222" t="n"/>
      <c r="X266" s="88" t="n"/>
      <c r="Y266" s="88" t="n"/>
    </row>
    <row r="267" ht="15.75" customHeight="1" s="79">
      <c r="A267" s="157" t="n"/>
      <c r="B267" s="123" t="n"/>
      <c r="C267" s="123" t="n"/>
      <c r="D267" s="159" t="n"/>
      <c r="E267" s="125" t="n"/>
      <c r="F267" s="125" t="n"/>
      <c r="G267" s="160" t="n"/>
      <c r="H267" s="94" t="n"/>
      <c r="I267" s="94" t="n"/>
      <c r="J267" s="126" t="n"/>
      <c r="K267" s="134" t="n"/>
      <c r="L267" s="94" t="n"/>
      <c r="M267" s="125" t="n"/>
      <c r="N267" s="196" t="n"/>
      <c r="O267" s="197" t="n"/>
      <c r="P267" s="214" t="n"/>
      <c r="Q267" s="217">
        <f>B267</f>
        <v/>
      </c>
      <c r="R267" s="217" t="n"/>
      <c r="S267" s="218">
        <f>H267</f>
        <v/>
      </c>
      <c r="T267" s="218">
        <f>J267</f>
        <v/>
      </c>
      <c r="U267" s="217" t="n"/>
      <c r="V267" s="218" t="n"/>
      <c r="W267" s="222" t="n"/>
      <c r="X267" s="88" t="n"/>
      <c r="Y267" s="88" t="n"/>
    </row>
    <row r="268" ht="15.75" customHeight="1" s="79">
      <c r="A268" s="186" t="n"/>
      <c r="B268" s="135" t="n"/>
      <c r="C268" s="135" t="n"/>
      <c r="D268" s="191" t="n"/>
      <c r="E268" s="137" t="n"/>
      <c r="F268" s="137" t="n"/>
      <c r="G268" s="198" t="n"/>
      <c r="H268" s="138" t="n"/>
      <c r="I268" s="138" t="n"/>
      <c r="J268" s="139" t="n"/>
      <c r="K268" s="140" t="n"/>
      <c r="L268" s="138" t="n"/>
      <c r="M268" s="137" t="n"/>
      <c r="N268" s="199" t="n"/>
      <c r="O268" s="200" t="n"/>
      <c r="P268" s="214" t="n"/>
      <c r="Q268" s="217">
        <f>B268</f>
        <v/>
      </c>
      <c r="R268" s="217" t="n"/>
      <c r="S268" s="218">
        <f>H268</f>
        <v/>
      </c>
      <c r="T268" s="218">
        <f>J268</f>
        <v/>
      </c>
      <c r="U268" s="217" t="n"/>
      <c r="V268" s="218" t="n"/>
      <c r="W268" s="222" t="n"/>
      <c r="X268" s="88" t="n"/>
      <c r="Y268" s="88" t="n"/>
    </row>
    <row r="269" ht="15.75" customHeight="1" s="79">
      <c r="A269" s="538" t="inlineStr">
        <is>
          <t>No.</t>
        </is>
      </c>
      <c r="B269" s="538" t="inlineStr">
        <is>
          <t>Nama Barang</t>
        </is>
      </c>
      <c r="C269" s="589" t="n"/>
      <c r="D269" s="538" t="inlineStr">
        <is>
          <t>Merk/</t>
        </is>
      </c>
      <c r="E269" s="538" t="inlineStr">
        <is>
          <t>No. Seri</t>
        </is>
      </c>
      <c r="F269" s="655" t="inlineStr">
        <is>
          <t>Ukuran</t>
        </is>
      </c>
      <c r="G269" s="655" t="inlineStr">
        <is>
          <t>Bahan</t>
        </is>
      </c>
      <c r="H269" s="538" t="inlineStr">
        <is>
          <t xml:space="preserve">Tahun </t>
        </is>
      </c>
      <c r="I269" s="538" t="n"/>
      <c r="J269" s="538" t="inlineStr">
        <is>
          <t xml:space="preserve">Jumlah </t>
        </is>
      </c>
      <c r="K269" s="538" t="inlineStr">
        <is>
          <t xml:space="preserve">Harga </t>
        </is>
      </c>
      <c r="L269" s="544" t="inlineStr">
        <is>
          <t xml:space="preserve">Keadaan Barang </t>
        </is>
      </c>
      <c r="M269" s="591" t="n"/>
      <c r="N269" s="592" t="n"/>
      <c r="O269" s="538" t="inlineStr">
        <is>
          <t>Keterangan</t>
        </is>
      </c>
      <c r="P269" s="214" t="n"/>
      <c r="Q269" s="217">
        <f>B269</f>
        <v/>
      </c>
      <c r="R269" s="217" t="n"/>
      <c r="S269" s="218">
        <f>H269</f>
        <v/>
      </c>
      <c r="T269" s="218">
        <f>J269</f>
        <v/>
      </c>
      <c r="U269" s="217" t="n"/>
      <c r="V269" s="218" t="n"/>
      <c r="W269" s="222" t="n"/>
      <c r="X269" s="88" t="n"/>
      <c r="Y269" s="88" t="n"/>
    </row>
    <row r="270" ht="18" customHeight="1" s="79">
      <c r="A270" s="543" t="inlineStr">
        <is>
          <t>Urut</t>
        </is>
      </c>
      <c r="B270" s="543" t="inlineStr">
        <is>
          <t>Jenis Barang</t>
        </is>
      </c>
      <c r="C270" s="593" t="n"/>
      <c r="D270" s="543" t="inlineStr">
        <is>
          <t>Model</t>
        </is>
      </c>
      <c r="E270" s="543" t="inlineStr">
        <is>
          <t>Pabrik</t>
        </is>
      </c>
      <c r="F270" s="594" t="n"/>
      <c r="G270" s="594" t="n"/>
      <c r="H270" s="104" t="inlineStr">
        <is>
          <t>Pembuatan</t>
        </is>
      </c>
      <c r="I270" s="104" t="inlineStr">
        <is>
          <t xml:space="preserve">No/. Kode Barang </t>
        </is>
      </c>
      <c r="J270" s="104" t="inlineStr">
        <is>
          <t>Barang</t>
        </is>
      </c>
      <c r="K270" s="104" t="inlineStr">
        <is>
          <t>Beli/</t>
        </is>
      </c>
      <c r="L270" s="104" t="inlineStr">
        <is>
          <t>Baik</t>
        </is>
      </c>
      <c r="M270" s="104" t="inlineStr">
        <is>
          <t>Kurang Baik</t>
        </is>
      </c>
      <c r="N270" s="104" t="inlineStr">
        <is>
          <t>Rusak Berat</t>
        </is>
      </c>
      <c r="O270" s="540" t="inlineStr">
        <is>
          <t>Mutasi dll</t>
        </is>
      </c>
      <c r="P270" s="214" t="n"/>
      <c r="Q270" s="217">
        <f>B270</f>
        <v/>
      </c>
      <c r="R270" s="217" t="n"/>
      <c r="S270" s="218">
        <f>H270</f>
        <v/>
      </c>
      <c r="T270" s="218">
        <f>J270</f>
        <v/>
      </c>
      <c r="U270" s="217" t="n"/>
      <c r="V270" s="218" t="n"/>
      <c r="W270" s="222" t="n"/>
      <c r="X270" s="88" t="n"/>
      <c r="Y270" s="88" t="n"/>
    </row>
    <row r="271" ht="18" customHeight="1" s="79">
      <c r="A271" s="595" t="n"/>
      <c r="B271" s="596" t="n"/>
      <c r="C271" s="597" t="n"/>
      <c r="D271" s="595" t="n"/>
      <c r="E271" s="595" t="n"/>
      <c r="F271" s="595" t="n"/>
      <c r="G271" s="595" t="n"/>
      <c r="H271" s="105" t="inlineStr">
        <is>
          <t>Atau Pembelian</t>
        </is>
      </c>
      <c r="I271" s="105" t="n"/>
      <c r="J271" s="105" t="inlineStr">
        <is>
          <t>Register x)</t>
        </is>
      </c>
      <c r="K271" s="105" t="inlineStr">
        <is>
          <t>Perolehan</t>
        </is>
      </c>
      <c r="L271" s="105" t="inlineStr">
        <is>
          <t>(B)</t>
        </is>
      </c>
      <c r="M271" s="105" t="inlineStr">
        <is>
          <t>(KB)</t>
        </is>
      </c>
      <c r="N271" s="105" t="inlineStr">
        <is>
          <t>(RB)</t>
        </is>
      </c>
      <c r="O271" s="595" t="n"/>
      <c r="P271" s="214" t="n"/>
      <c r="Q271" s="217">
        <f>B271</f>
        <v/>
      </c>
      <c r="R271" s="217" t="n"/>
      <c r="S271" s="218">
        <f>H271</f>
        <v/>
      </c>
      <c r="T271" s="218">
        <f>J271</f>
        <v/>
      </c>
      <c r="U271" s="217" t="n"/>
      <c r="V271" s="218" t="n"/>
      <c r="W271" s="222" t="n"/>
      <c r="X271" s="88" t="n"/>
      <c r="Y271" s="88" t="n"/>
    </row>
    <row r="272" ht="18" customHeight="1" s="79">
      <c r="A272" s="47" t="n">
        <v>1</v>
      </c>
      <c r="B272" s="47" t="n">
        <v>2</v>
      </c>
      <c r="C272" s="592" t="n"/>
      <c r="D272" s="539" t="n">
        <v>3</v>
      </c>
      <c r="E272" s="539" t="n">
        <v>4</v>
      </c>
      <c r="F272" s="542" t="n">
        <v>5</v>
      </c>
      <c r="G272" s="542" t="n">
        <v>6</v>
      </c>
      <c r="H272" s="104" t="n">
        <v>7</v>
      </c>
      <c r="I272" s="104" t="n">
        <v>8</v>
      </c>
      <c r="J272" s="104" t="n">
        <v>9</v>
      </c>
      <c r="K272" s="104" t="n">
        <v>10</v>
      </c>
      <c r="L272" s="104" t="n">
        <v>11</v>
      </c>
      <c r="M272" s="104" t="n">
        <v>12</v>
      </c>
      <c r="N272" s="104" t="n">
        <v>13</v>
      </c>
      <c r="O272" s="539" t="n">
        <v>14</v>
      </c>
      <c r="P272" s="214" t="n"/>
      <c r="Q272" s="217">
        <f>B272</f>
        <v/>
      </c>
      <c r="R272" s="217" t="n"/>
      <c r="S272" s="218">
        <f>H272</f>
        <v/>
      </c>
      <c r="T272" s="218">
        <f>J272</f>
        <v/>
      </c>
      <c r="U272" s="217" t="n"/>
      <c r="V272" s="218" t="n"/>
      <c r="W272" s="222" t="n"/>
      <c r="X272" s="88" t="n"/>
      <c r="Y272" s="88" t="n"/>
    </row>
    <row r="273" ht="47.25" customHeight="1" s="79">
      <c r="A273" s="47">
        <f>A260+1</f>
        <v/>
      </c>
      <c r="B273" s="563" t="inlineStr">
        <is>
          <t>Meja Kerja Pejabat Eselon IV</t>
        </is>
      </c>
      <c r="C273" s="592" t="n"/>
      <c r="D273" s="40" t="inlineStr">
        <is>
          <t>Solid MTS-2805/ Meja Kerja Staf</t>
        </is>
      </c>
      <c r="E273" s="41" t="n"/>
      <c r="F273" s="41" t="n"/>
      <c r="G273" s="42" t="inlineStr">
        <is>
          <t>Kayu Pertikel</t>
        </is>
      </c>
      <c r="H273" s="43" t="n">
        <v>2010</v>
      </c>
      <c r="I273" s="43" t="inlineStr">
        <is>
          <t>02.06.04.01.006</t>
        </is>
      </c>
      <c r="J273" s="44" t="inlineStr">
        <is>
          <t>0025</t>
        </is>
      </c>
      <c r="K273" s="63" t="n">
        <v>485000</v>
      </c>
      <c r="L273" s="43" t="inlineStr">
        <is>
          <t>Baik</t>
        </is>
      </c>
      <c r="M273" s="41" t="n"/>
      <c r="N273" s="45" t="n"/>
      <c r="O273" s="109" t="inlineStr">
        <is>
          <t>Arief</t>
        </is>
      </c>
      <c r="P273" s="214" t="n"/>
      <c r="Q273" s="217" t="n"/>
      <c r="R273" s="217" t="n"/>
      <c r="S273" s="218" t="n"/>
      <c r="T273" s="218" t="n"/>
      <c r="U273" s="217" t="n"/>
      <c r="V273" s="218" t="n"/>
      <c r="W273" s="222" t="n"/>
      <c r="X273" s="88" t="n"/>
      <c r="Y273" s="88" t="n"/>
    </row>
    <row r="274" ht="47.25" customHeight="1" s="79">
      <c r="A274" s="47">
        <f>A273+1</f>
        <v/>
      </c>
      <c r="B274" s="567" t="inlineStr">
        <is>
          <t>Meja Kerja Pejabat Eselon IV</t>
        </is>
      </c>
      <c r="C274" s="592" t="n"/>
      <c r="D274" s="26" t="inlineStr">
        <is>
          <t>Active / Meja Kerja Staf</t>
        </is>
      </c>
      <c r="E274" s="12" t="n"/>
      <c r="F274" s="12" t="n"/>
      <c r="G274" s="9" t="inlineStr">
        <is>
          <t>Kayu Partike;</t>
        </is>
      </c>
      <c r="H274" s="9" t="n">
        <v>2008</v>
      </c>
      <c r="I274" s="9" t="inlineStr">
        <is>
          <t>02.06.04.01.006</t>
        </is>
      </c>
      <c r="J274" s="11" t="inlineStr">
        <is>
          <t>0030</t>
        </is>
      </c>
      <c r="K274" s="172" t="n">
        <v>562500</v>
      </c>
      <c r="L274" s="9" t="inlineStr">
        <is>
          <t>Baik</t>
        </is>
      </c>
      <c r="M274" s="12" t="n"/>
      <c r="N274" s="12" t="n"/>
      <c r="O274" s="26" t="inlineStr">
        <is>
          <t>Kabid Ideologi</t>
        </is>
      </c>
      <c r="P274" s="214" t="n"/>
      <c r="Q274" s="217" t="n"/>
      <c r="R274" s="217" t="n"/>
      <c r="S274" s="218" t="n"/>
      <c r="T274" s="218" t="n"/>
      <c r="U274" s="217" t="n"/>
      <c r="V274" s="218" t="n"/>
      <c r="W274" s="222" t="n"/>
      <c r="X274" s="88" t="n"/>
      <c r="Y274" s="88" t="n"/>
    </row>
    <row r="275" ht="47.25" customHeight="1" s="79">
      <c r="A275" s="47">
        <f>A274+1</f>
        <v/>
      </c>
      <c r="B275" s="563" t="inlineStr">
        <is>
          <t>Meja Kerja Pejabat Eselon IV</t>
        </is>
      </c>
      <c r="C275" s="592" t="n"/>
      <c r="D275" s="40" t="inlineStr">
        <is>
          <t>General/ Meja Kerja Staf</t>
        </is>
      </c>
      <c r="E275" s="41" t="n"/>
      <c r="F275" s="41" t="n"/>
      <c r="G275" s="42" t="inlineStr">
        <is>
          <t>Kayu Pertikel</t>
        </is>
      </c>
      <c r="H275" s="43" t="n">
        <v>2010</v>
      </c>
      <c r="I275" s="43" t="inlineStr">
        <is>
          <t>02.06.04.01.006</t>
        </is>
      </c>
      <c r="J275" s="44" t="inlineStr">
        <is>
          <t>0031</t>
        </is>
      </c>
      <c r="K275" s="63" t="n">
        <v>275000</v>
      </c>
      <c r="L275" s="43" t="inlineStr">
        <is>
          <t>Baik</t>
        </is>
      </c>
      <c r="M275" s="41" t="n"/>
      <c r="N275" s="45" t="n"/>
      <c r="O275" s="109" t="inlineStr">
        <is>
          <t>Arin</t>
        </is>
      </c>
      <c r="P275" s="214" t="n"/>
      <c r="Q275" s="217" t="n"/>
      <c r="R275" s="217" t="n"/>
      <c r="S275" s="218" t="n"/>
      <c r="T275" s="218" t="n"/>
      <c r="U275" s="217" t="n"/>
      <c r="V275" s="218" t="n"/>
      <c r="W275" s="222" t="n"/>
      <c r="X275" s="88" t="n"/>
      <c r="Y275" s="88" t="n"/>
    </row>
    <row r="276" ht="63" customHeight="1" s="79">
      <c r="A276" s="47">
        <f>A275+1</f>
        <v/>
      </c>
      <c r="B276" s="563" t="inlineStr">
        <is>
          <t>Meja Kerja Pejabat Eselon IV</t>
        </is>
      </c>
      <c r="C276" s="592" t="n"/>
      <c r="D276" s="40" t="inlineStr">
        <is>
          <t>ZETTA MT201/ Meja Kerja Staf</t>
        </is>
      </c>
      <c r="E276" s="41" t="n"/>
      <c r="F276" s="41" t="n"/>
      <c r="G276" s="42" t="inlineStr">
        <is>
          <t>Kayu Pertikel</t>
        </is>
      </c>
      <c r="H276" s="43" t="n">
        <v>2016</v>
      </c>
      <c r="I276" s="43" t="inlineStr">
        <is>
          <t>02.06.04.01.006</t>
        </is>
      </c>
      <c r="J276" s="44" t="inlineStr">
        <is>
          <t>0032</t>
        </is>
      </c>
      <c r="K276" s="63" t="n">
        <v>2282609</v>
      </c>
      <c r="L276" s="43" t="inlineStr">
        <is>
          <t>Baik</t>
        </is>
      </c>
      <c r="M276" s="41" t="n"/>
      <c r="N276" s="45" t="n"/>
      <c r="O276" s="109" t="inlineStr">
        <is>
          <t>Riyan</t>
        </is>
      </c>
      <c r="P276" s="214" t="n"/>
      <c r="Q276" s="217" t="n"/>
      <c r="R276" s="217" t="n"/>
      <c r="S276" s="218" t="n"/>
      <c r="T276" s="218" t="n"/>
      <c r="U276" s="217" t="n"/>
      <c r="V276" s="218" t="n"/>
      <c r="W276" s="222" t="n"/>
      <c r="X276" s="88" t="n"/>
      <c r="Y276" s="88" t="n"/>
    </row>
    <row r="277" ht="63" customHeight="1" s="79">
      <c r="A277" s="47">
        <f>A276+1</f>
        <v/>
      </c>
      <c r="B277" s="563" t="inlineStr">
        <is>
          <t>Meja Kerja Pejabat Eselon IV</t>
        </is>
      </c>
      <c r="C277" s="592" t="n"/>
      <c r="D277" s="40" t="inlineStr">
        <is>
          <t>ZETTA MT201/ Meja Kerja Staf</t>
        </is>
      </c>
      <c r="E277" s="41" t="n"/>
      <c r="F277" s="41" t="n"/>
      <c r="G277" s="42" t="inlineStr">
        <is>
          <t>Kayu Pertikel</t>
        </is>
      </c>
      <c r="H277" s="43" t="n">
        <v>2016</v>
      </c>
      <c r="I277" s="43" t="inlineStr">
        <is>
          <t>02.06.04.01.006</t>
        </is>
      </c>
      <c r="J277" s="44" t="inlineStr">
        <is>
          <t>0033</t>
        </is>
      </c>
      <c r="K277" s="63" t="n">
        <v>2282609</v>
      </c>
      <c r="L277" s="43" t="inlineStr">
        <is>
          <t>Baik</t>
        </is>
      </c>
      <c r="M277" s="41" t="n"/>
      <c r="N277" s="45" t="n"/>
      <c r="O277" s="109" t="inlineStr">
        <is>
          <t>Baitie</t>
        </is>
      </c>
      <c r="P277" s="214" t="n"/>
      <c r="Q277" s="217" t="n"/>
      <c r="R277" s="217" t="n"/>
      <c r="S277" s="218" t="n"/>
      <c r="T277" s="218" t="n"/>
      <c r="U277" s="217" t="n"/>
      <c r="V277" s="218" t="n"/>
      <c r="W277" s="222" t="n"/>
      <c r="X277" s="88" t="n"/>
      <c r="Y277" s="88" t="n"/>
    </row>
    <row r="278" ht="62.25" customHeight="1" s="79">
      <c r="A278" s="47">
        <f>A277+1</f>
        <v/>
      </c>
      <c r="B278" s="563" t="inlineStr">
        <is>
          <t>Meja Kerja Pejabat Eselon IV</t>
        </is>
      </c>
      <c r="C278" s="592" t="n"/>
      <c r="D278" s="40" t="inlineStr">
        <is>
          <t>ZETTA MT201/ Meja Kerja Staf</t>
        </is>
      </c>
      <c r="E278" s="41" t="n"/>
      <c r="F278" s="41" t="n"/>
      <c r="G278" s="42" t="inlineStr">
        <is>
          <t>Kayu Pertikel</t>
        </is>
      </c>
      <c r="H278" s="43" t="n">
        <v>2017</v>
      </c>
      <c r="I278" s="43" t="inlineStr">
        <is>
          <t>02.06.04.01.006</t>
        </is>
      </c>
      <c r="J278" s="44" t="inlineStr">
        <is>
          <t>0034</t>
        </is>
      </c>
      <c r="K278" s="63" t="n">
        <v>2284351</v>
      </c>
      <c r="L278" s="43" t="inlineStr">
        <is>
          <t>Baik</t>
        </is>
      </c>
      <c r="M278" s="41" t="n"/>
      <c r="N278" s="45" t="n"/>
      <c r="O278" s="109" t="inlineStr">
        <is>
          <t>Rini</t>
        </is>
      </c>
      <c r="P278" s="214" t="n"/>
      <c r="Q278" s="217">
        <f>B278</f>
        <v/>
      </c>
      <c r="R278" s="217" t="n"/>
      <c r="S278" s="218">
        <f>H278</f>
        <v/>
      </c>
      <c r="T278" s="218">
        <f>J278</f>
        <v/>
      </c>
      <c r="U278" s="217" t="n"/>
      <c r="V278" s="218" t="n"/>
      <c r="W278" s="222" t="n"/>
      <c r="X278" s="88" t="n"/>
      <c r="Y278" s="88" t="n"/>
    </row>
    <row r="279" ht="62.25" customHeight="1" s="79">
      <c r="A279" s="47">
        <f>A278+1</f>
        <v/>
      </c>
      <c r="B279" s="563" t="inlineStr">
        <is>
          <t>Meja Kerja Pejabat Eselon IV</t>
        </is>
      </c>
      <c r="C279" s="592" t="n"/>
      <c r="D279" s="40" t="inlineStr">
        <is>
          <t>SAGA MTB 120/ Meja Kerja Staf</t>
        </is>
      </c>
      <c r="E279" s="41" t="n"/>
      <c r="F279" s="41" t="n"/>
      <c r="G279" s="42" t="n"/>
      <c r="H279" s="43" t="n">
        <v>2017</v>
      </c>
      <c r="I279" s="43" t="inlineStr">
        <is>
          <t>02.06.04.01.006</t>
        </is>
      </c>
      <c r="J279" s="44" t="inlineStr">
        <is>
          <t>0035</t>
        </is>
      </c>
      <c r="K279" s="63" t="n">
        <v>1116794</v>
      </c>
      <c r="L279" s="43" t="inlineStr">
        <is>
          <t>Baik</t>
        </is>
      </c>
      <c r="M279" s="41" t="n"/>
      <c r="N279" s="45" t="n"/>
      <c r="O279" s="109" t="inlineStr">
        <is>
          <t>Olip</t>
        </is>
      </c>
      <c r="P279" s="214" t="n"/>
      <c r="Q279" s="217">
        <f>B279</f>
        <v/>
      </c>
      <c r="R279" s="217" t="n"/>
      <c r="S279" s="218">
        <f>H279</f>
        <v/>
      </c>
      <c r="T279" s="218">
        <f>J279</f>
        <v/>
      </c>
      <c r="U279" s="217" t="n"/>
      <c r="V279" s="218" t="n"/>
      <c r="W279" s="222" t="n"/>
      <c r="X279" s="88" t="n"/>
      <c r="Y279" s="88" t="n"/>
    </row>
    <row r="280" ht="48.75" customHeight="1" s="79">
      <c r="A280" s="47">
        <f>A279+1</f>
        <v/>
      </c>
      <c r="B280" s="563" t="inlineStr">
        <is>
          <t>Meja Kerja Pejabat Eselon IV</t>
        </is>
      </c>
      <c r="C280" s="592" t="n"/>
      <c r="D280" s="40" t="inlineStr">
        <is>
          <t>SAGA MTB 120/ Meja Kerja Staf</t>
        </is>
      </c>
      <c r="E280" s="41" t="n"/>
      <c r="F280" s="41" t="n"/>
      <c r="G280" s="42" t="n"/>
      <c r="H280" s="43" t="n">
        <v>2017</v>
      </c>
      <c r="I280" s="43" t="inlineStr">
        <is>
          <t>02.06.04.01.006</t>
        </is>
      </c>
      <c r="J280" s="44" t="inlineStr">
        <is>
          <t>0036</t>
        </is>
      </c>
      <c r="K280" s="63" t="n">
        <v>1116794</v>
      </c>
      <c r="L280" s="43" t="inlineStr">
        <is>
          <t>Baik</t>
        </is>
      </c>
      <c r="M280" s="41" t="n"/>
      <c r="N280" s="45" t="n"/>
      <c r="O280" s="109" t="inlineStr">
        <is>
          <t>Bu Yani</t>
        </is>
      </c>
      <c r="P280" s="214" t="n"/>
      <c r="Q280" s="217">
        <f>B280</f>
        <v/>
      </c>
      <c r="R280" s="217" t="n"/>
      <c r="S280" s="218">
        <f>H280</f>
        <v/>
      </c>
      <c r="T280" s="218">
        <f>J280</f>
        <v/>
      </c>
      <c r="U280" s="217" t="n"/>
      <c r="V280" s="218" t="n"/>
      <c r="W280" s="222" t="n"/>
      <c r="X280" s="88" t="n"/>
      <c r="Y280" s="88" t="n"/>
    </row>
    <row r="281" ht="32.25" customHeight="1" s="79">
      <c r="A281" s="47">
        <f>A280+1</f>
        <v/>
      </c>
      <c r="B281" s="563" t="inlineStr">
        <is>
          <t>Meja Kerja Pejabat Eselon IV</t>
        </is>
      </c>
      <c r="C281" s="592" t="n"/>
      <c r="D281" s="40" t="inlineStr">
        <is>
          <t>ZETTA /MT201</t>
        </is>
      </c>
      <c r="E281" s="41" t="n"/>
      <c r="F281" s="41" t="n"/>
      <c r="G281" s="42" t="n"/>
      <c r="H281" s="43" t="n">
        <v>2018</v>
      </c>
      <c r="I281" s="43" t="inlineStr">
        <is>
          <t>02.06.04.01.006</t>
        </is>
      </c>
      <c r="J281" s="44" t="inlineStr">
        <is>
          <t>0037</t>
        </is>
      </c>
      <c r="K281" s="63" t="n">
        <v>2019589</v>
      </c>
      <c r="L281" s="43" t="inlineStr">
        <is>
          <t>Baik</t>
        </is>
      </c>
      <c r="M281" s="41" t="n"/>
      <c r="N281" s="45" t="n"/>
      <c r="O281" s="109" t="inlineStr">
        <is>
          <t>Adit</t>
        </is>
      </c>
      <c r="P281" s="214" t="n"/>
      <c r="Q281" s="217">
        <f>B281</f>
        <v/>
      </c>
      <c r="R281" s="217" t="n"/>
      <c r="S281" s="218">
        <f>H281</f>
        <v/>
      </c>
      <c r="T281" s="218">
        <f>J281</f>
        <v/>
      </c>
      <c r="U281" s="217" t="n"/>
      <c r="V281" s="218" t="n"/>
      <c r="W281" s="222" t="n"/>
      <c r="X281" s="88" t="n"/>
      <c r="Y281" s="88" t="n"/>
    </row>
    <row r="282" ht="32.25" customHeight="1" s="79">
      <c r="A282" s="47">
        <f>A281+1</f>
        <v/>
      </c>
      <c r="B282" s="563" t="inlineStr">
        <is>
          <t>Meja Kerja Pejabat Eselon IV</t>
        </is>
      </c>
      <c r="C282" s="592" t="n"/>
      <c r="D282" s="40" t="inlineStr">
        <is>
          <t>ZETTA /MT201</t>
        </is>
      </c>
      <c r="E282" s="41" t="n"/>
      <c r="F282" s="41" t="n"/>
      <c r="G282" s="42" t="n"/>
      <c r="H282" s="43" t="n">
        <v>2018</v>
      </c>
      <c r="I282" s="43" t="inlineStr">
        <is>
          <t>02.06.04.01.006</t>
        </is>
      </c>
      <c r="J282" s="44" t="inlineStr">
        <is>
          <t>0038</t>
        </is>
      </c>
      <c r="K282" s="63" t="n">
        <v>2019589</v>
      </c>
      <c r="L282" s="43" t="inlineStr">
        <is>
          <t>Baik</t>
        </is>
      </c>
      <c r="M282" s="41" t="n"/>
      <c r="N282" s="45" t="n"/>
      <c r="O282" s="109" t="inlineStr">
        <is>
          <t>Bu Hanna</t>
        </is>
      </c>
      <c r="P282" s="214" t="n"/>
      <c r="Q282" s="217">
        <f>B282</f>
        <v/>
      </c>
      <c r="R282" s="217" t="n"/>
      <c r="S282" s="218">
        <f>H282</f>
        <v/>
      </c>
      <c r="T282" s="218">
        <f>J282</f>
        <v/>
      </c>
      <c r="U282" s="217" t="n"/>
      <c r="V282" s="218" t="n"/>
      <c r="W282" s="222" t="n"/>
      <c r="X282" s="88" t="n"/>
      <c r="Y282" s="88" t="n"/>
    </row>
    <row r="283" ht="31.5" customHeight="1" s="79">
      <c r="A283" s="47">
        <f>A282+1</f>
        <v/>
      </c>
      <c r="B283" s="563" t="inlineStr">
        <is>
          <t>Meja Kerja Pejabat Eselon IV</t>
        </is>
      </c>
      <c r="C283" s="592" t="n"/>
      <c r="D283" s="40" t="inlineStr">
        <is>
          <t>ZETTA /MT201</t>
        </is>
      </c>
      <c r="E283" s="41" t="n"/>
      <c r="F283" s="41" t="n"/>
      <c r="G283" s="42" t="n"/>
      <c r="H283" s="43" t="n">
        <v>2018</v>
      </c>
      <c r="I283" s="43" t="inlineStr">
        <is>
          <t>02.06.04.01.006</t>
        </is>
      </c>
      <c r="J283" s="44" t="inlineStr">
        <is>
          <t>0039</t>
        </is>
      </c>
      <c r="K283" s="63" t="n">
        <v>2019589</v>
      </c>
      <c r="L283" s="43" t="inlineStr">
        <is>
          <t>Baik</t>
        </is>
      </c>
      <c r="M283" s="41" t="n"/>
      <c r="N283" s="45" t="n"/>
      <c r="O283" s="109" t="inlineStr">
        <is>
          <t>Bu Jannah</t>
        </is>
      </c>
      <c r="P283" s="214" t="n"/>
      <c r="Q283" s="217">
        <f>B283</f>
        <v/>
      </c>
      <c r="R283" s="217" t="n"/>
      <c r="S283" s="218">
        <f>H283</f>
        <v/>
      </c>
      <c r="T283" s="218">
        <f>J283</f>
        <v/>
      </c>
      <c r="U283" s="217" t="n"/>
      <c r="V283" s="218" t="n"/>
      <c r="W283" s="222" t="n"/>
      <c r="X283" s="88" t="n"/>
      <c r="Y283" s="88" t="n"/>
    </row>
    <row r="284" ht="31.5" customHeight="1" s="79">
      <c r="A284" s="47">
        <f>A283+1</f>
        <v/>
      </c>
      <c r="B284" s="567" t="inlineStr">
        <is>
          <t>Meja Kerja Pejabat Eselon IV</t>
        </is>
      </c>
      <c r="C284" s="592" t="n"/>
      <c r="D284" s="26" t="inlineStr">
        <is>
          <t>ZETTA / MT201</t>
        </is>
      </c>
      <c r="E284" s="32" t="n"/>
      <c r="F284" s="32" t="n"/>
      <c r="G284" s="9" t="n"/>
      <c r="H284" s="9" t="n">
        <v>2019</v>
      </c>
      <c r="I284" s="9" t="inlineStr">
        <is>
          <t>02.06.04.01.006</t>
        </is>
      </c>
      <c r="J284" s="11" t="inlineStr">
        <is>
          <t>0040</t>
        </is>
      </c>
      <c r="K284" s="89" t="n">
        <v>2245000</v>
      </c>
      <c r="L284" s="9" t="inlineStr">
        <is>
          <t>Baik</t>
        </is>
      </c>
      <c r="M284" s="32" t="n"/>
      <c r="N284" s="32" t="n"/>
      <c r="O284" s="50" t="inlineStr">
        <is>
          <t>Subbag Umpeg</t>
        </is>
      </c>
      <c r="P284" s="214" t="n"/>
      <c r="Q284" s="217">
        <f>B284</f>
        <v/>
      </c>
      <c r="R284" s="217" t="n"/>
      <c r="S284" s="218">
        <f>H284</f>
        <v/>
      </c>
      <c r="T284" s="218">
        <f>J284</f>
        <v/>
      </c>
      <c r="U284" s="217" t="n"/>
      <c r="V284" s="218" t="n"/>
      <c r="W284" s="222" t="n"/>
      <c r="X284" s="88" t="n"/>
      <c r="Y284" s="88" t="n"/>
    </row>
    <row r="285" ht="47.25" customHeight="1" s="79">
      <c r="A285" s="47">
        <f>A284+1</f>
        <v/>
      </c>
      <c r="B285" s="567" t="inlineStr">
        <is>
          <t>Meja Kerja Pejabat Lain-lain</t>
        </is>
      </c>
      <c r="C285" s="592" t="n"/>
      <c r="D285" s="26" t="inlineStr">
        <is>
          <t xml:space="preserve">EXPO / MT301 </t>
        </is>
      </c>
      <c r="E285" s="32" t="n"/>
      <c r="F285" s="32" t="n"/>
      <c r="G285" s="30" t="n"/>
      <c r="H285" s="9" t="n">
        <v>2020</v>
      </c>
      <c r="I285" s="9" t="inlineStr">
        <is>
          <t>02.06.04.01.009</t>
        </is>
      </c>
      <c r="J285" s="11" t="inlineStr">
        <is>
          <t xml:space="preserve">0001 </t>
        </is>
      </c>
      <c r="K285" s="20" t="n">
        <v>7053750</v>
      </c>
      <c r="L285" s="9" t="inlineStr">
        <is>
          <t>Baik</t>
        </is>
      </c>
      <c r="M285" s="32" t="n"/>
      <c r="N285" s="32" t="n"/>
      <c r="O285" s="50" t="inlineStr">
        <is>
          <t>Ruang Sekretariat (Indra A)</t>
        </is>
      </c>
      <c r="P285" s="214" t="n"/>
      <c r="Q285" s="217">
        <f>B285</f>
        <v/>
      </c>
      <c r="R285" s="217" t="n"/>
      <c r="S285" s="218">
        <f>H285</f>
        <v/>
      </c>
      <c r="T285" s="218">
        <f>J285</f>
        <v/>
      </c>
      <c r="U285" s="217" t="n"/>
      <c r="V285" s="218" t="n"/>
      <c r="W285" s="222" t="n"/>
      <c r="X285" s="88" t="n"/>
      <c r="Y285" s="88" t="n"/>
    </row>
    <row r="286" ht="47.25" customHeight="1" s="79">
      <c r="A286" s="47">
        <f>A285+1</f>
        <v/>
      </c>
      <c r="B286" s="567" t="inlineStr">
        <is>
          <t>Meja Kerja Pejabat Lain-lain</t>
        </is>
      </c>
      <c r="C286" s="592" t="n"/>
      <c r="D286" s="26" t="inlineStr">
        <is>
          <t xml:space="preserve">EXPO / MT301 </t>
        </is>
      </c>
      <c r="E286" s="32" t="n"/>
      <c r="F286" s="32" t="n"/>
      <c r="G286" s="30" t="n"/>
      <c r="H286" s="9" t="n">
        <v>2020</v>
      </c>
      <c r="I286" s="9" t="inlineStr">
        <is>
          <t>02.06.04.01.009</t>
        </is>
      </c>
      <c r="J286" s="11" t="inlineStr">
        <is>
          <t>0002</t>
        </is>
      </c>
      <c r="K286" s="20" t="n">
        <v>7053750</v>
      </c>
      <c r="L286" s="9" t="inlineStr">
        <is>
          <t>Baik</t>
        </is>
      </c>
      <c r="M286" s="32" t="n"/>
      <c r="N286" s="32" t="n"/>
      <c r="O286" s="50" t="inlineStr">
        <is>
          <t>Ruang Sekretariat (Ex Atan)</t>
        </is>
      </c>
      <c r="P286" s="214" t="n"/>
      <c r="Q286" s="217">
        <f>B286</f>
        <v/>
      </c>
      <c r="R286" s="217" t="n"/>
      <c r="S286" s="218">
        <f>H286</f>
        <v/>
      </c>
      <c r="T286" s="218">
        <f>J286</f>
        <v/>
      </c>
      <c r="U286" s="217" t="n"/>
      <c r="V286" s="218" t="n"/>
      <c r="W286" s="222" t="n"/>
      <c r="X286" s="88" t="n"/>
      <c r="Y286" s="88" t="n"/>
    </row>
    <row r="287" ht="47.25" customHeight="1" s="79">
      <c r="A287" s="47">
        <f>A286+1</f>
        <v/>
      </c>
      <c r="B287" s="567" t="inlineStr">
        <is>
          <t>Meja Kerja Pejabat Lain-lain</t>
        </is>
      </c>
      <c r="C287" s="592" t="n"/>
      <c r="D287" s="26" t="inlineStr">
        <is>
          <t xml:space="preserve">EXPO / MT301 </t>
        </is>
      </c>
      <c r="E287" s="32" t="n"/>
      <c r="F287" s="32" t="n"/>
      <c r="G287" s="30" t="n"/>
      <c r="H287" s="9" t="n">
        <v>2020</v>
      </c>
      <c r="I287" s="9" t="inlineStr">
        <is>
          <t>02.06.04.01.009</t>
        </is>
      </c>
      <c r="J287" s="11" t="inlineStr">
        <is>
          <t>0003</t>
        </is>
      </c>
      <c r="K287" s="20" t="n">
        <v>7053750</v>
      </c>
      <c r="L287" s="9" t="inlineStr">
        <is>
          <t>Baik</t>
        </is>
      </c>
      <c r="M287" s="32" t="n"/>
      <c r="N287" s="32" t="n"/>
      <c r="O287" s="50" t="inlineStr">
        <is>
          <t>Ruang Sekretariat (Yanti)</t>
        </is>
      </c>
      <c r="P287" s="214" t="n"/>
      <c r="Q287" s="217">
        <f>B287</f>
        <v/>
      </c>
      <c r="R287" s="217" t="n"/>
      <c r="S287" s="218">
        <f>H287</f>
        <v/>
      </c>
      <c r="T287" s="218">
        <f>J287</f>
        <v/>
      </c>
      <c r="U287" s="217" t="n"/>
      <c r="V287" s="218" t="n"/>
      <c r="W287" s="222" t="n"/>
      <c r="X287" s="88" t="n"/>
      <c r="Y287" s="88" t="n"/>
    </row>
    <row r="288" ht="18" customHeight="1" s="79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  <c r="J288" s="75" t="n"/>
      <c r="K288" s="231">
        <f>SUM(K273:K287)</f>
        <v/>
      </c>
      <c r="L288" s="75" t="n"/>
      <c r="M288" s="75" t="n"/>
      <c r="N288" s="75" t="n"/>
      <c r="O288" s="75" t="n"/>
      <c r="P288" s="214" t="n"/>
      <c r="Q288" s="217">
        <f>B301</f>
        <v/>
      </c>
      <c r="R288" s="217" t="n"/>
      <c r="S288" s="218">
        <f>H301</f>
        <v/>
      </c>
      <c r="T288" s="218">
        <f>J301</f>
        <v/>
      </c>
      <c r="U288" s="217" t="n"/>
      <c r="V288" s="218" t="n"/>
      <c r="W288" s="222" t="n"/>
      <c r="X288" s="88" t="n"/>
      <c r="Y288" s="88" t="n"/>
    </row>
    <row r="289" ht="18" customHeight="1" s="79">
      <c r="P289" s="214" t="n"/>
      <c r="Q289" s="217">
        <f>B302</f>
        <v/>
      </c>
      <c r="R289" s="217" t="n"/>
      <c r="S289" s="218">
        <f>H302</f>
        <v/>
      </c>
      <c r="T289" s="218">
        <f>J302</f>
        <v/>
      </c>
      <c r="U289" s="217" t="n"/>
      <c r="V289" s="218" t="n"/>
      <c r="W289" s="222" t="n"/>
      <c r="X289" s="88" t="n"/>
      <c r="Y289" s="88" t="n"/>
    </row>
    <row r="290" ht="18" customHeight="1" s="79">
      <c r="P290" s="214" t="n"/>
      <c r="Q290" s="217">
        <f>B303</f>
        <v/>
      </c>
      <c r="R290" s="217" t="n"/>
      <c r="S290" s="218">
        <f>H303</f>
        <v/>
      </c>
      <c r="T290" s="218">
        <f>J303</f>
        <v/>
      </c>
      <c r="U290" s="217" t="n"/>
      <c r="V290" s="218" t="n"/>
      <c r="W290" s="222" t="n"/>
      <c r="X290" s="88" t="n"/>
      <c r="Y290" s="88" t="n"/>
    </row>
    <row r="291" ht="18" customHeight="1" s="79">
      <c r="P291" s="214" t="n"/>
      <c r="Q291" s="217">
        <f>B304</f>
        <v/>
      </c>
      <c r="R291" s="217" t="n"/>
      <c r="S291" s="218">
        <f>H304</f>
        <v/>
      </c>
      <c r="T291" s="218">
        <f>J304</f>
        <v/>
      </c>
      <c r="U291" s="217" t="n"/>
      <c r="V291" s="218" t="n"/>
      <c r="W291" s="222" t="n"/>
      <c r="X291" s="88" t="n"/>
      <c r="Y291" s="88" t="n"/>
    </row>
    <row r="292" ht="18" customHeight="1" s="79">
      <c r="P292" s="214" t="n"/>
      <c r="Q292" s="217">
        <f>B305</f>
        <v/>
      </c>
      <c r="R292" s="217" t="n"/>
      <c r="S292" s="218">
        <f>H305</f>
        <v/>
      </c>
      <c r="T292" s="218">
        <f>J305</f>
        <v/>
      </c>
      <c r="U292" s="217" t="n"/>
      <c r="V292" s="218" t="n"/>
      <c r="W292" s="222" t="n"/>
      <c r="X292" s="88" t="n"/>
      <c r="Y292" s="88" t="n"/>
    </row>
    <row r="293" ht="18" customHeight="1" s="79">
      <c r="P293" s="214" t="n"/>
      <c r="Q293" s="217">
        <f>B306</f>
        <v/>
      </c>
      <c r="R293" s="217" t="n"/>
      <c r="S293" s="218">
        <f>H306</f>
        <v/>
      </c>
      <c r="T293" s="218">
        <f>J306</f>
        <v/>
      </c>
      <c r="U293" s="217" t="n"/>
      <c r="V293" s="218" t="n"/>
      <c r="W293" s="222" t="n"/>
      <c r="X293" s="88" t="n"/>
      <c r="Y293" s="88" t="n"/>
    </row>
    <row r="294" ht="18" customHeight="1" s="79">
      <c r="A294" s="157" t="n"/>
      <c r="B294" s="96" t="n"/>
      <c r="C294" s="96" t="n"/>
      <c r="D294" s="159" t="n"/>
      <c r="E294" s="201" t="n"/>
      <c r="F294" s="201" t="n"/>
      <c r="G294" s="202" t="n"/>
      <c r="H294" s="202" t="n"/>
      <c r="I294" s="202" t="n"/>
      <c r="J294" s="203" t="n"/>
      <c r="K294" s="204" t="n"/>
      <c r="L294" s="202" t="n"/>
      <c r="M294" s="201" t="n"/>
      <c r="N294" s="201" t="n"/>
      <c r="O294" s="192" t="n"/>
      <c r="P294" s="214" t="n"/>
      <c r="Q294" s="217">
        <f>B294</f>
        <v/>
      </c>
      <c r="R294" s="217" t="n"/>
      <c r="S294" s="218">
        <f>H294</f>
        <v/>
      </c>
      <c r="T294" s="218">
        <f>J294</f>
        <v/>
      </c>
      <c r="U294" s="217" t="n"/>
      <c r="V294" s="218" t="n"/>
      <c r="W294" s="222" t="n"/>
      <c r="X294" s="88" t="n"/>
      <c r="Y294" s="88" t="n"/>
    </row>
    <row r="295" ht="18" customHeight="1" s="79">
      <c r="A295" s="157" t="n"/>
      <c r="B295" s="96" t="n"/>
      <c r="C295" s="96" t="n"/>
      <c r="D295" s="159" t="n"/>
      <c r="E295" s="201" t="n"/>
      <c r="F295" s="201" t="n"/>
      <c r="G295" s="202" t="n"/>
      <c r="H295" s="202" t="n"/>
      <c r="I295" s="202" t="n"/>
      <c r="J295" s="203" t="n"/>
      <c r="K295" s="204" t="n"/>
      <c r="L295" s="202" t="n"/>
      <c r="M295" s="201" t="n"/>
      <c r="N295" s="201" t="n"/>
      <c r="O295" s="192" t="n"/>
      <c r="P295" s="214" t="n"/>
      <c r="Q295" s="217">
        <f>B295</f>
        <v/>
      </c>
      <c r="R295" s="217" t="n"/>
      <c r="S295" s="218">
        <f>H295</f>
        <v/>
      </c>
      <c r="T295" s="218">
        <f>J295</f>
        <v/>
      </c>
      <c r="U295" s="217" t="n"/>
      <c r="V295" s="218" t="n"/>
      <c r="W295" s="222" t="n"/>
      <c r="X295" s="88" t="n"/>
      <c r="Y295" s="88" t="n"/>
    </row>
    <row r="296" ht="18" customHeight="1" s="79">
      <c r="A296" s="186" t="n"/>
      <c r="B296" s="205" t="n"/>
      <c r="C296" s="205" t="n"/>
      <c r="D296" s="191" t="n"/>
      <c r="E296" s="206" t="n"/>
      <c r="F296" s="206" t="n"/>
      <c r="G296" s="207" t="n"/>
      <c r="H296" s="207" t="n"/>
      <c r="I296" s="207" t="n"/>
      <c r="J296" s="208" t="n"/>
      <c r="K296" s="209" t="n"/>
      <c r="L296" s="207" t="n"/>
      <c r="M296" s="206" t="n"/>
      <c r="N296" s="206" t="n"/>
      <c r="O296" s="193" t="n"/>
      <c r="P296" s="214" t="n"/>
      <c r="Q296" s="217">
        <f>B296</f>
        <v/>
      </c>
      <c r="R296" s="217" t="n"/>
      <c r="S296" s="218">
        <f>H296</f>
        <v/>
      </c>
      <c r="T296" s="218">
        <f>J296</f>
        <v/>
      </c>
      <c r="U296" s="217" t="n"/>
      <c r="V296" s="218" t="n"/>
      <c r="W296" s="222" t="n"/>
      <c r="X296" s="88" t="n"/>
      <c r="Y296" s="88" t="n"/>
    </row>
    <row r="297" ht="18" customHeight="1" s="79">
      <c r="A297" s="538" t="inlineStr">
        <is>
          <t>No.</t>
        </is>
      </c>
      <c r="B297" s="538" t="inlineStr">
        <is>
          <t>Nama Barang</t>
        </is>
      </c>
      <c r="C297" s="589" t="n"/>
      <c r="D297" s="538" t="inlineStr">
        <is>
          <t>Merk/</t>
        </is>
      </c>
      <c r="E297" s="538" t="inlineStr">
        <is>
          <t>No. Seri</t>
        </is>
      </c>
      <c r="F297" s="655" t="inlineStr">
        <is>
          <t>Ukuran</t>
        </is>
      </c>
      <c r="G297" s="655" t="inlineStr">
        <is>
          <t>Bahan</t>
        </is>
      </c>
      <c r="H297" s="538" t="inlineStr">
        <is>
          <t xml:space="preserve">Tahun </t>
        </is>
      </c>
      <c r="I297" s="538" t="n"/>
      <c r="J297" s="538" t="inlineStr">
        <is>
          <t xml:space="preserve">Jumlah </t>
        </is>
      </c>
      <c r="K297" s="538" t="inlineStr">
        <is>
          <t xml:space="preserve">Harga </t>
        </is>
      </c>
      <c r="L297" s="544" t="inlineStr">
        <is>
          <t xml:space="preserve">Keadaan Barang </t>
        </is>
      </c>
      <c r="M297" s="591" t="n"/>
      <c r="N297" s="592" t="n"/>
      <c r="O297" s="538" t="inlineStr">
        <is>
          <t>Keterangan</t>
        </is>
      </c>
      <c r="P297" s="214" t="n"/>
      <c r="Q297" s="217">
        <f>B297</f>
        <v/>
      </c>
      <c r="R297" s="217" t="n"/>
      <c r="S297" s="218">
        <f>H297</f>
        <v/>
      </c>
      <c r="T297" s="218">
        <f>J297</f>
        <v/>
      </c>
      <c r="U297" s="217" t="n"/>
      <c r="V297" s="218" t="n"/>
      <c r="W297" s="222" t="n"/>
      <c r="X297" s="88" t="n"/>
      <c r="Y297" s="88" t="n"/>
    </row>
    <row r="298" ht="18" customHeight="1" s="79">
      <c r="A298" s="543" t="inlineStr">
        <is>
          <t>Urut</t>
        </is>
      </c>
      <c r="B298" s="543" t="inlineStr">
        <is>
          <t>Jenis Barang</t>
        </is>
      </c>
      <c r="C298" s="593" t="n"/>
      <c r="D298" s="543" t="inlineStr">
        <is>
          <t>Model</t>
        </is>
      </c>
      <c r="E298" s="543" t="inlineStr">
        <is>
          <t>Pabrik</t>
        </is>
      </c>
      <c r="F298" s="594" t="n"/>
      <c r="G298" s="594" t="n"/>
      <c r="H298" s="104" t="inlineStr">
        <is>
          <t>Pembuatan</t>
        </is>
      </c>
      <c r="I298" s="104" t="inlineStr">
        <is>
          <t xml:space="preserve">No/. Kode Barang </t>
        </is>
      </c>
      <c r="J298" s="104" t="inlineStr">
        <is>
          <t>Barang</t>
        </is>
      </c>
      <c r="K298" s="104" t="inlineStr">
        <is>
          <t>Beli/</t>
        </is>
      </c>
      <c r="L298" s="104" t="inlineStr">
        <is>
          <t>Baik</t>
        </is>
      </c>
      <c r="M298" s="104" t="inlineStr">
        <is>
          <t>Kurang Baik</t>
        </is>
      </c>
      <c r="N298" s="104" t="inlineStr">
        <is>
          <t>Rusak Berat</t>
        </is>
      </c>
      <c r="O298" s="540" t="inlineStr">
        <is>
          <t>Mutasi dll</t>
        </is>
      </c>
      <c r="P298" s="214" t="n"/>
      <c r="Q298" s="217">
        <f>B298</f>
        <v/>
      </c>
      <c r="R298" s="217" t="n"/>
      <c r="S298" s="218">
        <f>H298</f>
        <v/>
      </c>
      <c r="T298" s="218">
        <f>J298</f>
        <v/>
      </c>
      <c r="U298" s="217" t="n"/>
      <c r="V298" s="218" t="n"/>
      <c r="W298" s="222" t="n"/>
      <c r="X298" s="88" t="n"/>
      <c r="Y298" s="88" t="n"/>
    </row>
    <row r="299" ht="18" customHeight="1" s="79">
      <c r="A299" s="595" t="n"/>
      <c r="B299" s="596" t="n"/>
      <c r="C299" s="597" t="n"/>
      <c r="D299" s="595" t="n"/>
      <c r="E299" s="595" t="n"/>
      <c r="F299" s="595" t="n"/>
      <c r="G299" s="595" t="n"/>
      <c r="H299" s="105" t="inlineStr">
        <is>
          <t>Atau Pembelian</t>
        </is>
      </c>
      <c r="I299" s="105" t="n"/>
      <c r="J299" s="105" t="inlineStr">
        <is>
          <t>Register x)</t>
        </is>
      </c>
      <c r="K299" s="105" t="inlineStr">
        <is>
          <t>Perolehan</t>
        </is>
      </c>
      <c r="L299" s="105" t="inlineStr">
        <is>
          <t>(B)</t>
        </is>
      </c>
      <c r="M299" s="105" t="inlineStr">
        <is>
          <t>(KB)</t>
        </is>
      </c>
      <c r="N299" s="105" t="inlineStr">
        <is>
          <t>(RB)</t>
        </is>
      </c>
      <c r="O299" s="595" t="n"/>
      <c r="P299" s="214" t="n"/>
      <c r="Q299" s="217">
        <f>B299</f>
        <v/>
      </c>
      <c r="R299" s="217" t="n"/>
      <c r="S299" s="218">
        <f>H299</f>
        <v/>
      </c>
      <c r="T299" s="218">
        <f>J299</f>
        <v/>
      </c>
      <c r="U299" s="217" t="n"/>
      <c r="V299" s="218" t="n"/>
      <c r="W299" s="222" t="n"/>
      <c r="X299" s="88" t="n"/>
      <c r="Y299" s="88" t="n"/>
    </row>
    <row r="300" ht="18" customHeight="1" s="79">
      <c r="A300" s="47" t="n">
        <v>1</v>
      </c>
      <c r="B300" s="47" t="n">
        <v>2</v>
      </c>
      <c r="C300" s="592" t="n"/>
      <c r="D300" s="539" t="n">
        <v>3</v>
      </c>
      <c r="E300" s="539" t="n">
        <v>4</v>
      </c>
      <c r="F300" s="542" t="n">
        <v>5</v>
      </c>
      <c r="G300" s="542" t="n">
        <v>6</v>
      </c>
      <c r="H300" s="104" t="n">
        <v>7</v>
      </c>
      <c r="I300" s="104" t="n">
        <v>8</v>
      </c>
      <c r="J300" s="104" t="n">
        <v>9</v>
      </c>
      <c r="K300" s="104" t="n">
        <v>10</v>
      </c>
      <c r="L300" s="104" t="n">
        <v>11</v>
      </c>
      <c r="M300" s="104" t="n">
        <v>12</v>
      </c>
      <c r="N300" s="104" t="n">
        <v>13</v>
      </c>
      <c r="O300" s="539" t="n">
        <v>14</v>
      </c>
      <c r="P300" s="214" t="n"/>
      <c r="Q300" s="217">
        <f>B300</f>
        <v/>
      </c>
      <c r="R300" s="217" t="n"/>
      <c r="S300" s="218">
        <f>H300</f>
        <v/>
      </c>
      <c r="T300" s="218">
        <f>J300</f>
        <v/>
      </c>
      <c r="U300" s="217" t="n"/>
      <c r="V300" s="218" t="n"/>
      <c r="W300" s="222" t="n"/>
      <c r="X300" s="88" t="n"/>
      <c r="Y300" s="88" t="n"/>
    </row>
    <row r="301" ht="47.25" customHeight="1" s="79">
      <c r="A301" s="47">
        <f>A287+1</f>
        <v/>
      </c>
      <c r="B301" s="567" t="inlineStr">
        <is>
          <t>Meja Kerja Pejabat Lain-lain</t>
        </is>
      </c>
      <c r="C301" s="592" t="n"/>
      <c r="D301" s="26" t="inlineStr">
        <is>
          <t xml:space="preserve">EXPO / MT301 </t>
        </is>
      </c>
      <c r="E301" s="32" t="n"/>
      <c r="F301" s="32" t="n"/>
      <c r="G301" s="30" t="n"/>
      <c r="H301" s="9" t="n">
        <v>2020</v>
      </c>
      <c r="I301" s="9" t="inlineStr">
        <is>
          <t>02.06.04.01.009</t>
        </is>
      </c>
      <c r="J301" s="11" t="inlineStr">
        <is>
          <t>0004</t>
        </is>
      </c>
      <c r="K301" s="20" t="n">
        <v>7053750</v>
      </c>
      <c r="L301" s="9" t="inlineStr">
        <is>
          <t>Baik</t>
        </is>
      </c>
      <c r="M301" s="32" t="n"/>
      <c r="N301" s="32" t="n"/>
      <c r="O301" s="50" t="inlineStr">
        <is>
          <t>Ruang Sekretariat (Siska)</t>
        </is>
      </c>
      <c r="P301" s="214" t="n"/>
      <c r="Q301" s="217" t="n"/>
      <c r="R301" s="217" t="n"/>
      <c r="S301" s="218" t="n"/>
      <c r="T301" s="218" t="n"/>
      <c r="U301" s="217" t="n"/>
      <c r="V301" s="218" t="n"/>
      <c r="W301" s="222" t="n"/>
      <c r="X301" s="88" t="n"/>
      <c r="Y301" s="88" t="n"/>
    </row>
    <row r="302" ht="47.25" customHeight="1" s="79">
      <c r="A302" s="47">
        <f>A301+1</f>
        <v/>
      </c>
      <c r="B302" s="567" t="inlineStr">
        <is>
          <t>Meja Kerja Pejabat Lain-lain</t>
        </is>
      </c>
      <c r="C302" s="592" t="n"/>
      <c r="D302" s="26" t="inlineStr">
        <is>
          <t xml:space="preserve">EXPO / MT301 </t>
        </is>
      </c>
      <c r="E302" s="32" t="n"/>
      <c r="F302" s="32" t="n"/>
      <c r="G302" s="30" t="n"/>
      <c r="H302" s="9" t="n">
        <v>2020</v>
      </c>
      <c r="I302" s="9" t="inlineStr">
        <is>
          <t>02.06.04.01.009</t>
        </is>
      </c>
      <c r="J302" s="11" t="inlineStr">
        <is>
          <t>0005</t>
        </is>
      </c>
      <c r="K302" s="20" t="n">
        <v>7053750</v>
      </c>
      <c r="L302" s="9" t="inlineStr">
        <is>
          <t>Baik</t>
        </is>
      </c>
      <c r="M302" s="32" t="n"/>
      <c r="N302" s="32" t="n"/>
      <c r="O302" s="50" t="inlineStr">
        <is>
          <t>Ruang Sekretariat (b Taty)</t>
        </is>
      </c>
      <c r="P302" s="214" t="n"/>
      <c r="Q302" s="217" t="n"/>
      <c r="R302" s="217" t="n"/>
      <c r="S302" s="218" t="n"/>
      <c r="T302" s="218" t="n"/>
      <c r="U302" s="217" t="n"/>
      <c r="V302" s="218" t="n"/>
      <c r="W302" s="222" t="n"/>
      <c r="X302" s="88" t="n"/>
      <c r="Y302" s="88" t="n"/>
    </row>
    <row r="303" ht="47.25" customHeight="1" s="79">
      <c r="A303" s="47">
        <f>A302+1</f>
        <v/>
      </c>
      <c r="B303" s="567" t="inlineStr">
        <is>
          <t>Meja Kerja Pejabat Lain-lain</t>
        </is>
      </c>
      <c r="C303" s="592" t="n"/>
      <c r="D303" s="26" t="inlineStr">
        <is>
          <t xml:space="preserve">EXPO / MT301 </t>
        </is>
      </c>
      <c r="E303" s="32" t="n"/>
      <c r="F303" s="32" t="n"/>
      <c r="G303" s="30" t="n"/>
      <c r="H303" s="9" t="n">
        <v>2020</v>
      </c>
      <c r="I303" s="9" t="inlineStr">
        <is>
          <t>02.06.04.01.009</t>
        </is>
      </c>
      <c r="J303" s="11" t="inlineStr">
        <is>
          <t>0006</t>
        </is>
      </c>
      <c r="K303" s="20" t="n">
        <v>7053750</v>
      </c>
      <c r="L303" s="9" t="inlineStr">
        <is>
          <t>Baik</t>
        </is>
      </c>
      <c r="M303" s="32" t="n"/>
      <c r="N303" s="32" t="n"/>
      <c r="O303" s="50" t="inlineStr">
        <is>
          <t>Ruang Sekretariat (Rosy)</t>
        </is>
      </c>
      <c r="P303" s="214" t="n"/>
      <c r="Q303" s="217" t="n"/>
      <c r="R303" s="217" t="n"/>
      <c r="S303" s="218" t="n"/>
      <c r="T303" s="218" t="n"/>
      <c r="U303" s="217" t="n"/>
      <c r="V303" s="218" t="n"/>
      <c r="W303" s="222" t="n"/>
      <c r="X303" s="88" t="n"/>
      <c r="Y303" s="88" t="n"/>
    </row>
    <row r="304" ht="47.25" customHeight="1" s="79">
      <c r="A304" s="47">
        <f>A303+1</f>
        <v/>
      </c>
      <c r="B304" s="567" t="inlineStr">
        <is>
          <t>Meja Kerja Pejabat Lain-lain</t>
        </is>
      </c>
      <c r="C304" s="592" t="n"/>
      <c r="D304" s="26" t="inlineStr">
        <is>
          <t xml:space="preserve">EXPO / MT301 </t>
        </is>
      </c>
      <c r="E304" s="32" t="n"/>
      <c r="F304" s="32" t="n"/>
      <c r="G304" s="30" t="n"/>
      <c r="H304" s="9" t="n">
        <v>2020</v>
      </c>
      <c r="I304" s="9" t="inlineStr">
        <is>
          <t>02.06.04.01.009</t>
        </is>
      </c>
      <c r="J304" s="11" t="inlineStr">
        <is>
          <t>0007</t>
        </is>
      </c>
      <c r="K304" s="20" t="n">
        <v>7053750</v>
      </c>
      <c r="L304" s="9" t="inlineStr">
        <is>
          <t>Baik</t>
        </is>
      </c>
      <c r="M304" s="32" t="n"/>
      <c r="N304" s="32" t="n"/>
      <c r="O304" s="50" t="inlineStr">
        <is>
          <t>Ruang Sekretariat (Indra H)</t>
        </is>
      </c>
      <c r="P304" s="214" t="n"/>
      <c r="Q304" s="217" t="n"/>
      <c r="R304" s="217" t="n"/>
      <c r="S304" s="218" t="n"/>
      <c r="T304" s="218" t="n"/>
      <c r="U304" s="217" t="n"/>
      <c r="V304" s="218" t="n"/>
      <c r="W304" s="222" t="n"/>
      <c r="X304" s="88" t="n"/>
      <c r="Y304" s="88" t="n"/>
    </row>
    <row r="305" ht="63" customHeight="1" s="79">
      <c r="A305" s="47">
        <f>A304+1</f>
        <v/>
      </c>
      <c r="B305" s="567" t="inlineStr">
        <is>
          <t>Meja Kerja Pejabat Lain-lain</t>
        </is>
      </c>
      <c r="C305" s="592" t="n"/>
      <c r="D305" s="26" t="inlineStr">
        <is>
          <t xml:space="preserve">EXPO / MT301 </t>
        </is>
      </c>
      <c r="E305" s="32" t="n"/>
      <c r="F305" s="32" t="n"/>
      <c r="G305" s="30" t="n"/>
      <c r="H305" s="9" t="n">
        <v>2020</v>
      </c>
      <c r="I305" s="9" t="inlineStr">
        <is>
          <t>02.06.04.01.009</t>
        </is>
      </c>
      <c r="J305" s="11" t="inlineStr">
        <is>
          <t>0008</t>
        </is>
      </c>
      <c r="K305" s="20" t="n">
        <v>7053750</v>
      </c>
      <c r="L305" s="9" t="inlineStr">
        <is>
          <t>Baik</t>
        </is>
      </c>
      <c r="M305" s="32" t="n"/>
      <c r="N305" s="32" t="n"/>
      <c r="O305" s="50" t="inlineStr">
        <is>
          <t>Ruang Sekretariat (Smping bu Taty)</t>
        </is>
      </c>
      <c r="P305" s="214" t="n"/>
      <c r="Q305" s="217" t="n"/>
      <c r="R305" s="217" t="n"/>
      <c r="S305" s="218" t="n"/>
      <c r="T305" s="218" t="n"/>
      <c r="U305" s="217" t="n"/>
      <c r="V305" s="218" t="n"/>
      <c r="W305" s="222" t="n"/>
      <c r="X305" s="88" t="n"/>
      <c r="Y305" s="88" t="n"/>
    </row>
    <row r="306" ht="31.5" customHeight="1" s="79">
      <c r="A306" s="47">
        <f>A305+1</f>
        <v/>
      </c>
      <c r="B306" s="567" t="inlineStr">
        <is>
          <t>Meja Rapat Pejabat Lain-Lain</t>
        </is>
      </c>
      <c r="C306" s="592" t="n"/>
      <c r="D306" s="26" t="inlineStr">
        <is>
          <t>GALANT / -</t>
        </is>
      </c>
      <c r="E306" s="12" t="n"/>
      <c r="F306" s="12" t="n"/>
      <c r="G306" s="30" t="n"/>
      <c r="H306" s="9" t="n">
        <v>2020</v>
      </c>
      <c r="I306" s="9" t="inlineStr">
        <is>
          <t>02.06.04.02.014</t>
        </is>
      </c>
      <c r="J306" s="11" t="inlineStr">
        <is>
          <t>0001</t>
        </is>
      </c>
      <c r="K306" s="20" t="n">
        <v>4125800</v>
      </c>
      <c r="L306" s="9" t="inlineStr">
        <is>
          <t>Baik</t>
        </is>
      </c>
      <c r="M306" s="12" t="n"/>
      <c r="N306" s="12" t="n"/>
      <c r="O306" s="26" t="inlineStr">
        <is>
          <t>Ruang Rapat</t>
        </is>
      </c>
      <c r="P306" s="214" t="n"/>
      <c r="Q306" s="217" t="n"/>
      <c r="R306" s="217" t="n"/>
      <c r="S306" s="218" t="n"/>
      <c r="T306" s="218" t="n"/>
      <c r="U306" s="217" t="n"/>
      <c r="V306" s="218" t="n"/>
      <c r="W306" s="222" t="n"/>
      <c r="X306" s="88" t="n"/>
      <c r="Y306" s="88" t="n"/>
    </row>
    <row r="307" ht="31.5" customHeight="1" s="79">
      <c r="A307" s="47">
        <f>A306+1</f>
        <v/>
      </c>
      <c r="B307" s="564" t="inlineStr">
        <is>
          <t>Kursi Kerja Pejabat Eselon III</t>
        </is>
      </c>
      <c r="C307" s="592" t="n"/>
      <c r="D307" s="40" t="inlineStr">
        <is>
          <t>Tiger T904 Esselon III</t>
        </is>
      </c>
      <c r="E307" s="60" t="n"/>
      <c r="F307" s="60" t="n"/>
      <c r="G307" s="39" t="inlineStr">
        <is>
          <t>Besi Plastik</t>
        </is>
      </c>
      <c r="H307" s="39" t="n">
        <v>2011</v>
      </c>
      <c r="I307" s="39" t="inlineStr">
        <is>
          <t>02.06.04.03.005</t>
        </is>
      </c>
      <c r="J307" s="56" t="inlineStr">
        <is>
          <t>0006</t>
        </is>
      </c>
      <c r="K307" s="155" t="n">
        <v>1485000</v>
      </c>
      <c r="L307" s="39" t="inlineStr">
        <is>
          <t>Baik</t>
        </is>
      </c>
      <c r="M307" s="60" t="n"/>
      <c r="N307" s="60" t="n"/>
      <c r="O307" s="50" t="inlineStr">
        <is>
          <t>Ruang Sekretaris</t>
        </is>
      </c>
      <c r="P307" s="214" t="n"/>
      <c r="Q307" s="217" t="n"/>
      <c r="R307" s="217" t="n"/>
      <c r="S307" s="218" t="n"/>
      <c r="T307" s="218" t="n"/>
      <c r="U307" s="217" t="n"/>
      <c r="V307" s="218" t="n"/>
      <c r="W307" s="222" t="n"/>
      <c r="X307" s="88" t="n"/>
      <c r="Y307" s="88" t="n"/>
    </row>
    <row r="308" ht="31.5" customHeight="1" s="79">
      <c r="A308" s="47">
        <f>A307+1</f>
        <v/>
      </c>
      <c r="B308" s="567" t="inlineStr">
        <is>
          <t>Kursi Kerja Pejabat Eselon III</t>
        </is>
      </c>
      <c r="C308" s="592" t="n"/>
      <c r="D308" s="26" t="inlineStr">
        <is>
          <t>Tiger T804/  Esselon III</t>
        </is>
      </c>
      <c r="E308" s="32" t="n"/>
      <c r="F308" s="32" t="n"/>
      <c r="G308" s="9" t="inlineStr">
        <is>
          <t>Besi Plastik</t>
        </is>
      </c>
      <c r="H308" s="9" t="n">
        <v>2011</v>
      </c>
      <c r="I308" s="9" t="inlineStr">
        <is>
          <t>02.06.04.03.005</t>
        </is>
      </c>
      <c r="J308" s="11" t="inlineStr">
        <is>
          <t>0007</t>
        </is>
      </c>
      <c r="K308" s="20" t="n">
        <v>1485000</v>
      </c>
      <c r="L308" s="9" t="inlineStr">
        <is>
          <t>Baik</t>
        </is>
      </c>
      <c r="M308" s="32" t="n"/>
      <c r="N308" s="32" t="n"/>
      <c r="O308" s="40" t="inlineStr">
        <is>
          <t>Ruang Kaban</t>
        </is>
      </c>
      <c r="P308" s="214" t="n"/>
      <c r="Q308" s="217">
        <f>B308</f>
        <v/>
      </c>
      <c r="R308" s="217" t="n"/>
      <c r="S308" s="218">
        <f>H308</f>
        <v/>
      </c>
      <c r="T308" s="218">
        <f>J308</f>
        <v/>
      </c>
      <c r="U308" s="217" t="n"/>
      <c r="V308" s="218" t="n"/>
      <c r="W308" s="222" t="n"/>
      <c r="X308" s="88" t="n"/>
      <c r="Y308" s="88" t="n"/>
    </row>
    <row r="309" ht="31.5" customHeight="1" s="79">
      <c r="A309" s="47">
        <f>A308+1</f>
        <v/>
      </c>
      <c r="B309" s="567" t="inlineStr">
        <is>
          <t>Kursi Kerja Pejabat Eselon III</t>
        </is>
      </c>
      <c r="C309" s="592" t="n"/>
      <c r="D309" s="121" t="inlineStr">
        <is>
          <t>- / -</t>
        </is>
      </c>
      <c r="E309" s="12" t="n"/>
      <c r="F309" s="12" t="n"/>
      <c r="G309" s="9" t="inlineStr">
        <is>
          <t>Besi Plastik</t>
        </is>
      </c>
      <c r="H309" s="9" t="n">
        <v>1997</v>
      </c>
      <c r="I309" s="9" t="inlineStr">
        <is>
          <t>02.06.04.03.005</t>
        </is>
      </c>
      <c r="J309" s="11" t="inlineStr">
        <is>
          <t>0011</t>
        </is>
      </c>
      <c r="K309" s="172" t="n">
        <v>539000</v>
      </c>
      <c r="L309" s="30" t="inlineStr">
        <is>
          <t>Kurang Baik</t>
        </is>
      </c>
      <c r="M309" s="12" t="n"/>
      <c r="N309" s="12" t="n"/>
      <c r="O309" s="10" t="inlineStr">
        <is>
          <t>Kabid Ideologi</t>
        </is>
      </c>
      <c r="P309" s="214" t="n"/>
      <c r="Q309" s="217">
        <f>B309</f>
        <v/>
      </c>
      <c r="R309" s="217" t="n"/>
      <c r="S309" s="218">
        <f>H309</f>
        <v/>
      </c>
      <c r="T309" s="218">
        <f>J309</f>
        <v/>
      </c>
      <c r="U309" s="217" t="n"/>
      <c r="V309" s="218" t="n"/>
      <c r="W309" s="222" t="n"/>
      <c r="X309" s="88" t="n"/>
      <c r="Y309" s="88" t="n"/>
    </row>
    <row r="310" ht="31.5" customHeight="1" s="79">
      <c r="A310" s="47">
        <f>A309+1</f>
        <v/>
      </c>
      <c r="B310" s="563" t="inlineStr">
        <is>
          <t>Kursi Kerja Pejabat Eselon III</t>
        </is>
      </c>
      <c r="C310" s="592" t="n"/>
      <c r="D310" s="48" t="inlineStr">
        <is>
          <t>RAKUDA/ RK 235</t>
        </is>
      </c>
      <c r="E310" s="41" t="n"/>
      <c r="F310" s="41" t="n"/>
      <c r="G310" s="43" t="inlineStr">
        <is>
          <t>Besi Plastik</t>
        </is>
      </c>
      <c r="H310" s="43" t="n">
        <v>2015</v>
      </c>
      <c r="I310" s="43" t="inlineStr">
        <is>
          <t>02.06.04.03.005</t>
        </is>
      </c>
      <c r="J310" s="44" t="inlineStr">
        <is>
          <t>0013</t>
        </is>
      </c>
      <c r="K310" s="63" t="n">
        <v>2400000</v>
      </c>
      <c r="L310" s="43" t="inlineStr">
        <is>
          <t>Baik</t>
        </is>
      </c>
      <c r="M310" s="41" t="n"/>
      <c r="N310" s="41" t="n"/>
      <c r="O310" s="109" t="inlineStr">
        <is>
          <t>Untung</t>
        </is>
      </c>
      <c r="P310" s="214" t="n"/>
      <c r="Q310" s="217">
        <f>B310</f>
        <v/>
      </c>
      <c r="R310" s="217" t="n"/>
      <c r="S310" s="218">
        <f>H310</f>
        <v/>
      </c>
      <c r="T310" s="218">
        <f>J310</f>
        <v/>
      </c>
      <c r="U310" s="217" t="n"/>
      <c r="V310" s="218" t="n"/>
      <c r="W310" s="222" t="n"/>
      <c r="X310" s="88" t="n"/>
      <c r="Y310" s="88" t="n"/>
    </row>
    <row r="311" ht="31.5" customHeight="1" s="79">
      <c r="A311" s="47">
        <f>A310+1</f>
        <v/>
      </c>
      <c r="B311" s="658" t="inlineStr">
        <is>
          <t>Kursi Kerja Pejabat Eselon III</t>
        </is>
      </c>
      <c r="C311" s="592" t="n"/>
      <c r="D311" s="174" t="inlineStr">
        <is>
          <t>INDACHI/ 741 CR</t>
        </is>
      </c>
      <c r="E311" s="175" t="n"/>
      <c r="F311" s="175" t="n"/>
      <c r="G311" s="176" t="inlineStr">
        <is>
          <t>Besi Plastik</t>
        </is>
      </c>
      <c r="H311" s="176" t="n">
        <v>2018</v>
      </c>
      <c r="I311" s="176" t="inlineStr">
        <is>
          <t>02.06.04.03.005</t>
        </is>
      </c>
      <c r="J311" s="177" t="inlineStr">
        <is>
          <t>0015</t>
        </is>
      </c>
      <c r="K311" s="178" t="n">
        <v>1969099</v>
      </c>
      <c r="L311" s="176" t="inlineStr">
        <is>
          <t>Baik</t>
        </is>
      </c>
      <c r="M311" s="175" t="n"/>
      <c r="N311" s="175" t="n"/>
      <c r="O311" s="179" t="inlineStr">
        <is>
          <t>Kabid Wasnas</t>
        </is>
      </c>
      <c r="P311" s="214" t="n"/>
      <c r="Q311" s="217">
        <f>B311</f>
        <v/>
      </c>
      <c r="R311" s="217" t="n"/>
      <c r="S311" s="218">
        <f>H311</f>
        <v/>
      </c>
      <c r="T311" s="218">
        <f>J311</f>
        <v/>
      </c>
      <c r="U311" s="217" t="n"/>
      <c r="V311" s="218" t="n"/>
      <c r="W311" s="222" t="n"/>
      <c r="X311" s="88" t="n"/>
      <c r="Y311" s="88" t="n"/>
    </row>
    <row r="312" ht="31.5" customHeight="1" s="79">
      <c r="A312" s="47">
        <f>A311+1</f>
        <v/>
      </c>
      <c r="B312" s="658" t="inlineStr">
        <is>
          <t>Kursi Kerja Pejabat Eselon III</t>
        </is>
      </c>
      <c r="C312" s="592" t="n"/>
      <c r="D312" s="174" t="inlineStr">
        <is>
          <t>INDACHI / 741 CR</t>
        </is>
      </c>
      <c r="E312" s="175" t="n"/>
      <c r="F312" s="175" t="n"/>
      <c r="G312" s="176" t="inlineStr">
        <is>
          <t>Kayu Partikel</t>
        </is>
      </c>
      <c r="H312" s="176" t="n">
        <v>2018</v>
      </c>
      <c r="I312" s="176" t="inlineStr">
        <is>
          <t>02.06.04.03.005</t>
        </is>
      </c>
      <c r="J312" s="177" t="inlineStr">
        <is>
          <t>0014</t>
        </is>
      </c>
      <c r="K312" s="184" t="n">
        <v>1969099</v>
      </c>
      <c r="L312" s="176" t="inlineStr">
        <is>
          <t>Baik</t>
        </is>
      </c>
      <c r="M312" s="174" t="n"/>
      <c r="N312" s="175" t="n"/>
      <c r="O312" s="185" t="inlineStr">
        <is>
          <t>Subbag Sunram</t>
        </is>
      </c>
      <c r="P312" s="214" t="n"/>
      <c r="Q312" s="217">
        <f>B312</f>
        <v/>
      </c>
      <c r="R312" s="217" t="n"/>
      <c r="S312" s="218">
        <f>H312</f>
        <v/>
      </c>
      <c r="T312" s="218">
        <f>J312</f>
        <v/>
      </c>
      <c r="U312" s="217" t="n"/>
      <c r="V312" s="218" t="n"/>
      <c r="W312" s="222" t="n"/>
      <c r="X312" s="88" t="n"/>
      <c r="Y312" s="88" t="n"/>
    </row>
    <row r="313" ht="31.5" customHeight="1" s="79">
      <c r="A313" s="47">
        <f>A312+1</f>
        <v/>
      </c>
      <c r="B313" s="658" t="inlineStr">
        <is>
          <t>Kursi Kerja Pejabat Eselon III</t>
        </is>
      </c>
      <c r="C313" s="592" t="n"/>
      <c r="D313" s="179" t="inlineStr">
        <is>
          <t>INDACHI/ 741 CR</t>
        </is>
      </c>
      <c r="E313" s="182" t="n"/>
      <c r="F313" s="182" t="n"/>
      <c r="G313" s="176" t="inlineStr">
        <is>
          <t>Besi Plastik</t>
        </is>
      </c>
      <c r="H313" s="176" t="n">
        <v>2018</v>
      </c>
      <c r="I313" s="176" t="inlineStr">
        <is>
          <t>02.06.04.03.005</t>
        </is>
      </c>
      <c r="J313" s="177" t="inlineStr">
        <is>
          <t>0015</t>
        </is>
      </c>
      <c r="K313" s="178" t="n">
        <v>1969099</v>
      </c>
      <c r="L313" s="176" t="inlineStr">
        <is>
          <t>Baik</t>
        </is>
      </c>
      <c r="M313" s="182" t="n"/>
      <c r="N313" s="182" t="n"/>
      <c r="O313" s="179" t="inlineStr">
        <is>
          <t>Bu Baity</t>
        </is>
      </c>
      <c r="P313" s="214" t="n"/>
      <c r="Q313" s="217">
        <f>B313</f>
        <v/>
      </c>
      <c r="R313" s="217" t="n"/>
      <c r="S313" s="218">
        <f>H313</f>
        <v/>
      </c>
      <c r="T313" s="218">
        <f>J313</f>
        <v/>
      </c>
      <c r="U313" s="217" t="n"/>
      <c r="V313" s="218" t="n"/>
      <c r="W313" s="222" t="n"/>
      <c r="X313" s="88" t="n"/>
      <c r="Y313" s="88" t="n"/>
    </row>
    <row r="314" ht="47.25" customHeight="1" s="79">
      <c r="A314" s="47">
        <f>A313+1</f>
        <v/>
      </c>
      <c r="B314" s="567" t="inlineStr">
        <is>
          <t>Kursi Kerja Pejabat Eselon IV</t>
        </is>
      </c>
      <c r="C314" s="592" t="n"/>
      <c r="D314" s="26" t="inlineStr">
        <is>
          <t>Tiger T98 AH / Esselon IV</t>
        </is>
      </c>
      <c r="E314" s="32" t="n"/>
      <c r="F314" s="32" t="n"/>
      <c r="G314" s="9" t="inlineStr">
        <is>
          <t>Besi Plastik</t>
        </is>
      </c>
      <c r="H314" s="9" t="n">
        <v>2011</v>
      </c>
      <c r="I314" s="9" t="inlineStr">
        <is>
          <t>02.06.04.03.006</t>
        </is>
      </c>
      <c r="J314" s="11" t="inlineStr">
        <is>
          <t>0004</t>
        </is>
      </c>
      <c r="K314" s="89" t="n">
        <v>1755000</v>
      </c>
      <c r="L314" s="9" t="inlineStr">
        <is>
          <t>Baik</t>
        </is>
      </c>
      <c r="M314" s="32" t="n"/>
      <c r="N314" s="32" t="n"/>
      <c r="O314" s="26" t="inlineStr">
        <is>
          <t>Ruang Rapat</t>
        </is>
      </c>
      <c r="P314" s="214" t="n"/>
      <c r="Q314" s="217">
        <f>B314</f>
        <v/>
      </c>
      <c r="R314" s="217" t="n"/>
      <c r="S314" s="218">
        <f>H314</f>
        <v/>
      </c>
      <c r="T314" s="218">
        <f>J314</f>
        <v/>
      </c>
      <c r="U314" s="217" t="n"/>
      <c r="V314" s="218" t="n"/>
      <c r="W314" s="222" t="n"/>
      <c r="X314" s="88" t="n"/>
      <c r="Y314" s="88" t="n"/>
    </row>
    <row r="315" ht="47.25" customHeight="1" s="79">
      <c r="A315" s="47">
        <f>A314+1</f>
        <v/>
      </c>
      <c r="B315" s="567" t="inlineStr">
        <is>
          <t>Kursi Kerja Pejabat Eselon IV</t>
        </is>
      </c>
      <c r="C315" s="592" t="n"/>
      <c r="D315" s="10" t="inlineStr">
        <is>
          <t>Tiger T98 AH /Esselon IV</t>
        </is>
      </c>
      <c r="E315" s="12" t="n"/>
      <c r="F315" s="12" t="n"/>
      <c r="G315" s="9" t="inlineStr">
        <is>
          <t>Besi Plastik</t>
        </is>
      </c>
      <c r="H315" s="9" t="n">
        <v>2011</v>
      </c>
      <c r="I315" s="9" t="inlineStr">
        <is>
          <t>02.06.04.03.006</t>
        </is>
      </c>
      <c r="J315" s="11" t="inlineStr">
        <is>
          <t>0005</t>
        </is>
      </c>
      <c r="K315" s="20" t="n">
        <v>585000</v>
      </c>
      <c r="L315" s="9" t="inlineStr">
        <is>
          <t>Baik</t>
        </is>
      </c>
      <c r="M315" s="12" t="n"/>
      <c r="N315" s="12" t="n"/>
      <c r="O315" s="32" t="inlineStr">
        <is>
          <t>Bu Hanna</t>
        </is>
      </c>
      <c r="P315" s="214" t="n"/>
      <c r="Q315" s="217">
        <f>B315</f>
        <v/>
      </c>
      <c r="R315" s="217" t="n"/>
      <c r="S315" s="218">
        <f>H315</f>
        <v/>
      </c>
      <c r="T315" s="218">
        <f>J315</f>
        <v/>
      </c>
      <c r="U315" s="217" t="n"/>
      <c r="V315" s="218" t="n"/>
      <c r="W315" s="222" t="n"/>
      <c r="X315" s="88" t="n"/>
      <c r="Y315" s="88" t="n"/>
    </row>
    <row r="316" ht="47.25" customHeight="1" s="79">
      <c r="A316" s="47">
        <f>A315+1</f>
        <v/>
      </c>
      <c r="B316" s="563" t="inlineStr">
        <is>
          <t>Kursi Kerja Pejabat Eselon IV</t>
        </is>
      </c>
      <c r="C316" s="592" t="n"/>
      <c r="D316" s="48" t="inlineStr">
        <is>
          <t>Indachi D 800 / Esselon IV</t>
        </is>
      </c>
      <c r="E316" s="41" t="n"/>
      <c r="F316" s="41" t="n"/>
      <c r="G316" s="43" t="inlineStr">
        <is>
          <t>Besi Plastik</t>
        </is>
      </c>
      <c r="H316" s="43" t="n">
        <v>2010</v>
      </c>
      <c r="I316" s="43" t="inlineStr">
        <is>
          <t>02.06.04.03.006</t>
        </is>
      </c>
      <c r="J316" s="44" t="inlineStr">
        <is>
          <t>0006</t>
        </is>
      </c>
      <c r="K316" s="63" t="n">
        <v>942500</v>
      </c>
      <c r="L316" s="43" t="inlineStr">
        <is>
          <t>Baik</t>
        </is>
      </c>
      <c r="M316" s="41" t="n"/>
      <c r="N316" s="41" t="n"/>
      <c r="O316" s="40" t="inlineStr">
        <is>
          <t>Kabid Hansenibud</t>
        </is>
      </c>
      <c r="P316" s="214" t="n"/>
      <c r="Q316" s="217">
        <f>B316</f>
        <v/>
      </c>
      <c r="R316" s="217" t="n"/>
      <c r="S316" s="218">
        <f>H316</f>
        <v/>
      </c>
      <c r="T316" s="218">
        <f>J316</f>
        <v/>
      </c>
      <c r="U316" s="217" t="n"/>
      <c r="V316" s="218" t="n"/>
      <c r="W316" s="222" t="n"/>
      <c r="X316" s="88" t="n"/>
      <c r="Y316" s="88" t="n"/>
    </row>
    <row r="317" ht="63" customHeight="1" s="79">
      <c r="A317" s="47">
        <f>A316+1</f>
        <v/>
      </c>
      <c r="B317" s="567" t="inlineStr">
        <is>
          <t>Kursi Kerja Pejabat Eselon IV</t>
        </is>
      </c>
      <c r="C317" s="592" t="n"/>
      <c r="D317" s="10" t="inlineStr">
        <is>
          <t xml:space="preserve">Indachi D 821 CR/ Kursi Kerja Staf </t>
        </is>
      </c>
      <c r="E317" s="12" t="n"/>
      <c r="F317" s="12" t="n"/>
      <c r="G317" s="9" t="inlineStr">
        <is>
          <t>Kayu Pertikel</t>
        </is>
      </c>
      <c r="H317" s="9" t="n">
        <v>2015</v>
      </c>
      <c r="I317" s="9" t="inlineStr">
        <is>
          <t>02.06.04.03.006</t>
        </is>
      </c>
      <c r="J317" s="11" t="inlineStr">
        <is>
          <t>0007</t>
        </is>
      </c>
      <c r="K317" s="172" t="n">
        <v>2181159</v>
      </c>
      <c r="L317" s="9" t="inlineStr">
        <is>
          <t>Baik</t>
        </is>
      </c>
      <c r="M317" s="12" t="n"/>
      <c r="N317" s="12" t="n"/>
      <c r="O317" s="26" t="inlineStr">
        <is>
          <t>Kabid Politik</t>
        </is>
      </c>
      <c r="P317" s="214" t="n"/>
      <c r="Q317" s="217" t="n"/>
      <c r="R317" s="217" t="n"/>
      <c r="S317" s="218" t="n"/>
      <c r="T317" s="218" t="n"/>
      <c r="U317" s="217" t="n"/>
      <c r="V317" s="218" t="n"/>
      <c r="W317" s="222" t="n"/>
      <c r="X317" s="88" t="n"/>
      <c r="Y317" s="88" t="n"/>
    </row>
    <row r="318" ht="18" customHeight="1" s="79">
      <c r="A318" s="115" t="n"/>
      <c r="B318" s="128" t="n"/>
      <c r="C318" s="128" t="n"/>
      <c r="D318" s="129" t="n"/>
      <c r="E318" s="130" t="n"/>
      <c r="F318" s="130" t="n"/>
      <c r="G318" s="131" t="n"/>
      <c r="H318" s="131" t="n"/>
      <c r="I318" s="131" t="n"/>
      <c r="J318" s="132" t="n"/>
      <c r="K318" s="230">
        <f>SUM(K301:K317)</f>
        <v/>
      </c>
      <c r="L318" s="131" t="n"/>
      <c r="M318" s="130" t="n"/>
      <c r="N318" s="130" t="n"/>
      <c r="O318" s="188" t="n"/>
      <c r="P318" s="214" t="n"/>
      <c r="Q318" s="217" t="n"/>
      <c r="R318" s="217" t="n"/>
      <c r="S318" s="218" t="n"/>
      <c r="T318" s="218" t="n"/>
      <c r="U318" s="217" t="n"/>
      <c r="V318" s="218" t="n"/>
      <c r="W318" s="222" t="n"/>
      <c r="X318" s="88" t="n"/>
      <c r="Y318" s="88" t="n"/>
    </row>
    <row r="319" ht="18" customHeight="1" s="79">
      <c r="A319" s="157" t="n"/>
      <c r="B319" s="123" t="n"/>
      <c r="C319" s="123" t="n"/>
      <c r="D319" s="124" t="n"/>
      <c r="E319" s="125" t="n"/>
      <c r="F319" s="125" t="n"/>
      <c r="G319" s="94" t="n"/>
      <c r="H319" s="94" t="n"/>
      <c r="I319" s="94" t="n"/>
      <c r="J319" s="126" t="n"/>
      <c r="K319" s="134" t="n"/>
      <c r="L319" s="94" t="n"/>
      <c r="M319" s="125" t="n"/>
      <c r="N319" s="125" t="n"/>
      <c r="O319" s="159" t="n"/>
      <c r="P319" s="214" t="n"/>
      <c r="Q319" s="217" t="n"/>
      <c r="R319" s="217" t="n"/>
      <c r="S319" s="218" t="n"/>
      <c r="T319" s="218" t="n"/>
      <c r="U319" s="217" t="n"/>
      <c r="V319" s="218" t="n"/>
      <c r="W319" s="222" t="n"/>
      <c r="X319" s="88" t="n"/>
      <c r="Y319" s="88" t="n"/>
    </row>
    <row r="320" ht="18" customHeight="1" s="79">
      <c r="A320" s="157" t="n"/>
      <c r="B320" s="123" t="n"/>
      <c r="C320" s="123" t="n"/>
      <c r="D320" s="124" t="n"/>
      <c r="E320" s="125" t="n"/>
      <c r="F320" s="125" t="n"/>
      <c r="G320" s="94" t="n"/>
      <c r="H320" s="94" t="n"/>
      <c r="I320" s="94" t="n"/>
      <c r="J320" s="126" t="n"/>
      <c r="K320" s="134" t="n"/>
      <c r="L320" s="94" t="n"/>
      <c r="M320" s="125" t="n"/>
      <c r="N320" s="125" t="n"/>
      <c r="O320" s="159" t="n"/>
      <c r="P320" s="214" t="n"/>
      <c r="Q320" s="217" t="n"/>
      <c r="R320" s="217" t="n"/>
      <c r="S320" s="218" t="n"/>
      <c r="T320" s="218" t="n"/>
      <c r="U320" s="217" t="n"/>
      <c r="V320" s="218" t="n"/>
      <c r="W320" s="222" t="n"/>
      <c r="X320" s="88" t="n"/>
      <c r="Y320" s="88" t="n"/>
    </row>
    <row r="321" ht="18" customHeight="1" s="79">
      <c r="A321" s="157" t="n"/>
      <c r="B321" s="123" t="n"/>
      <c r="C321" s="123" t="n"/>
      <c r="D321" s="124" t="n"/>
      <c r="E321" s="125" t="n"/>
      <c r="F321" s="125" t="n"/>
      <c r="G321" s="94" t="n"/>
      <c r="H321" s="94" t="n"/>
      <c r="I321" s="94" t="n"/>
      <c r="J321" s="126" t="n"/>
      <c r="K321" s="134" t="n"/>
      <c r="L321" s="94" t="n"/>
      <c r="M321" s="125" t="n"/>
      <c r="N321" s="125" t="n"/>
      <c r="O321" s="159" t="n"/>
      <c r="P321" s="214" t="n"/>
      <c r="Q321" s="217" t="n"/>
      <c r="R321" s="217" t="n"/>
      <c r="S321" s="218" t="n"/>
      <c r="T321" s="218" t="n"/>
      <c r="U321" s="217" t="n"/>
      <c r="V321" s="218" t="n"/>
      <c r="W321" s="222" t="n"/>
      <c r="X321" s="88" t="n"/>
      <c r="Y321" s="88" t="n"/>
    </row>
    <row r="322" ht="18" customHeight="1" s="79">
      <c r="A322" s="157" t="n"/>
      <c r="B322" s="123" t="n"/>
      <c r="C322" s="123" t="n"/>
      <c r="D322" s="124" t="n"/>
      <c r="E322" s="125" t="n"/>
      <c r="F322" s="125" t="n"/>
      <c r="G322" s="94" t="n"/>
      <c r="H322" s="94" t="n"/>
      <c r="I322" s="94" t="n"/>
      <c r="J322" s="126" t="n"/>
      <c r="K322" s="134" t="n"/>
      <c r="L322" s="94" t="n"/>
      <c r="M322" s="125" t="n"/>
      <c r="N322" s="125" t="n"/>
      <c r="O322" s="159" t="n"/>
      <c r="P322" s="214" t="n"/>
      <c r="Q322" s="217" t="n"/>
      <c r="R322" s="217" t="n"/>
      <c r="S322" s="218" t="n"/>
      <c r="T322" s="218" t="n"/>
      <c r="U322" s="217" t="n"/>
      <c r="V322" s="218" t="n"/>
      <c r="W322" s="222" t="n"/>
      <c r="X322" s="88" t="n"/>
      <c r="Y322" s="88" t="n"/>
    </row>
    <row r="323" ht="18" customHeight="1" s="79">
      <c r="B323" s="157" t="n"/>
      <c r="C323" s="123" t="n"/>
      <c r="D323" s="123" t="n"/>
      <c r="E323" s="124" t="n"/>
      <c r="F323" s="125" t="n"/>
      <c r="G323" s="125" t="n"/>
      <c r="H323" s="94" t="n"/>
      <c r="I323" s="94" t="n"/>
      <c r="J323" s="94" t="n"/>
      <c r="K323" s="126" t="n"/>
      <c r="L323" s="134" t="n"/>
      <c r="M323" s="94" t="n"/>
      <c r="N323" s="125" t="n"/>
      <c r="O323" s="125" t="n"/>
      <c r="P323" s="159" t="n"/>
      <c r="Q323" s="214" t="n"/>
      <c r="R323" s="217" t="n"/>
      <c r="S323" s="217" t="n"/>
      <c r="T323" s="218" t="n"/>
      <c r="U323" s="218" t="n"/>
      <c r="V323" s="217" t="n"/>
      <c r="W323" s="218" t="n"/>
      <c r="X323" s="222" t="n"/>
      <c r="Y323" s="88" t="n"/>
      <c r="Z323" s="88" t="n"/>
    </row>
    <row r="324" ht="18" customHeight="1" s="79">
      <c r="B324" s="157" t="n"/>
      <c r="C324" s="123" t="n"/>
      <c r="D324" s="123" t="n"/>
      <c r="E324" s="124" t="n"/>
      <c r="F324" s="125" t="n"/>
      <c r="G324" s="125" t="n"/>
      <c r="H324" s="94" t="n"/>
      <c r="I324" s="94" t="n"/>
      <c r="J324" s="94" t="n"/>
      <c r="K324" s="126" t="n"/>
      <c r="L324" s="134" t="n"/>
      <c r="M324" s="94" t="n"/>
      <c r="N324" s="125" t="n"/>
      <c r="O324" s="125" t="n"/>
      <c r="P324" s="159" t="n"/>
      <c r="Q324" s="214" t="n"/>
      <c r="R324" s="217" t="n"/>
      <c r="S324" s="217" t="n"/>
      <c r="T324" s="218" t="n"/>
      <c r="U324" s="218" t="n"/>
      <c r="V324" s="217" t="n"/>
      <c r="W324" s="218" t="n"/>
      <c r="X324" s="222" t="n"/>
      <c r="Y324" s="88" t="n"/>
      <c r="Z324" s="88" t="n"/>
    </row>
    <row r="325" ht="18" customHeight="1" s="79">
      <c r="B325" s="157" t="n"/>
      <c r="C325" s="123" t="n"/>
      <c r="D325" s="123" t="n"/>
      <c r="E325" s="124" t="n"/>
      <c r="F325" s="125" t="n"/>
      <c r="G325" s="125" t="n"/>
      <c r="H325" s="94" t="n"/>
      <c r="I325" s="94" t="n"/>
      <c r="J325" s="94" t="n"/>
      <c r="K325" s="126" t="n"/>
      <c r="L325" s="134" t="n"/>
      <c r="M325" s="94" t="n"/>
      <c r="N325" s="125" t="n"/>
      <c r="O325" s="125" t="n"/>
      <c r="P325" s="159" t="n"/>
      <c r="Q325" s="214" t="n"/>
      <c r="R325" s="217" t="n"/>
      <c r="S325" s="217" t="n"/>
      <c r="T325" s="218" t="n"/>
      <c r="U325" s="218" t="n"/>
      <c r="V325" s="217" t="n"/>
      <c r="W325" s="218" t="n"/>
      <c r="X325" s="222" t="n"/>
      <c r="Y325" s="88" t="n"/>
      <c r="Z325" s="88" t="n"/>
    </row>
    <row r="326" ht="18" customHeight="1" s="79">
      <c r="A326" s="538" t="inlineStr">
        <is>
          <t>No.</t>
        </is>
      </c>
      <c r="B326" s="538" t="inlineStr">
        <is>
          <t>Nama Barang</t>
        </is>
      </c>
      <c r="C326" s="589" t="n"/>
      <c r="D326" s="538" t="inlineStr">
        <is>
          <t>Merk/</t>
        </is>
      </c>
      <c r="E326" s="538" t="inlineStr">
        <is>
          <t>No. Seri</t>
        </is>
      </c>
      <c r="F326" s="655" t="inlineStr">
        <is>
          <t>Ukuran</t>
        </is>
      </c>
      <c r="G326" s="655" t="inlineStr">
        <is>
          <t>Bahan</t>
        </is>
      </c>
      <c r="H326" s="538" t="inlineStr">
        <is>
          <t xml:space="preserve">Tahun </t>
        </is>
      </c>
      <c r="I326" s="538" t="n"/>
      <c r="J326" s="538" t="inlineStr">
        <is>
          <t xml:space="preserve">Jumlah </t>
        </is>
      </c>
      <c r="K326" s="538" t="inlineStr">
        <is>
          <t xml:space="preserve">Harga </t>
        </is>
      </c>
      <c r="L326" s="544" t="inlineStr">
        <is>
          <t xml:space="preserve">Keadaan Barang </t>
        </is>
      </c>
      <c r="M326" s="591" t="n"/>
      <c r="N326" s="592" t="n"/>
      <c r="O326" s="538" t="inlineStr">
        <is>
          <t>Keterangan</t>
        </is>
      </c>
      <c r="P326" s="214" t="n"/>
      <c r="Q326" s="217" t="n"/>
      <c r="R326" s="217" t="n"/>
      <c r="S326" s="218" t="n"/>
      <c r="T326" s="218" t="n"/>
      <c r="U326" s="217" t="n"/>
      <c r="V326" s="218" t="n"/>
      <c r="W326" s="222" t="n"/>
      <c r="X326" s="88" t="n"/>
      <c r="Y326" s="88" t="n"/>
    </row>
    <row r="327" ht="18" customHeight="1" s="79">
      <c r="A327" s="543" t="inlineStr">
        <is>
          <t>Urut</t>
        </is>
      </c>
      <c r="B327" s="543" t="inlineStr">
        <is>
          <t>Jenis Barang</t>
        </is>
      </c>
      <c r="C327" s="593" t="n"/>
      <c r="D327" s="543" t="inlineStr">
        <is>
          <t>Model</t>
        </is>
      </c>
      <c r="E327" s="543" t="inlineStr">
        <is>
          <t>Pabrik</t>
        </is>
      </c>
      <c r="F327" s="594" t="n"/>
      <c r="G327" s="594" t="n"/>
      <c r="H327" s="104" t="inlineStr">
        <is>
          <t>Pembuatan</t>
        </is>
      </c>
      <c r="I327" s="104" t="inlineStr">
        <is>
          <t xml:space="preserve">No/. Kode Barang </t>
        </is>
      </c>
      <c r="J327" s="104" t="inlineStr">
        <is>
          <t>Barang</t>
        </is>
      </c>
      <c r="K327" s="104" t="inlineStr">
        <is>
          <t>Beli/</t>
        </is>
      </c>
      <c r="L327" s="104" t="inlineStr">
        <is>
          <t>Baik</t>
        </is>
      </c>
      <c r="M327" s="104" t="inlineStr">
        <is>
          <t>Kurang Baik</t>
        </is>
      </c>
      <c r="N327" s="104" t="inlineStr">
        <is>
          <t>Rusak Berat</t>
        </is>
      </c>
      <c r="O327" s="540" t="inlineStr">
        <is>
          <t>Mutasi dll</t>
        </is>
      </c>
      <c r="P327" s="214" t="n"/>
      <c r="Q327" s="217" t="n"/>
      <c r="R327" s="217" t="n"/>
      <c r="S327" s="218" t="n"/>
      <c r="T327" s="218" t="n"/>
      <c r="U327" s="217" t="n"/>
      <c r="V327" s="218" t="n"/>
      <c r="W327" s="222" t="n"/>
      <c r="X327" s="88" t="n"/>
      <c r="Y327" s="88" t="n"/>
    </row>
    <row r="328" ht="18" customHeight="1" s="79">
      <c r="A328" s="595" t="n"/>
      <c r="B328" s="596" t="n"/>
      <c r="C328" s="597" t="n"/>
      <c r="D328" s="595" t="n"/>
      <c r="E328" s="595" t="n"/>
      <c r="F328" s="595" t="n"/>
      <c r="G328" s="595" t="n"/>
      <c r="H328" s="105" t="inlineStr">
        <is>
          <t>Atau Pembelian</t>
        </is>
      </c>
      <c r="I328" s="105" t="n"/>
      <c r="J328" s="105" t="inlineStr">
        <is>
          <t>Register x)</t>
        </is>
      </c>
      <c r="K328" s="105" t="inlineStr">
        <is>
          <t>Perolehan</t>
        </is>
      </c>
      <c r="L328" s="105" t="inlineStr">
        <is>
          <t>(B)</t>
        </is>
      </c>
      <c r="M328" s="105" t="inlineStr">
        <is>
          <t>(KB)</t>
        </is>
      </c>
      <c r="N328" s="105" t="inlineStr">
        <is>
          <t>(RB)</t>
        </is>
      </c>
      <c r="O328" s="595" t="n"/>
      <c r="P328" s="214" t="n"/>
      <c r="Q328" s="217" t="n"/>
      <c r="R328" s="217" t="n"/>
      <c r="S328" s="218" t="n"/>
      <c r="T328" s="218" t="n"/>
      <c r="U328" s="217" t="n"/>
      <c r="V328" s="218" t="n"/>
      <c r="W328" s="222" t="n"/>
      <c r="X328" s="88" t="n"/>
      <c r="Y328" s="88" t="n"/>
    </row>
    <row r="329" ht="18" customHeight="1" s="79">
      <c r="A329" s="47" t="n">
        <v>1</v>
      </c>
      <c r="B329" s="47" t="n">
        <v>2</v>
      </c>
      <c r="C329" s="592" t="n"/>
      <c r="D329" s="539" t="n">
        <v>3</v>
      </c>
      <c r="E329" s="539" t="n">
        <v>4</v>
      </c>
      <c r="F329" s="542" t="n">
        <v>5</v>
      </c>
      <c r="G329" s="542" t="n">
        <v>6</v>
      </c>
      <c r="H329" s="104" t="n">
        <v>7</v>
      </c>
      <c r="I329" s="104" t="n">
        <v>8</v>
      </c>
      <c r="J329" s="104" t="n">
        <v>9</v>
      </c>
      <c r="K329" s="104" t="n">
        <v>10</v>
      </c>
      <c r="L329" s="104" t="n">
        <v>11</v>
      </c>
      <c r="M329" s="104" t="n">
        <v>12</v>
      </c>
      <c r="N329" s="104" t="n">
        <v>13</v>
      </c>
      <c r="O329" s="539" t="n">
        <v>14</v>
      </c>
      <c r="P329" s="214" t="n"/>
      <c r="Q329" s="217">
        <f>B317</f>
        <v/>
      </c>
      <c r="R329" s="217" t="n"/>
      <c r="S329" s="218">
        <f>H317</f>
        <v/>
      </c>
      <c r="T329" s="218">
        <f>J317</f>
        <v/>
      </c>
      <c r="U329" s="217" t="n"/>
      <c r="V329" s="218" t="n"/>
      <c r="W329" s="222" t="n"/>
      <c r="X329" s="88" t="n"/>
      <c r="Y329" s="88" t="n"/>
    </row>
    <row r="330" ht="63" customHeight="1" s="79">
      <c r="A330" s="47">
        <f>A317+1</f>
        <v/>
      </c>
      <c r="B330" s="567" t="inlineStr">
        <is>
          <t>Kursi Kerja Pejabat Eselon IV</t>
        </is>
      </c>
      <c r="C330" s="592" t="n"/>
      <c r="D330" s="26" t="inlineStr">
        <is>
          <t>Indachi                D 821 CR/Kursi Kerja Staf</t>
        </is>
      </c>
      <c r="E330" s="32" t="n"/>
      <c r="F330" s="32" t="n"/>
      <c r="G330" s="9" t="inlineStr">
        <is>
          <t>Kayu Partikel</t>
        </is>
      </c>
      <c r="H330" s="9" t="n">
        <v>2016</v>
      </c>
      <c r="I330" s="9" t="inlineStr">
        <is>
          <t>02.06.04.03.006</t>
        </is>
      </c>
      <c r="J330" s="11" t="inlineStr">
        <is>
          <t>0008</t>
        </is>
      </c>
      <c r="K330" s="89" t="n">
        <v>2181159</v>
      </c>
      <c r="L330" s="9" t="inlineStr">
        <is>
          <t>Baik</t>
        </is>
      </c>
      <c r="M330" s="32" t="n"/>
      <c r="N330" s="32" t="n"/>
      <c r="O330" s="26" t="inlineStr">
        <is>
          <t>Subbag Keuangan</t>
        </is>
      </c>
      <c r="P330" s="214" t="n"/>
      <c r="Q330" s="217">
        <f>B330</f>
        <v/>
      </c>
      <c r="R330" s="217" t="n"/>
      <c r="S330" s="218">
        <f>H330</f>
        <v/>
      </c>
      <c r="T330" s="218">
        <f>J330</f>
        <v/>
      </c>
      <c r="U330" s="217" t="n"/>
      <c r="V330" s="218" t="n"/>
      <c r="W330" s="222" t="n"/>
      <c r="X330" s="88" t="n"/>
      <c r="Y330" s="88" t="n"/>
    </row>
    <row r="331" ht="47.25" customHeight="1" s="79">
      <c r="A331" s="47">
        <f>A330+1</f>
        <v/>
      </c>
      <c r="B331" s="567" t="inlineStr">
        <is>
          <t>Kursi Kerja Pejabat Eselon IV</t>
        </is>
      </c>
      <c r="C331" s="592" t="n"/>
      <c r="D331" s="26" t="inlineStr">
        <is>
          <t>BROTHER BG 510 An / Kursi Kerja</t>
        </is>
      </c>
      <c r="E331" s="32" t="n"/>
      <c r="F331" s="32" t="n"/>
      <c r="G331" s="9" t="inlineStr">
        <is>
          <t>Kayu Partikel</t>
        </is>
      </c>
      <c r="H331" s="9" t="n">
        <v>2017</v>
      </c>
      <c r="I331" s="9" t="inlineStr">
        <is>
          <t>02.06.04.03.006</t>
        </is>
      </c>
      <c r="J331" s="11" t="inlineStr">
        <is>
          <t>0009</t>
        </is>
      </c>
      <c r="K331" s="89" t="n">
        <v>1066031</v>
      </c>
      <c r="L331" s="9" t="inlineStr">
        <is>
          <t>Baik</t>
        </is>
      </c>
      <c r="M331" s="32" t="n"/>
      <c r="N331" s="32" t="n"/>
      <c r="O331" s="26" t="inlineStr">
        <is>
          <t>Ruang Rapat</t>
        </is>
      </c>
      <c r="P331" s="214" t="n"/>
      <c r="Q331" s="217">
        <f>B331</f>
        <v/>
      </c>
      <c r="R331" s="217" t="n"/>
      <c r="S331" s="218">
        <f>H331</f>
        <v/>
      </c>
      <c r="T331" s="218">
        <f>J331</f>
        <v/>
      </c>
      <c r="U331" s="217" t="n"/>
      <c r="V331" s="218" t="n"/>
      <c r="W331" s="222" t="n"/>
      <c r="X331" s="88" t="n"/>
      <c r="Y331" s="88" t="n"/>
    </row>
    <row r="332" ht="47.25" customHeight="1" s="79">
      <c r="A332" s="47">
        <f>A331+1</f>
        <v/>
      </c>
      <c r="B332" s="9" t="inlineStr">
        <is>
          <t>Kursi Kerja Pejabat Eselon IV</t>
        </is>
      </c>
      <c r="C332" s="592" t="n"/>
      <c r="D332" s="26" t="inlineStr">
        <is>
          <t>BROTHER BG 510 AN / Kursi Kerja</t>
        </is>
      </c>
      <c r="E332" s="32" t="n"/>
      <c r="F332" s="32" t="n"/>
      <c r="G332" s="30" t="inlineStr">
        <is>
          <t>Kayu Partikel</t>
        </is>
      </c>
      <c r="H332" s="9" t="n">
        <v>2017</v>
      </c>
      <c r="I332" s="9" t="inlineStr">
        <is>
          <t>02.06.04.03.006</t>
        </is>
      </c>
      <c r="J332" s="11" t="inlineStr">
        <is>
          <t>0010</t>
        </is>
      </c>
      <c r="K332" s="20" t="n">
        <v>1066031</v>
      </c>
      <c r="L332" s="9" t="inlineStr">
        <is>
          <t>Baik</t>
        </is>
      </c>
      <c r="M332" s="32" t="n"/>
      <c r="N332" s="32" t="n"/>
      <c r="O332" s="26" t="inlineStr">
        <is>
          <t>Selasar/Selamat</t>
        </is>
      </c>
      <c r="P332" s="214" t="n"/>
      <c r="Q332" s="217">
        <f>B332</f>
        <v/>
      </c>
      <c r="R332" s="217" t="n"/>
      <c r="S332" s="218">
        <f>H332</f>
        <v/>
      </c>
      <c r="T332" s="218">
        <f>J332</f>
        <v/>
      </c>
      <c r="U332" s="217" t="n"/>
      <c r="V332" s="218" t="n"/>
      <c r="W332" s="222" t="n"/>
      <c r="X332" s="88" t="n"/>
      <c r="Y332" s="88" t="n"/>
    </row>
    <row r="333" ht="31.5" customHeight="1" s="79">
      <c r="A333" s="47">
        <f>A332+1</f>
        <v/>
      </c>
      <c r="B333" s="567" t="inlineStr">
        <is>
          <t>Kursi Rapat Pejabat Lain-lain</t>
        </is>
      </c>
      <c r="C333" s="592" t="n"/>
      <c r="D333" s="26" t="inlineStr">
        <is>
          <t>Matrix KSS-01 /-</t>
        </is>
      </c>
      <c r="E333" s="12" t="n"/>
      <c r="F333" s="12" t="n"/>
      <c r="G333" s="9" t="n"/>
      <c r="H333" s="9" t="n">
        <v>2020</v>
      </c>
      <c r="I333" s="9" t="inlineStr">
        <is>
          <t>02.06.04.04.008</t>
        </is>
      </c>
      <c r="J333" s="11" t="inlineStr">
        <is>
          <t>0001 s/d 0030</t>
        </is>
      </c>
      <c r="K333" s="20" t="n">
        <v>9468480</v>
      </c>
      <c r="L333" s="9" t="inlineStr">
        <is>
          <t>Baik</t>
        </is>
      </c>
      <c r="M333" s="12" t="n"/>
      <c r="N333" s="12" t="n"/>
      <c r="O333" s="26" t="inlineStr">
        <is>
          <t>Ruang Rapat</t>
        </is>
      </c>
      <c r="P333" s="214" t="n"/>
      <c r="Q333" s="217">
        <f>B333</f>
        <v/>
      </c>
      <c r="R333" s="217" t="n"/>
      <c r="S333" s="218">
        <f>H333</f>
        <v/>
      </c>
      <c r="T333" s="218">
        <f>J333</f>
        <v/>
      </c>
      <c r="U333" s="217" t="n"/>
      <c r="V333" s="218" t="n"/>
      <c r="W333" s="222" t="n"/>
      <c r="X333" s="88" t="n"/>
      <c r="Y333" s="88" t="n"/>
    </row>
    <row r="334" ht="63" customHeight="1" s="79">
      <c r="A334" s="47">
        <f>A333+1</f>
        <v/>
      </c>
      <c r="B334" s="600" t="inlineStr">
        <is>
          <t>Lemari dan Arsip Pejabat Lain-lain</t>
        </is>
      </c>
      <c r="C334" s="592" t="n"/>
      <c r="D334" s="59" t="inlineStr">
        <is>
          <t xml:space="preserve">Informa MC Glass Door/Lemari Buku </t>
        </is>
      </c>
      <c r="E334" s="60" t="n"/>
      <c r="F334" s="60" t="n"/>
      <c r="G334" s="39" t="inlineStr">
        <is>
          <t>Kayu Partikel</t>
        </is>
      </c>
      <c r="H334" s="39" t="n">
        <v>2016</v>
      </c>
      <c r="I334" s="39" t="inlineStr">
        <is>
          <t>02.06.04.07.009</t>
        </is>
      </c>
      <c r="J334" s="56" t="inlineStr">
        <is>
          <t>0001</t>
        </is>
      </c>
      <c r="K334" s="155" t="n">
        <v>2739.13</v>
      </c>
      <c r="L334" s="39" t="inlineStr">
        <is>
          <t>Baik</t>
        </is>
      </c>
      <c r="M334" s="60" t="n"/>
      <c r="N334" s="60" t="n"/>
      <c r="O334" s="59" t="inlineStr">
        <is>
          <t>Ruang Sekretaris</t>
        </is>
      </c>
      <c r="P334" s="214" t="n"/>
      <c r="Q334" s="217">
        <f>B334</f>
        <v/>
      </c>
      <c r="R334" s="217" t="n"/>
      <c r="S334" s="218">
        <f>H334</f>
        <v/>
      </c>
      <c r="T334" s="218">
        <f>J334</f>
        <v/>
      </c>
      <c r="U334" s="217" t="n"/>
      <c r="V334" s="218" t="n"/>
      <c r="W334" s="222" t="n"/>
      <c r="X334" s="88" t="n"/>
      <c r="Y334" s="88" t="n"/>
    </row>
    <row r="335" ht="31.5" customHeight="1" s="79">
      <c r="A335" s="47">
        <f>A334+1</f>
        <v/>
      </c>
      <c r="B335" s="552" t="inlineStr">
        <is>
          <t>Proyektor + Attachment</t>
        </is>
      </c>
      <c r="C335" s="592" t="n"/>
      <c r="D335" s="40" t="inlineStr">
        <is>
          <t>INFOCUS / INI24STX</t>
        </is>
      </c>
      <c r="E335" s="109" t="n"/>
      <c r="F335" s="109" t="n"/>
      <c r="G335" s="42" t="inlineStr">
        <is>
          <t>Besi Plastik</t>
        </is>
      </c>
      <c r="H335" s="43" t="n">
        <v>2019</v>
      </c>
      <c r="I335" s="43" t="inlineStr">
        <is>
          <t>02.07.01.01.003</t>
        </is>
      </c>
      <c r="J335" s="44" t="inlineStr">
        <is>
          <t>0002</t>
        </is>
      </c>
      <c r="K335" s="63" t="n">
        <v>15090000</v>
      </c>
      <c r="L335" s="43" t="inlineStr">
        <is>
          <t>Baik</t>
        </is>
      </c>
      <c r="M335" s="43" t="n"/>
      <c r="N335" s="109" t="n"/>
      <c r="O335" s="26" t="inlineStr">
        <is>
          <t>Ruang Rapat</t>
        </is>
      </c>
      <c r="P335" s="214" t="n"/>
      <c r="Q335" s="217">
        <f>B335</f>
        <v/>
      </c>
      <c r="R335" s="217" t="n"/>
      <c r="S335" s="218">
        <f>H335</f>
        <v/>
      </c>
      <c r="T335" s="218">
        <f>J335</f>
        <v/>
      </c>
      <c r="U335" s="217" t="n"/>
      <c r="V335" s="218" t="n"/>
      <c r="W335" s="222" t="n"/>
      <c r="X335" s="88" t="n"/>
      <c r="Y335" s="88" t="n"/>
    </row>
    <row r="336" ht="18" customHeight="1" s="79">
      <c r="A336" s="47" t="n"/>
      <c r="B336" s="552" t="n"/>
      <c r="C336" s="592" t="n"/>
      <c r="D336" s="40" t="n"/>
      <c r="E336" s="109" t="n"/>
      <c r="F336" s="109" t="n"/>
      <c r="G336" s="42" t="n"/>
      <c r="H336" s="43" t="n"/>
      <c r="I336" s="43" t="n"/>
      <c r="J336" s="44" t="n"/>
      <c r="K336" s="63">
        <f>K31+K62+K94+K124+K157+K188+K209+K237+K261+K288+K318+J337</f>
        <v/>
      </c>
      <c r="L336" s="43" t="n"/>
      <c r="M336" s="43" t="n"/>
      <c r="N336" s="109" t="n"/>
      <c r="O336" s="26" t="n"/>
      <c r="P336" s="214" t="n"/>
      <c r="Q336" s="287" t="n"/>
      <c r="R336" s="287" t="n"/>
      <c r="S336" s="287" t="n"/>
      <c r="T336" s="287" t="n"/>
      <c r="U336" s="287" t="n"/>
      <c r="V336" s="218" t="n"/>
      <c r="W336" s="222" t="n"/>
      <c r="X336" s="88" t="n"/>
      <c r="Y336" s="88" t="n"/>
    </row>
    <row r="337" ht="18" customHeight="1" s="79">
      <c r="A337" s="221" t="n"/>
      <c r="B337" s="123" t="n"/>
      <c r="C337" s="123" t="n"/>
      <c r="D337" s="124" t="n"/>
      <c r="E337" s="125" t="n"/>
      <c r="F337" s="125" t="n"/>
      <c r="G337" s="94" t="n"/>
      <c r="H337" s="94" t="n"/>
      <c r="I337" s="94" t="n"/>
      <c r="J337" s="237">
        <f>SUM(K330:K335)</f>
        <v/>
      </c>
      <c r="K337" s="238" t="n">
        <v>664901169.27</v>
      </c>
      <c r="L337" s="94" t="n"/>
      <c r="M337" s="125" t="n"/>
      <c r="N337" s="125" t="n"/>
      <c r="O337" s="125" t="n"/>
      <c r="P337" s="214" t="n"/>
      <c r="Q337" s="287" t="n"/>
      <c r="R337" s="287" t="n"/>
      <c r="S337" s="287" t="n"/>
      <c r="T337" s="287" t="n"/>
      <c r="U337" s="287" t="n"/>
      <c r="V337" s="218" t="n"/>
      <c r="W337" s="222" t="n"/>
      <c r="X337" s="88" t="n"/>
      <c r="Y337" s="88" t="n"/>
    </row>
    <row r="338" ht="18" customHeight="1" s="79">
      <c r="A338" s="221" t="n"/>
      <c r="B338" s="123" t="n"/>
      <c r="C338" s="123" t="n"/>
      <c r="D338" s="124" t="n"/>
      <c r="E338" s="125" t="n"/>
      <c r="F338" s="125" t="n"/>
      <c r="G338" s="94" t="n"/>
      <c r="H338" s="94" t="n"/>
      <c r="I338" s="94" t="n"/>
      <c r="J338" s="235" t="n"/>
      <c r="K338" s="236">
        <f>K336-K337</f>
        <v/>
      </c>
      <c r="L338" s="94" t="n"/>
      <c r="M338" s="125" t="n"/>
      <c r="N338" s="125" t="n"/>
      <c r="O338" s="125" t="n"/>
      <c r="P338" s="214" t="n"/>
      <c r="Q338" s="287" t="n"/>
      <c r="R338" s="287" t="n"/>
      <c r="S338" s="287" t="n"/>
      <c r="T338" s="287" t="n"/>
      <c r="U338" s="287" t="n"/>
      <c r="V338" s="218" t="n"/>
      <c r="W338" s="222" t="n"/>
      <c r="X338" s="88" t="n"/>
      <c r="Y338" s="88" t="n"/>
    </row>
    <row r="339" ht="18" customHeight="1" s="79">
      <c r="C339" s="5" t="inlineStr">
        <is>
          <t>Mengetahui :</t>
        </is>
      </c>
      <c r="L339" s="23" t="inlineStr">
        <is>
          <t>Banjarmasin,        Desember 2025</t>
        </is>
      </c>
      <c r="P339" s="214" t="n"/>
      <c r="Q339" s="287" t="n"/>
      <c r="R339" s="287" t="n"/>
      <c r="S339" s="287" t="n"/>
      <c r="T339" s="287" t="n"/>
      <c r="U339" s="287" t="n"/>
      <c r="V339" s="218" t="n"/>
      <c r="W339" s="222" t="n"/>
      <c r="X339" s="88" t="n"/>
      <c r="Y339" s="88" t="n"/>
    </row>
    <row r="340" ht="18" customHeight="1" s="79">
      <c r="C340" s="5" t="inlineStr">
        <is>
          <t>Kepala Bakesbangpol Kota Banjarmasin,</t>
        </is>
      </c>
      <c r="L340" s="5" t="inlineStr">
        <is>
          <t>Pengurus Barang,</t>
        </is>
      </c>
      <c r="P340" s="214" t="n"/>
      <c r="Q340" s="287" t="n"/>
      <c r="R340" s="287" t="n"/>
      <c r="S340" s="287" t="n"/>
      <c r="T340" s="287" t="n"/>
      <c r="U340" s="287" t="n"/>
      <c r="V340" s="218" t="n"/>
      <c r="W340" s="222" t="n"/>
      <c r="X340" s="88" t="n"/>
      <c r="Y340" s="88" t="n"/>
    </row>
    <row r="341" ht="18" customHeight="1" s="79">
      <c r="C341" s="5" t="n"/>
      <c r="L341" s="5" t="n"/>
      <c r="P341" s="214" t="n"/>
      <c r="Q341" s="287" t="n"/>
      <c r="R341" s="287" t="n"/>
      <c r="S341" s="287" t="n"/>
      <c r="T341" s="287" t="n"/>
      <c r="U341" s="287" t="n"/>
      <c r="V341" s="284" t="n"/>
      <c r="W341" s="221" t="n"/>
    </row>
    <row r="342" ht="18" customHeight="1" s="79">
      <c r="C342" s="5" t="n"/>
      <c r="F342" s="88" t="n"/>
      <c r="L342" s="5" t="n"/>
      <c r="P342" s="214" t="n"/>
      <c r="Q342" s="287" t="n"/>
      <c r="R342" s="287" t="n"/>
      <c r="S342" s="287" t="n"/>
      <c r="T342" s="287" t="n"/>
      <c r="U342" s="287" t="n"/>
      <c r="V342" s="284" t="n"/>
      <c r="W342" s="221" t="n"/>
    </row>
    <row r="343" ht="18" customHeight="1" s="79">
      <c r="C343" s="5" t="n"/>
      <c r="L343" s="5" t="n"/>
      <c r="P343" s="214" t="n"/>
      <c r="Q343" s="287" t="n"/>
      <c r="R343" s="287" t="n"/>
      <c r="S343" s="287" t="n"/>
      <c r="T343" s="287" t="n"/>
      <c r="U343" s="287" t="n"/>
      <c r="V343" s="284" t="n"/>
      <c r="W343" s="221" t="n"/>
    </row>
    <row r="344" ht="18" customHeight="1" s="79">
      <c r="C344" s="6" t="inlineStr">
        <is>
          <t>Dr. H. LUKMAN FADLUN, SH, MH</t>
        </is>
      </c>
      <c r="L344" s="6" t="inlineStr">
        <is>
          <t>TRISNAWATI M ULYO HAPSARI, SE</t>
        </is>
      </c>
      <c r="P344" s="214" t="n"/>
      <c r="Q344" s="287" t="n"/>
      <c r="R344" s="287" t="n"/>
      <c r="S344" s="287" t="n"/>
      <c r="T344" s="287" t="n"/>
      <c r="U344" s="287" t="n"/>
      <c r="V344" s="214" t="n"/>
    </row>
    <row r="345" ht="18" customHeight="1" s="79">
      <c r="C345" s="5" t="inlineStr">
        <is>
          <t>Pembina Utama Muda</t>
        </is>
      </c>
      <c r="L345" s="23">
        <f>'RUANG DEPAN BIDANG (2)'!L81</f>
        <v/>
      </c>
      <c r="P345" s="214" t="n"/>
      <c r="Q345" s="287" t="n"/>
      <c r="R345" s="287" t="n"/>
      <c r="S345" s="287" t="n"/>
      <c r="T345" s="287" t="n"/>
      <c r="U345" s="287" t="n"/>
      <c r="V345" s="214" t="n"/>
    </row>
    <row r="346" ht="18" customHeight="1" s="79">
      <c r="C346" s="23" t="inlineStr">
        <is>
          <t>NIP. 19691013 200003 1 004</t>
        </is>
      </c>
      <c r="P346" s="214" t="n"/>
      <c r="Q346" s="287" t="n"/>
      <c r="R346" s="287" t="n"/>
      <c r="S346" s="287" t="n"/>
      <c r="T346" s="287" t="n"/>
      <c r="U346" s="287" t="n"/>
      <c r="V346" s="214" t="n"/>
    </row>
  </sheetData>
  <mergeCells count="325">
    <mergeCell ref="B141:C141"/>
    <mergeCell ref="B12:C12"/>
    <mergeCell ref="B248:C248"/>
    <mergeCell ref="B297:C297"/>
    <mergeCell ref="B235:C235"/>
    <mergeCell ref="B14:C14"/>
    <mergeCell ref="B312:C312"/>
    <mergeCell ref="F216:F218"/>
    <mergeCell ref="B13:C13"/>
    <mergeCell ref="D298:D299"/>
    <mergeCell ref="B78:C78"/>
    <mergeCell ref="B249:C249"/>
    <mergeCell ref="B205:C205"/>
    <mergeCell ref="B314:C314"/>
    <mergeCell ref="L131:N131"/>
    <mergeCell ref="B55:C55"/>
    <mergeCell ref="B243:C244"/>
    <mergeCell ref="B154:C154"/>
    <mergeCell ref="B200:C200"/>
    <mergeCell ref="B25:C25"/>
    <mergeCell ref="A70:A71"/>
    <mergeCell ref="B156:C156"/>
    <mergeCell ref="D217:D218"/>
    <mergeCell ref="B131:C131"/>
    <mergeCell ref="B236:C236"/>
    <mergeCell ref="B223:C223"/>
    <mergeCell ref="B220:C220"/>
    <mergeCell ref="B231:C231"/>
    <mergeCell ref="B287:C287"/>
    <mergeCell ref="F269:F271"/>
    <mergeCell ref="E40:E41"/>
    <mergeCell ref="B53:C53"/>
    <mergeCell ref="B84:C84"/>
    <mergeCell ref="E327:E328"/>
    <mergeCell ref="O70:O71"/>
    <mergeCell ref="B15:C15"/>
    <mergeCell ref="B313:C313"/>
    <mergeCell ref="B142:C142"/>
    <mergeCell ref="B79:C79"/>
    <mergeCell ref="G269:G271"/>
    <mergeCell ref="B144:C144"/>
    <mergeCell ref="B315:C315"/>
    <mergeCell ref="B242:C242"/>
    <mergeCell ref="B302:C302"/>
    <mergeCell ref="L216:N216"/>
    <mergeCell ref="B81:C81"/>
    <mergeCell ref="B208:C208"/>
    <mergeCell ref="B40:C41"/>
    <mergeCell ref="B170:C170"/>
    <mergeCell ref="B333:C333"/>
    <mergeCell ref="B327:C328"/>
    <mergeCell ref="B234:C234"/>
    <mergeCell ref="B172:C172"/>
    <mergeCell ref="B28:C28"/>
    <mergeCell ref="O243:O244"/>
    <mergeCell ref="A4:B4"/>
    <mergeCell ref="B92:C92"/>
    <mergeCell ref="B30:C30"/>
    <mergeCell ref="B76:C76"/>
    <mergeCell ref="E217:E218"/>
    <mergeCell ref="B150:C150"/>
    <mergeCell ref="O132:O133"/>
    <mergeCell ref="E270:E271"/>
    <mergeCell ref="B152:C152"/>
    <mergeCell ref="B229:C229"/>
    <mergeCell ref="B23:C23"/>
    <mergeCell ref="B145:C145"/>
    <mergeCell ref="D327:D328"/>
    <mergeCell ref="B181:C181"/>
    <mergeCell ref="L242:N242"/>
    <mergeCell ref="B87:C87"/>
    <mergeCell ref="B258:C258"/>
    <mergeCell ref="B147:C147"/>
    <mergeCell ref="G101:G103"/>
    <mergeCell ref="B245:C245"/>
    <mergeCell ref="L194:N194"/>
    <mergeCell ref="B260:C260"/>
    <mergeCell ref="B207:C207"/>
    <mergeCell ref="B334:C334"/>
    <mergeCell ref="E102:E103"/>
    <mergeCell ref="B132:C133"/>
    <mergeCell ref="B309:C309"/>
    <mergeCell ref="B113:C113"/>
    <mergeCell ref="B336:C336"/>
    <mergeCell ref="B165:C165"/>
    <mergeCell ref="B311:C311"/>
    <mergeCell ref="B115:C115"/>
    <mergeCell ref="B77:C77"/>
    <mergeCell ref="L9:N9"/>
    <mergeCell ref="L69:N69"/>
    <mergeCell ref="A327:A328"/>
    <mergeCell ref="O217:O218"/>
    <mergeCell ref="B178:C178"/>
    <mergeCell ref="Q9:R9"/>
    <mergeCell ref="B255:C255"/>
    <mergeCell ref="G69:G71"/>
    <mergeCell ref="B49:C49"/>
    <mergeCell ref="B316:C316"/>
    <mergeCell ref="B24:C24"/>
    <mergeCell ref="F297:F299"/>
    <mergeCell ref="B26:C26"/>
    <mergeCell ref="B197:C197"/>
    <mergeCell ref="D243:D244"/>
    <mergeCell ref="B330:C330"/>
    <mergeCell ref="D270:D271"/>
    <mergeCell ref="B90:C90"/>
    <mergeCell ref="B27:C27"/>
    <mergeCell ref="B217:C218"/>
    <mergeCell ref="B179:C179"/>
    <mergeCell ref="B250:C250"/>
    <mergeCell ref="A195:A196"/>
    <mergeCell ref="B116:C116"/>
    <mergeCell ref="B174:C174"/>
    <mergeCell ref="B279:C279"/>
    <mergeCell ref="B230:C230"/>
    <mergeCell ref="B168:C168"/>
    <mergeCell ref="D102:D103"/>
    <mergeCell ref="B118:C118"/>
    <mergeCell ref="B281:C281"/>
    <mergeCell ref="B70:C71"/>
    <mergeCell ref="B169:C169"/>
    <mergeCell ref="O270:O271"/>
    <mergeCell ref="B134:C134"/>
    <mergeCell ref="B194:C194"/>
    <mergeCell ref="B121:C121"/>
    <mergeCell ref="B332:C332"/>
    <mergeCell ref="B307:C307"/>
    <mergeCell ref="B58:C58"/>
    <mergeCell ref="B52:C52"/>
    <mergeCell ref="B60:C60"/>
    <mergeCell ref="F69:F71"/>
    <mergeCell ref="A3:B3"/>
    <mergeCell ref="E70:E71"/>
    <mergeCell ref="G297:G299"/>
    <mergeCell ref="A5:B5"/>
    <mergeCell ref="E243:E244"/>
    <mergeCell ref="B187:C187"/>
    <mergeCell ref="B251:C251"/>
    <mergeCell ref="B216:C216"/>
    <mergeCell ref="B45:C45"/>
    <mergeCell ref="B305:C305"/>
    <mergeCell ref="A40:A41"/>
    <mergeCell ref="O195:O196"/>
    <mergeCell ref="A132:A133"/>
    <mergeCell ref="B280:C280"/>
    <mergeCell ref="B109:C109"/>
    <mergeCell ref="B47:C47"/>
    <mergeCell ref="B59:C59"/>
    <mergeCell ref="D70:D71"/>
    <mergeCell ref="B46:C46"/>
    <mergeCell ref="B282:C282"/>
    <mergeCell ref="B48:C48"/>
    <mergeCell ref="B219:C219"/>
    <mergeCell ref="B73:C73"/>
    <mergeCell ref="E166:E167"/>
    <mergeCell ref="B137:C137"/>
    <mergeCell ref="B308:C308"/>
    <mergeCell ref="B300:C300"/>
    <mergeCell ref="B74:C74"/>
    <mergeCell ref="B201:C201"/>
    <mergeCell ref="B335:C335"/>
    <mergeCell ref="B310:C310"/>
    <mergeCell ref="B139:C139"/>
    <mergeCell ref="B195:C196"/>
    <mergeCell ref="B114:C114"/>
    <mergeCell ref="B203:C203"/>
    <mergeCell ref="F131:F133"/>
    <mergeCell ref="L269:N269"/>
    <mergeCell ref="B232:C232"/>
    <mergeCell ref="B326:C326"/>
    <mergeCell ref="E10:E11"/>
    <mergeCell ref="F9:F11"/>
    <mergeCell ref="B21:C21"/>
    <mergeCell ref="A217:A218"/>
    <mergeCell ref="B61:C61"/>
    <mergeCell ref="O40:O41"/>
    <mergeCell ref="B69:C69"/>
    <mergeCell ref="B283:C283"/>
    <mergeCell ref="B112:C112"/>
    <mergeCell ref="A270:A271"/>
    <mergeCell ref="B285:C285"/>
    <mergeCell ref="D10:D11"/>
    <mergeCell ref="B51:C51"/>
    <mergeCell ref="G326:G328"/>
    <mergeCell ref="O102:O103"/>
    <mergeCell ref="B16:C16"/>
    <mergeCell ref="B138:C138"/>
    <mergeCell ref="B301:C301"/>
    <mergeCell ref="O166:O167"/>
    <mergeCell ref="D195:D196"/>
    <mergeCell ref="B270:C271"/>
    <mergeCell ref="B18:C18"/>
    <mergeCell ref="B140:C140"/>
    <mergeCell ref="B303:C303"/>
    <mergeCell ref="B253:C253"/>
    <mergeCell ref="A298:A299"/>
    <mergeCell ref="B29:C29"/>
    <mergeCell ref="B329:C329"/>
    <mergeCell ref="O10:O11"/>
    <mergeCell ref="B102:C103"/>
    <mergeCell ref="B89:C89"/>
    <mergeCell ref="B331:C331"/>
    <mergeCell ref="B306:C306"/>
    <mergeCell ref="B166:C167"/>
    <mergeCell ref="B153:C153"/>
    <mergeCell ref="B224:C224"/>
    <mergeCell ref="B72:C72"/>
    <mergeCell ref="B199:C199"/>
    <mergeCell ref="B184:C184"/>
    <mergeCell ref="B228:C228"/>
    <mergeCell ref="B42:C42"/>
    <mergeCell ref="B17:C17"/>
    <mergeCell ref="B88:C88"/>
    <mergeCell ref="B148:C148"/>
    <mergeCell ref="B82:C82"/>
    <mergeCell ref="G194:G196"/>
    <mergeCell ref="B44:C44"/>
    <mergeCell ref="G39:G41"/>
    <mergeCell ref="B19:C19"/>
    <mergeCell ref="B317:C317"/>
    <mergeCell ref="B146:C146"/>
    <mergeCell ref="B304:C304"/>
    <mergeCell ref="B108:C108"/>
    <mergeCell ref="B254:C254"/>
    <mergeCell ref="B83:C83"/>
    <mergeCell ref="B143:C143"/>
    <mergeCell ref="F101:F103"/>
    <mergeCell ref="B20:C20"/>
    <mergeCell ref="B85:C85"/>
    <mergeCell ref="B256:C256"/>
    <mergeCell ref="E195:E196"/>
    <mergeCell ref="F165:F167"/>
    <mergeCell ref="L39:N39"/>
    <mergeCell ref="A6:B6"/>
    <mergeCell ref="B272:C272"/>
    <mergeCell ref="B259:C259"/>
    <mergeCell ref="D166:D167"/>
    <mergeCell ref="B136:C136"/>
    <mergeCell ref="B111:C111"/>
    <mergeCell ref="B225:C225"/>
    <mergeCell ref="B274:C274"/>
    <mergeCell ref="B175:C175"/>
    <mergeCell ref="L297:N297"/>
    <mergeCell ref="F242:F244"/>
    <mergeCell ref="B269:C269"/>
    <mergeCell ref="O298:O299"/>
    <mergeCell ref="B91:C91"/>
    <mergeCell ref="G216:G218"/>
    <mergeCell ref="B155:C155"/>
    <mergeCell ref="B22:C22"/>
    <mergeCell ref="B93:C93"/>
    <mergeCell ref="B149:C149"/>
    <mergeCell ref="A243:A244"/>
    <mergeCell ref="B247:C247"/>
    <mergeCell ref="B86:C86"/>
    <mergeCell ref="F39:F41"/>
    <mergeCell ref="B151:C151"/>
    <mergeCell ref="B101:C101"/>
    <mergeCell ref="G131:G133"/>
    <mergeCell ref="B182:C182"/>
    <mergeCell ref="B246:C246"/>
    <mergeCell ref="F326:F328"/>
    <mergeCell ref="B183:C183"/>
    <mergeCell ref="B177:C177"/>
    <mergeCell ref="B275:C275"/>
    <mergeCell ref="B104:C104"/>
    <mergeCell ref="A102:A103"/>
    <mergeCell ref="F194:F196"/>
    <mergeCell ref="B206:C206"/>
    <mergeCell ref="B277:C277"/>
    <mergeCell ref="B106:C106"/>
    <mergeCell ref="D40:D41"/>
    <mergeCell ref="A166:A167"/>
    <mergeCell ref="B252:C252"/>
    <mergeCell ref="B180:C180"/>
    <mergeCell ref="B117:C117"/>
    <mergeCell ref="G242:G244"/>
    <mergeCell ref="B119:C119"/>
    <mergeCell ref="B186:C186"/>
    <mergeCell ref="B257:C257"/>
    <mergeCell ref="A10:A11"/>
    <mergeCell ref="L101:N101"/>
    <mergeCell ref="L326:N326"/>
    <mergeCell ref="Q10:R11"/>
    <mergeCell ref="L165:N165"/>
    <mergeCell ref="B54:C54"/>
    <mergeCell ref="E132:E133"/>
    <mergeCell ref="B185:C185"/>
    <mergeCell ref="B10:C11"/>
    <mergeCell ref="B122:C122"/>
    <mergeCell ref="B56:C56"/>
    <mergeCell ref="O327:O328"/>
    <mergeCell ref="B276:C276"/>
    <mergeCell ref="B105:C105"/>
    <mergeCell ref="B176:C176"/>
    <mergeCell ref="B43:C43"/>
    <mergeCell ref="G9:G11"/>
    <mergeCell ref="B120:C120"/>
    <mergeCell ref="B278:C278"/>
    <mergeCell ref="B107:C107"/>
    <mergeCell ref="B57:C57"/>
    <mergeCell ref="B171:C171"/>
    <mergeCell ref="B9:C9"/>
    <mergeCell ref="E298:E299"/>
    <mergeCell ref="B204:C204"/>
    <mergeCell ref="B198:C198"/>
    <mergeCell ref="B173:C173"/>
    <mergeCell ref="B75:C75"/>
    <mergeCell ref="B135:C135"/>
    <mergeCell ref="B233:C233"/>
    <mergeCell ref="B227:C227"/>
    <mergeCell ref="B202:C202"/>
    <mergeCell ref="B273:C273"/>
    <mergeCell ref="B298:C299"/>
    <mergeCell ref="B39:C39"/>
    <mergeCell ref="G165:G167"/>
    <mergeCell ref="B226:C226"/>
    <mergeCell ref="D132:D133"/>
    <mergeCell ref="B284:C284"/>
    <mergeCell ref="B222:C222"/>
    <mergeCell ref="B123:C123"/>
    <mergeCell ref="B50:C50"/>
    <mergeCell ref="B221:C221"/>
    <mergeCell ref="B110:C110"/>
    <mergeCell ref="B286:C286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9"/>
  <sheetViews>
    <sheetView view="pageBreakPreview" topLeftCell="A34" zoomScaleNormal="55" workbookViewId="0">
      <selection activeCell="H47" sqref="H47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s="108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s="108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s="108" t="inlineStr">
        <is>
          <t>Badan Kesatuan Bangsa dan Politik Kota Banjarmasin</t>
        </is>
      </c>
      <c r="G5" s="1" t="n"/>
    </row>
    <row r="6" ht="18.75" customHeight="1" s="79">
      <c r="A6" s="545" t="inlineStr">
        <is>
          <t>Ruangan</t>
        </is>
      </c>
      <c r="C6" s="108" t="inlineStr">
        <is>
          <t>INVENTARIS KANTOR</t>
        </is>
      </c>
      <c r="G6" s="1" t="n"/>
    </row>
    <row r="7">
      <c r="A7" s="108" t="n"/>
      <c r="B7" s="108" t="n"/>
      <c r="C7" s="108" t="n"/>
    </row>
    <row r="8">
      <c r="A8" s="108" t="inlineStr">
        <is>
          <t xml:space="preserve">NO.KODE LOKASI : </t>
        </is>
      </c>
      <c r="B8" s="108" t="n"/>
      <c r="C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</row>
    <row r="10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</row>
    <row r="12">
      <c r="A12" s="47" t="n">
        <v>1</v>
      </c>
      <c r="B12" s="122" t="n">
        <v>2</v>
      </c>
      <c r="C12" s="589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</row>
    <row r="13" ht="63" customHeight="1" s="79">
      <c r="A13" s="7" t="n">
        <v>1</v>
      </c>
      <c r="B13" s="563" t="inlineStr">
        <is>
          <t>Laptop</t>
        </is>
      </c>
      <c r="C13" s="592" t="n"/>
      <c r="D13" s="48" t="inlineStr">
        <is>
          <t>ZYREX / SKY 2712 Intel Pentium (R) SU 2700</t>
        </is>
      </c>
      <c r="E13" s="41" t="n"/>
      <c r="F13" s="41" t="n"/>
      <c r="G13" s="43" t="inlineStr">
        <is>
          <t>Besi Plastik</t>
        </is>
      </c>
      <c r="H13" s="119" t="n">
        <v>2011</v>
      </c>
      <c r="I13" s="43" t="inlineStr">
        <is>
          <t>02.06.03.02.002</t>
        </is>
      </c>
      <c r="J13" s="44" t="inlineStr">
        <is>
          <t>0004</t>
        </is>
      </c>
      <c r="K13" s="63" t="n">
        <v>4750000</v>
      </c>
      <c r="L13" s="43" t="inlineStr">
        <is>
          <t>Baik</t>
        </is>
      </c>
      <c r="M13" s="109" t="n"/>
      <c r="N13" s="109" t="inlineStr">
        <is>
          <t>Rusak Berat</t>
        </is>
      </c>
      <c r="O13" s="42" t="inlineStr">
        <is>
          <t>Usul Penghapusan</t>
        </is>
      </c>
    </row>
    <row r="14" ht="47.25" customHeight="1" s="79">
      <c r="A14" s="7">
        <f>A13+1</f>
        <v/>
      </c>
      <c r="B14" s="563" t="inlineStr">
        <is>
          <t>Laptop</t>
        </is>
      </c>
      <c r="C14" s="592" t="n"/>
      <c r="D14" s="48" t="inlineStr">
        <is>
          <t>Axioo / M72SR/M720SR/TVS</t>
        </is>
      </c>
      <c r="E14" s="41" t="n"/>
      <c r="F14" s="41" t="n"/>
      <c r="G14" s="43" t="inlineStr">
        <is>
          <t>Besi Plastik</t>
        </is>
      </c>
      <c r="H14" s="119" t="n">
        <v>2008</v>
      </c>
      <c r="I14" s="43" t="inlineStr">
        <is>
          <t>02.06.03.02.002</t>
        </is>
      </c>
      <c r="J14" s="44" t="inlineStr">
        <is>
          <t>0006</t>
        </is>
      </c>
      <c r="K14" s="63" t="n">
        <v>10100000</v>
      </c>
      <c r="L14" s="43" t="inlineStr">
        <is>
          <t>Baik</t>
        </is>
      </c>
      <c r="M14" s="109" t="n"/>
      <c r="N14" s="109" t="inlineStr">
        <is>
          <t>Rusak Berat</t>
        </is>
      </c>
      <c r="O14" s="42" t="inlineStr">
        <is>
          <t>Usul Penghapusan</t>
        </is>
      </c>
    </row>
    <row r="15" ht="47.25" customHeight="1" s="79">
      <c r="A15" s="7">
        <f>A14+1</f>
        <v/>
      </c>
      <c r="B15" s="563" t="inlineStr">
        <is>
          <t>Laptop</t>
        </is>
      </c>
      <c r="C15" s="592" t="n"/>
      <c r="D15" s="48" t="inlineStr">
        <is>
          <t>Acer/Aspire 4736Z-441G25MN</t>
        </is>
      </c>
      <c r="E15" s="41" t="n"/>
      <c r="F15" s="41" t="n"/>
      <c r="G15" s="43" t="inlineStr">
        <is>
          <t>Besi Plastik</t>
        </is>
      </c>
      <c r="H15" s="119" t="n">
        <v>2009</v>
      </c>
      <c r="I15" s="43" t="inlineStr">
        <is>
          <t>02.06.03.02.002</t>
        </is>
      </c>
      <c r="J15" s="44" t="inlineStr">
        <is>
          <t>0009</t>
        </is>
      </c>
      <c r="K15" s="63" t="n">
        <v>8450000</v>
      </c>
      <c r="L15" s="43" t="inlineStr">
        <is>
          <t>Baik</t>
        </is>
      </c>
      <c r="M15" s="109" t="n"/>
      <c r="N15" s="109" t="inlineStr">
        <is>
          <t>Rusak Berat</t>
        </is>
      </c>
      <c r="O15" s="42" t="inlineStr">
        <is>
          <t>Usul Penghapusan</t>
        </is>
      </c>
    </row>
    <row r="16" ht="47.25" customHeight="1" s="79">
      <c r="A16" s="7">
        <f>A15+1</f>
        <v/>
      </c>
      <c r="B16" s="563" t="inlineStr">
        <is>
          <t>Laptop</t>
        </is>
      </c>
      <c r="C16" s="592" t="n"/>
      <c r="D16" s="48" t="inlineStr">
        <is>
          <t>Toshiba/ Satellite L510</t>
        </is>
      </c>
      <c r="E16" s="41" t="n"/>
      <c r="F16" s="41" t="n"/>
      <c r="G16" s="43" t="inlineStr">
        <is>
          <t>Besi Plastik</t>
        </is>
      </c>
      <c r="H16" s="43" t="n">
        <v>2009</v>
      </c>
      <c r="I16" s="43" t="inlineStr">
        <is>
          <t>02.06.03.02.002</t>
        </is>
      </c>
      <c r="J16" s="44" t="inlineStr">
        <is>
          <t>0010</t>
        </is>
      </c>
      <c r="K16" s="63" t="n">
        <v>13000000</v>
      </c>
      <c r="L16" s="43" t="inlineStr">
        <is>
          <t>Baik</t>
        </is>
      </c>
      <c r="M16" s="109" t="n"/>
      <c r="N16" s="109" t="n"/>
      <c r="O16" s="43" t="inlineStr">
        <is>
          <t>Ibu Tati</t>
        </is>
      </c>
    </row>
    <row r="17" ht="63" customHeight="1" s="79">
      <c r="A17" s="7">
        <f>A16+1</f>
        <v/>
      </c>
      <c r="B17" s="563" t="inlineStr">
        <is>
          <t>Laptop</t>
        </is>
      </c>
      <c r="C17" s="592" t="n"/>
      <c r="D17" s="48" t="inlineStr">
        <is>
          <t>Thosiba / Satellite L740-1228U</t>
        </is>
      </c>
      <c r="E17" s="41" t="n"/>
      <c r="F17" s="41" t="n"/>
      <c r="G17" s="43" t="inlineStr">
        <is>
          <t>Besi Plastik</t>
        </is>
      </c>
      <c r="H17" s="119" t="n">
        <v>2012</v>
      </c>
      <c r="I17" s="43" t="inlineStr">
        <is>
          <t>02.06.03.02.002</t>
        </is>
      </c>
      <c r="J17" s="44" t="inlineStr">
        <is>
          <t>0011</t>
        </is>
      </c>
      <c r="K17" s="63" t="n">
        <v>6375000</v>
      </c>
      <c r="L17" s="43" t="inlineStr">
        <is>
          <t>Baik</t>
        </is>
      </c>
      <c r="M17" s="109" t="n"/>
      <c r="N17" s="109" t="inlineStr">
        <is>
          <t>Rusak Berat</t>
        </is>
      </c>
      <c r="O17" s="42" t="inlineStr">
        <is>
          <t>Usul Penghapusan</t>
        </is>
      </c>
    </row>
    <row r="18" ht="47.25" customHeight="1" s="79">
      <c r="A18" s="7">
        <f>A17+1</f>
        <v/>
      </c>
      <c r="B18" s="563" t="inlineStr">
        <is>
          <t>Laptop</t>
        </is>
      </c>
      <c r="C18" s="592" t="n"/>
      <c r="D18" s="120" t="inlineStr">
        <is>
          <t xml:space="preserve">Thosiba Satellite L735 </t>
        </is>
      </c>
      <c r="E18" s="41" t="n"/>
      <c r="F18" s="41" t="n"/>
      <c r="G18" s="43" t="inlineStr">
        <is>
          <t>Besi Plastik</t>
        </is>
      </c>
      <c r="H18" s="119" t="n">
        <v>2013</v>
      </c>
      <c r="I18" s="43" t="inlineStr">
        <is>
          <t>02.06.03.02.002</t>
        </is>
      </c>
      <c r="J18" s="44" t="inlineStr">
        <is>
          <t>0012</t>
        </is>
      </c>
      <c r="K18" s="63" t="n">
        <v>6387278</v>
      </c>
      <c r="L18" s="43" t="inlineStr">
        <is>
          <t>Baik</t>
        </is>
      </c>
      <c r="M18" s="109" t="n"/>
      <c r="N18" s="109" t="inlineStr">
        <is>
          <t>Rusak Berat</t>
        </is>
      </c>
      <c r="O18" s="42" t="inlineStr">
        <is>
          <t>Usul Penghapusan</t>
        </is>
      </c>
    </row>
    <row r="19" ht="47.25" customHeight="1" s="79">
      <c r="A19" s="7">
        <f>A18+1</f>
        <v/>
      </c>
      <c r="B19" s="563" t="inlineStr">
        <is>
          <t>Laptop</t>
        </is>
      </c>
      <c r="C19" s="592" t="n"/>
      <c r="D19" s="120" t="inlineStr">
        <is>
          <t>Thosiba / C40-A</t>
        </is>
      </c>
      <c r="E19" s="41" t="n"/>
      <c r="F19" s="41" t="n"/>
      <c r="G19" s="43" t="inlineStr">
        <is>
          <t>Besi Plastik</t>
        </is>
      </c>
      <c r="H19" s="119" t="n">
        <v>2013</v>
      </c>
      <c r="I19" s="43" t="inlineStr">
        <is>
          <t>02.06.03.02.002</t>
        </is>
      </c>
      <c r="J19" s="44" t="inlineStr">
        <is>
          <t>0013</t>
        </is>
      </c>
      <c r="K19" s="63" t="n">
        <v>6940058.06</v>
      </c>
      <c r="L19" s="43" t="inlineStr">
        <is>
          <t>Baik</t>
        </is>
      </c>
      <c r="M19" s="109" t="n"/>
      <c r="N19" s="109" t="inlineStr">
        <is>
          <t>Rusak Berat</t>
        </is>
      </c>
      <c r="O19" s="42" t="inlineStr">
        <is>
          <t>Usul Penghapusan</t>
        </is>
      </c>
    </row>
    <row r="20" ht="31.5" customHeight="1" s="79">
      <c r="A20" s="7">
        <f>A19+1</f>
        <v/>
      </c>
      <c r="B20" s="564" t="inlineStr">
        <is>
          <t>Laptop</t>
        </is>
      </c>
      <c r="C20" s="592" t="n"/>
      <c r="D20" s="40" t="inlineStr">
        <is>
          <t>Lenovo/ G400S</t>
        </is>
      </c>
      <c r="E20" s="60" t="n"/>
      <c r="F20" s="60" t="n"/>
      <c r="G20" s="39" t="inlineStr">
        <is>
          <t>Besi Plastik</t>
        </is>
      </c>
      <c r="H20" s="39" t="n">
        <v>2014</v>
      </c>
      <c r="I20" s="39" t="inlineStr">
        <is>
          <t>02.06.03.02.002</t>
        </is>
      </c>
      <c r="J20" s="44" t="inlineStr">
        <is>
          <t>0014</t>
        </is>
      </c>
      <c r="K20" s="90" t="n">
        <v>7809160</v>
      </c>
      <c r="L20" s="43" t="inlineStr">
        <is>
          <t>Baik</t>
        </is>
      </c>
      <c r="M20" s="60" t="n"/>
      <c r="N20" s="60" t="n"/>
      <c r="O20" s="43" t="inlineStr">
        <is>
          <t>Arief</t>
        </is>
      </c>
    </row>
    <row r="21" ht="47.25" customHeight="1" s="79">
      <c r="A21" s="7">
        <f>A20+1</f>
        <v/>
      </c>
      <c r="B21" s="564" t="inlineStr">
        <is>
          <t>Laptop</t>
        </is>
      </c>
      <c r="C21" s="592" t="n"/>
      <c r="D21" s="40" t="inlineStr">
        <is>
          <t>Lenovo / G 400 S</t>
        </is>
      </c>
      <c r="E21" s="60" t="n"/>
      <c r="F21" s="60" t="n"/>
      <c r="G21" s="39" t="inlineStr">
        <is>
          <t>Besi Plastik</t>
        </is>
      </c>
      <c r="H21" s="39" t="n">
        <v>2014</v>
      </c>
      <c r="I21" s="39" t="inlineStr">
        <is>
          <t>02.06.03.02.002</t>
        </is>
      </c>
      <c r="J21" s="177" t="n">
        <v>2015</v>
      </c>
      <c r="K21" s="90" t="n">
        <v>7809160</v>
      </c>
      <c r="L21" s="42" t="inlineStr">
        <is>
          <t>Rusak Berat</t>
        </is>
      </c>
      <c r="M21" s="60" t="n"/>
      <c r="N21" s="109" t="inlineStr">
        <is>
          <t>Rusak Berat</t>
        </is>
      </c>
      <c r="O21" s="42" t="inlineStr">
        <is>
          <t>Usul Penghapusan</t>
        </is>
      </c>
    </row>
    <row r="22" ht="31.5" customHeight="1" s="79">
      <c r="A22" s="7">
        <f>A21+1</f>
        <v/>
      </c>
      <c r="B22" s="564" t="inlineStr">
        <is>
          <t>Laptop</t>
        </is>
      </c>
      <c r="C22" s="592" t="n"/>
      <c r="D22" s="40" t="inlineStr">
        <is>
          <t>Lenovo/ G400S</t>
        </is>
      </c>
      <c r="E22" s="60" t="n"/>
      <c r="F22" s="60" t="n"/>
      <c r="G22" s="39" t="inlineStr">
        <is>
          <t>Besi Plastik</t>
        </is>
      </c>
      <c r="H22" s="39" t="n">
        <v>2014</v>
      </c>
      <c r="I22" s="39" t="inlineStr">
        <is>
          <t>02.06.03.02.002</t>
        </is>
      </c>
      <c r="J22" s="44" t="inlineStr">
        <is>
          <t>0016</t>
        </is>
      </c>
      <c r="K22" s="90" t="n">
        <v>7809160</v>
      </c>
      <c r="L22" s="43" t="inlineStr">
        <is>
          <t>Baik</t>
        </is>
      </c>
      <c r="M22" s="60" t="n"/>
      <c r="N22" s="60" t="n"/>
      <c r="O22" s="43" t="inlineStr">
        <is>
          <t xml:space="preserve">Olip </t>
        </is>
      </c>
    </row>
    <row r="23">
      <c r="A23" s="7">
        <f>A22+1</f>
        <v/>
      </c>
      <c r="B23" s="564" t="inlineStr">
        <is>
          <t>Laptop</t>
        </is>
      </c>
      <c r="C23" s="592" t="n"/>
      <c r="D23" s="170" t="inlineStr">
        <is>
          <t>Asus/ X455L</t>
        </is>
      </c>
      <c r="E23" s="60" t="n"/>
      <c r="F23" s="60" t="n"/>
      <c r="G23" s="39" t="inlineStr">
        <is>
          <t>Besi Plastik</t>
        </is>
      </c>
      <c r="H23" s="39" t="n">
        <v>2015</v>
      </c>
      <c r="I23" s="39" t="inlineStr">
        <is>
          <t>02.06.03.02.002</t>
        </is>
      </c>
      <c r="J23" s="44" t="inlineStr">
        <is>
          <t>0017</t>
        </is>
      </c>
      <c r="K23" s="64" t="n">
        <v>6930263</v>
      </c>
      <c r="L23" s="43" t="inlineStr">
        <is>
          <t>Baik</t>
        </is>
      </c>
      <c r="M23" s="60" t="n"/>
      <c r="N23" s="60" t="n"/>
      <c r="O23" s="43" t="inlineStr">
        <is>
          <t>Adytia</t>
        </is>
      </c>
    </row>
    <row r="24">
      <c r="A24" s="7">
        <f>A23+1</f>
        <v/>
      </c>
      <c r="B24" s="564" t="inlineStr">
        <is>
          <t>Laptop</t>
        </is>
      </c>
      <c r="C24" s="592" t="n"/>
      <c r="D24" s="170" t="inlineStr">
        <is>
          <t>Asus/ X455L</t>
        </is>
      </c>
      <c r="E24" s="170" t="n"/>
      <c r="F24" s="170" t="n"/>
      <c r="G24" s="49" t="inlineStr">
        <is>
          <t>Besi Plastik</t>
        </is>
      </c>
      <c r="H24" s="49" t="n">
        <v>2015</v>
      </c>
      <c r="I24" s="49" t="inlineStr">
        <is>
          <t>02.06.03.02.002</t>
        </is>
      </c>
      <c r="J24" s="56" t="inlineStr">
        <is>
          <t>0018</t>
        </is>
      </c>
      <c r="K24" s="64" t="n">
        <v>6930263</v>
      </c>
      <c r="L24" s="58" t="inlineStr">
        <is>
          <t>Baik</t>
        </is>
      </c>
      <c r="M24" s="170" t="n"/>
      <c r="N24" s="170" t="n"/>
      <c r="O24" s="39" t="inlineStr">
        <is>
          <t>Sekretaris</t>
        </is>
      </c>
    </row>
    <row r="25" ht="47.25" customHeight="1" s="79">
      <c r="A25" s="7">
        <f>A24+1</f>
        <v/>
      </c>
      <c r="B25" s="564" t="inlineStr">
        <is>
          <t>Laptop</t>
        </is>
      </c>
      <c r="C25" s="592" t="n"/>
      <c r="D25" s="170" t="inlineStr">
        <is>
          <t>Asus/ X455L</t>
        </is>
      </c>
      <c r="E25" s="170" t="n"/>
      <c r="F25" s="170" t="n"/>
      <c r="G25" s="49" t="inlineStr">
        <is>
          <t>Besi Plastik</t>
        </is>
      </c>
      <c r="H25" s="49" t="n">
        <v>2015</v>
      </c>
      <c r="I25" s="49" t="inlineStr">
        <is>
          <t>02.06.03.02.002</t>
        </is>
      </c>
      <c r="J25" s="44" t="inlineStr">
        <is>
          <t>0019</t>
        </is>
      </c>
      <c r="K25" s="64" t="n">
        <v>6930263</v>
      </c>
      <c r="L25" s="58" t="n"/>
      <c r="M25" s="42" t="inlineStr">
        <is>
          <t>Kurang Baik Keyboard Rusak</t>
        </is>
      </c>
      <c r="N25" s="170" t="n"/>
      <c r="O25" s="43" t="inlineStr">
        <is>
          <t>Indra A</t>
        </is>
      </c>
    </row>
    <row r="26" ht="30" customHeight="1" s="79">
      <c r="A26" s="7">
        <f>A25+1</f>
        <v/>
      </c>
      <c r="B26" s="564" t="inlineStr">
        <is>
          <t>Laptop</t>
        </is>
      </c>
      <c r="C26" s="592" t="n"/>
      <c r="D26" s="170" t="inlineStr">
        <is>
          <t>Asus/ X455L</t>
        </is>
      </c>
      <c r="E26" s="41" t="n"/>
      <c r="F26" s="41" t="n"/>
      <c r="G26" s="43" t="inlineStr">
        <is>
          <t>Besi Plastik</t>
        </is>
      </c>
      <c r="H26" s="43" t="n">
        <v>2015</v>
      </c>
      <c r="I26" s="43" t="inlineStr">
        <is>
          <t>02.06.03.02.002</t>
        </is>
      </c>
      <c r="J26" s="44" t="inlineStr">
        <is>
          <t>0020</t>
        </is>
      </c>
      <c r="K26" s="63" t="n">
        <v>6650000</v>
      </c>
      <c r="L26" s="93" t="inlineStr">
        <is>
          <t>Kurang Baik</t>
        </is>
      </c>
      <c r="M26" s="41" t="n"/>
      <c r="N26" s="170" t="n"/>
      <c r="O26" s="43" t="inlineStr">
        <is>
          <t>Ansara</t>
        </is>
      </c>
    </row>
    <row r="27" ht="47.25" customHeight="1" s="79">
      <c r="A27" s="7">
        <f>A26+1</f>
        <v/>
      </c>
      <c r="B27" s="564" t="inlineStr">
        <is>
          <t>Laptop</t>
        </is>
      </c>
      <c r="C27" s="592" t="n"/>
      <c r="D27" s="10" t="inlineStr">
        <is>
          <t>DEL INSPIRON / 14-3458</t>
        </is>
      </c>
      <c r="E27" s="12" t="n"/>
      <c r="F27" s="12" t="n"/>
      <c r="G27" s="9" t="inlineStr">
        <is>
          <t>Besi Plastik</t>
        </is>
      </c>
      <c r="H27" s="9" t="n">
        <v>2016</v>
      </c>
      <c r="I27" s="9" t="inlineStr">
        <is>
          <t>02.06.03.02.002</t>
        </is>
      </c>
      <c r="J27" s="11" t="inlineStr">
        <is>
          <t>0021</t>
        </is>
      </c>
      <c r="K27" s="20" t="n">
        <v>6650000</v>
      </c>
      <c r="L27" s="42" t="n"/>
      <c r="M27" s="42" t="inlineStr">
        <is>
          <t>Kurang Baik</t>
        </is>
      </c>
      <c r="N27" s="4" t="n"/>
      <c r="O27" s="9" t="inlineStr">
        <is>
          <t>Ibu Ida</t>
        </is>
      </c>
    </row>
    <row r="28">
      <c r="K28" s="24" t="n"/>
    </row>
    <row r="29">
      <c r="A29" s="88" t="n"/>
      <c r="E29" s="88" t="n"/>
      <c r="K29" s="25" t="n"/>
    </row>
    <row r="30">
      <c r="A30" s="88" t="n"/>
      <c r="E30" s="88" t="n"/>
    </row>
    <row r="31">
      <c r="A31" s="88" t="n"/>
      <c r="E31" s="88" t="n"/>
    </row>
    <row r="32">
      <c r="A32" s="88" t="n"/>
      <c r="E32" s="88" t="n"/>
    </row>
    <row r="33">
      <c r="A33" s="88" t="n"/>
      <c r="E33" s="88" t="n"/>
    </row>
    <row r="34">
      <c r="A34" s="88" t="n"/>
      <c r="B34" s="88" t="n"/>
      <c r="C34" s="222" t="n"/>
      <c r="D34" s="222" t="n"/>
      <c r="E34" s="88" t="n"/>
      <c r="F34" s="88" t="n"/>
      <c r="G34" s="222" t="n"/>
      <c r="H34" s="222" t="n"/>
      <c r="I34" s="222" t="n"/>
      <c r="J34" s="71" t="n"/>
      <c r="K34" s="72" t="n"/>
      <c r="L34" s="94" t="n"/>
      <c r="M34" s="68" t="n"/>
      <c r="O34" s="80" t="n"/>
    </row>
    <row r="35">
      <c r="A35" s="221" t="n"/>
      <c r="B35" s="96" t="n"/>
      <c r="C35" s="96" t="n"/>
      <c r="D35" s="97" t="n"/>
      <c r="E35" s="88" t="n"/>
      <c r="F35" s="88" t="n"/>
      <c r="G35" s="222" t="n"/>
      <c r="H35" s="222" t="n"/>
      <c r="I35" s="222" t="n"/>
      <c r="J35" s="71" t="n"/>
      <c r="K35" s="72" t="n"/>
      <c r="L35" s="94" t="n"/>
      <c r="M35" s="68" t="n"/>
      <c r="O35" s="80" t="n"/>
    </row>
    <row r="36">
      <c r="A36" s="538" t="inlineStr">
        <is>
          <t>No.</t>
        </is>
      </c>
      <c r="B36" s="538" t="inlineStr">
        <is>
          <t>Nama Barang</t>
        </is>
      </c>
      <c r="C36" s="589" t="n"/>
      <c r="D36" s="538" t="inlineStr">
        <is>
          <t>Merk/</t>
        </is>
      </c>
      <c r="E36" s="538" t="inlineStr">
        <is>
          <t>No. Seri</t>
        </is>
      </c>
      <c r="F36" s="655" t="inlineStr">
        <is>
          <t>Ukuran</t>
        </is>
      </c>
      <c r="G36" s="655" t="inlineStr">
        <is>
          <t>Bahan</t>
        </is>
      </c>
      <c r="H36" s="538" t="inlineStr">
        <is>
          <t xml:space="preserve">Tahun </t>
        </is>
      </c>
      <c r="I36" s="538" t="n"/>
      <c r="J36" s="538" t="inlineStr">
        <is>
          <t xml:space="preserve">Jumlah </t>
        </is>
      </c>
      <c r="K36" s="538" t="inlineStr">
        <is>
          <t xml:space="preserve">Harga </t>
        </is>
      </c>
      <c r="L36" s="544" t="inlineStr">
        <is>
          <t xml:space="preserve">Keadaan Barang </t>
        </is>
      </c>
      <c r="M36" s="591" t="n"/>
      <c r="N36" s="592" t="n"/>
      <c r="O36" s="538" t="inlineStr">
        <is>
          <t>Keterangan</t>
        </is>
      </c>
    </row>
    <row r="37">
      <c r="A37" s="543" t="inlineStr">
        <is>
          <t>Urut</t>
        </is>
      </c>
      <c r="B37" s="543" t="inlineStr">
        <is>
          <t>Jenis Barang</t>
        </is>
      </c>
      <c r="C37" s="593" t="n"/>
      <c r="D37" s="543" t="inlineStr">
        <is>
          <t>Model</t>
        </is>
      </c>
      <c r="E37" s="543" t="inlineStr">
        <is>
          <t>Pabrik</t>
        </is>
      </c>
      <c r="F37" s="594" t="n"/>
      <c r="G37" s="594" t="n"/>
      <c r="H37" s="104" t="inlineStr">
        <is>
          <t>Pembuatan</t>
        </is>
      </c>
      <c r="I37" s="104" t="inlineStr">
        <is>
          <t xml:space="preserve">No/. Kode Barang </t>
        </is>
      </c>
      <c r="J37" s="104" t="inlineStr">
        <is>
          <t>Barang</t>
        </is>
      </c>
      <c r="K37" s="104" t="inlineStr">
        <is>
          <t>Beli/</t>
        </is>
      </c>
      <c r="L37" s="104" t="inlineStr">
        <is>
          <t>Baik</t>
        </is>
      </c>
      <c r="M37" s="104" t="inlineStr">
        <is>
          <t>Kurang Baik</t>
        </is>
      </c>
      <c r="N37" s="104" t="inlineStr">
        <is>
          <t>Rusak Berat</t>
        </is>
      </c>
      <c r="O37" s="540" t="inlineStr">
        <is>
          <t>Mutasi dll</t>
        </is>
      </c>
    </row>
    <row r="38">
      <c r="A38" s="595" t="n"/>
      <c r="B38" s="596" t="n"/>
      <c r="C38" s="597" t="n"/>
      <c r="D38" s="595" t="n"/>
      <c r="E38" s="595" t="n"/>
      <c r="F38" s="595" t="n"/>
      <c r="G38" s="595" t="n"/>
      <c r="H38" s="105" t="inlineStr">
        <is>
          <t>Atau Pembelian</t>
        </is>
      </c>
      <c r="I38" s="105" t="n"/>
      <c r="J38" s="105" t="inlineStr">
        <is>
          <t>Register x)</t>
        </is>
      </c>
      <c r="K38" s="105" t="inlineStr">
        <is>
          <t>Perolehan</t>
        </is>
      </c>
      <c r="L38" s="105" t="inlineStr">
        <is>
          <t>(B)</t>
        </is>
      </c>
      <c r="M38" s="105" t="inlineStr">
        <is>
          <t>(KB)</t>
        </is>
      </c>
      <c r="N38" s="105" t="inlineStr">
        <is>
          <t>(RB)</t>
        </is>
      </c>
      <c r="O38" s="595" t="n"/>
    </row>
    <row r="39">
      <c r="A39" s="122" t="n">
        <v>1</v>
      </c>
      <c r="B39" s="122" t="n">
        <v>2</v>
      </c>
      <c r="C39" s="589" t="n"/>
      <c r="D39" s="539" t="n">
        <v>3</v>
      </c>
      <c r="E39" s="539" t="n">
        <v>4</v>
      </c>
      <c r="F39" s="542" t="n">
        <v>5</v>
      </c>
      <c r="G39" s="542" t="n">
        <v>6</v>
      </c>
      <c r="H39" s="104" t="n">
        <v>7</v>
      </c>
      <c r="I39" s="104" t="n">
        <v>8</v>
      </c>
      <c r="J39" s="104" t="n">
        <v>9</v>
      </c>
      <c r="K39" s="104" t="n">
        <v>10</v>
      </c>
      <c r="L39" s="104" t="n">
        <v>11</v>
      </c>
      <c r="M39" s="104" t="n">
        <v>12</v>
      </c>
      <c r="N39" s="104" t="n">
        <v>13</v>
      </c>
      <c r="O39" s="539" t="n">
        <v>14</v>
      </c>
    </row>
    <row r="40" ht="63" customHeight="1" s="79">
      <c r="A40" s="7" t="n">
        <v>16</v>
      </c>
      <c r="B40" s="564" t="inlineStr">
        <is>
          <t>Laptop</t>
        </is>
      </c>
      <c r="C40" s="592" t="n"/>
      <c r="D40" s="40" t="inlineStr">
        <is>
          <t>ASUS / X441UA</t>
        </is>
      </c>
      <c r="E40" s="12" t="n"/>
      <c r="F40" s="12" t="n"/>
      <c r="G40" s="9" t="n"/>
      <c r="H40" s="9" t="n">
        <v>2018</v>
      </c>
      <c r="I40" s="9" t="inlineStr">
        <is>
          <t>02.06.03.02.002</t>
        </is>
      </c>
      <c r="J40" s="11" t="inlineStr">
        <is>
          <t>0022</t>
        </is>
      </c>
      <c r="K40" s="20" t="n">
        <v>7063443</v>
      </c>
      <c r="L40" s="43" t="n"/>
      <c r="M40" s="42" t="n"/>
      <c r="N40" s="109" t="inlineStr">
        <is>
          <t>Rusak Berat</t>
        </is>
      </c>
      <c r="O40" s="42" t="inlineStr">
        <is>
          <t>Usul Penghapusan / Kabid Ideologi</t>
        </is>
      </c>
    </row>
    <row r="41" ht="31.5" customHeight="1" s="79">
      <c r="A41" s="7">
        <f>#REF!+1</f>
        <v/>
      </c>
      <c r="B41" s="563" t="inlineStr">
        <is>
          <t>Laptop</t>
        </is>
      </c>
      <c r="C41" s="592" t="n"/>
      <c r="D41" s="10" t="inlineStr">
        <is>
          <t>ASUS X407UA</t>
        </is>
      </c>
      <c r="E41" s="12" t="n"/>
      <c r="F41" s="12" t="n"/>
      <c r="G41" s="9" t="inlineStr">
        <is>
          <t>Besi Plastik</t>
        </is>
      </c>
      <c r="H41" s="9" t="n">
        <v>2019</v>
      </c>
      <c r="I41" s="9" t="inlineStr">
        <is>
          <t>02.06.03.02.002</t>
        </is>
      </c>
      <c r="J41" s="11" t="inlineStr">
        <is>
          <t>0023</t>
        </is>
      </c>
      <c r="K41" s="20" t="n">
        <v>6795775</v>
      </c>
      <c r="L41" s="43" t="inlineStr">
        <is>
          <t>Baik</t>
        </is>
      </c>
      <c r="M41" s="12" t="n"/>
      <c r="N41" s="12" t="n"/>
      <c r="O41" s="9" t="inlineStr">
        <is>
          <t>Katerina</t>
        </is>
      </c>
    </row>
    <row r="42" ht="31.5" customHeight="1" s="79">
      <c r="A42" s="7">
        <f>A41+1</f>
        <v/>
      </c>
      <c r="B42" s="564" t="inlineStr">
        <is>
          <t>Laptop</t>
        </is>
      </c>
      <c r="C42" s="592" t="n"/>
      <c r="D42" s="48" t="inlineStr">
        <is>
          <t>ASUS X441UB / -</t>
        </is>
      </c>
      <c r="E42" s="41" t="n"/>
      <c r="F42" s="41" t="n"/>
      <c r="G42" s="43" t="inlineStr">
        <is>
          <t>Campuran</t>
        </is>
      </c>
      <c r="H42" s="43" t="n">
        <v>2020</v>
      </c>
      <c r="I42" s="43" t="inlineStr">
        <is>
          <t>02.06.03.02.002</t>
        </is>
      </c>
      <c r="J42" s="44" t="inlineStr">
        <is>
          <t>0024</t>
        </is>
      </c>
      <c r="K42" s="63" t="n">
        <v>8048150</v>
      </c>
      <c r="L42" s="43" t="inlineStr">
        <is>
          <t>Baik</t>
        </is>
      </c>
      <c r="M42" s="41" t="n"/>
      <c r="N42" s="170" t="n"/>
      <c r="O42" s="42" t="inlineStr">
        <is>
          <t>Perencanaan / Siska</t>
        </is>
      </c>
    </row>
    <row r="43" ht="63" customHeight="1" s="79">
      <c r="A43" s="7">
        <f>A42+1</f>
        <v/>
      </c>
      <c r="B43" s="564" t="inlineStr">
        <is>
          <t>Laptop</t>
        </is>
      </c>
      <c r="C43" s="592" t="n"/>
      <c r="D43" s="48" t="inlineStr">
        <is>
          <t xml:space="preserve">Asus Expertboox/ P3540FB EJ7820T </t>
        </is>
      </c>
      <c r="E43" s="41" t="n"/>
      <c r="F43" s="41" t="n"/>
      <c r="G43" s="43" t="inlineStr">
        <is>
          <t>Campuran</t>
        </is>
      </c>
      <c r="H43" s="43" t="n">
        <v>2020</v>
      </c>
      <c r="I43" s="43" t="inlineStr">
        <is>
          <t>02.06.03.02.002</t>
        </is>
      </c>
      <c r="J43" s="44" t="inlineStr">
        <is>
          <t>0025</t>
        </is>
      </c>
      <c r="K43" s="63">
        <f>54087430/3</f>
        <v/>
      </c>
      <c r="L43" s="43" t="inlineStr">
        <is>
          <t>Baik</t>
        </is>
      </c>
      <c r="M43" s="41" t="n"/>
      <c r="N43" s="170" t="n"/>
      <c r="O43" s="42" t="inlineStr">
        <is>
          <t>Sekretaris Rusak dr Rekanan</t>
        </is>
      </c>
    </row>
    <row r="44" ht="63" customHeight="1" s="79">
      <c r="A44" s="7">
        <f>A43+1</f>
        <v/>
      </c>
      <c r="B44" s="564" t="inlineStr">
        <is>
          <t>Laptop</t>
        </is>
      </c>
      <c r="C44" s="592" t="n"/>
      <c r="D44" s="48" t="inlineStr">
        <is>
          <t xml:space="preserve">Asus Expertboox/ P3540FB EJ7820T </t>
        </is>
      </c>
      <c r="E44" s="41" t="n"/>
      <c r="F44" s="41" t="n"/>
      <c r="G44" s="43" t="inlineStr">
        <is>
          <t>Campuran</t>
        </is>
      </c>
      <c r="H44" s="43" t="n">
        <v>2020</v>
      </c>
      <c r="I44" s="43" t="inlineStr">
        <is>
          <t>02.06.03.02.002</t>
        </is>
      </c>
      <c r="J44" s="44" t="inlineStr">
        <is>
          <t>0026</t>
        </is>
      </c>
      <c r="K44" s="63">
        <f>54087430/3</f>
        <v/>
      </c>
      <c r="L44" s="43" t="inlineStr">
        <is>
          <t>Baik</t>
        </is>
      </c>
      <c r="M44" s="41" t="n"/>
      <c r="N44" s="170" t="n"/>
      <c r="O44" s="42" t="inlineStr">
        <is>
          <t>Bend Pengeluaran</t>
        </is>
      </c>
    </row>
    <row r="45" ht="63" customHeight="1" s="79">
      <c r="A45" s="7">
        <f>A44+1</f>
        <v/>
      </c>
      <c r="B45" s="564" t="inlineStr">
        <is>
          <t>Laptop</t>
        </is>
      </c>
      <c r="C45" s="592" t="n"/>
      <c r="D45" s="10" t="inlineStr">
        <is>
          <t xml:space="preserve">Asus Expertboox/ P3540FB EJ7820T </t>
        </is>
      </c>
      <c r="E45" s="12" t="n"/>
      <c r="F45" s="12" t="n"/>
      <c r="G45" s="9" t="inlineStr">
        <is>
          <t>Campuran</t>
        </is>
      </c>
      <c r="H45" s="9" t="n">
        <v>2020</v>
      </c>
      <c r="I45" s="9" t="inlineStr">
        <is>
          <t>02.06.03.02.002</t>
        </is>
      </c>
      <c r="J45" s="11" t="inlineStr">
        <is>
          <t>0027</t>
        </is>
      </c>
      <c r="K45" s="20">
        <f>54087430/3</f>
        <v/>
      </c>
      <c r="L45" s="43" t="inlineStr">
        <is>
          <t>Baik</t>
        </is>
      </c>
      <c r="M45" s="12" t="n"/>
      <c r="N45" s="4" t="n"/>
      <c r="O45" s="30" t="inlineStr">
        <is>
          <t>Penyusun Laporan Keuangan</t>
        </is>
      </c>
    </row>
    <row r="47">
      <c r="C47" s="5" t="inlineStr">
        <is>
          <t>Mengetahui :</t>
        </is>
      </c>
      <c r="L47" s="23" t="inlineStr">
        <is>
          <t>Banjarmasin,        Desember 2025</t>
        </is>
      </c>
    </row>
    <row r="48">
      <c r="C48" s="5" t="n"/>
      <c r="L48" s="5" t="n"/>
    </row>
    <row r="49">
      <c r="C49" s="5" t="inlineStr">
        <is>
          <t>Kepala Bakesbangpol Kota Banjarmasin,</t>
        </is>
      </c>
      <c r="L49" s="5" t="inlineStr">
        <is>
          <t>Pengurus Barang,</t>
        </is>
      </c>
    </row>
    <row r="50">
      <c r="C50" s="5" t="n"/>
      <c r="L50" s="5" t="n"/>
    </row>
    <row r="51">
      <c r="C51" s="5" t="n"/>
      <c r="L51" s="5" t="n"/>
    </row>
    <row r="52">
      <c r="C52" s="5" t="n"/>
      <c r="L52" s="5" t="n"/>
    </row>
    <row r="53">
      <c r="C53" s="6" t="inlineStr">
        <is>
          <t>Dr. H. LUKMAN FADLUN, SH, MH</t>
        </is>
      </c>
      <c r="L53" s="6" t="inlineStr">
        <is>
          <t>TRISNAWATI M ULYO HAPSARI, SE</t>
        </is>
      </c>
    </row>
    <row r="54">
      <c r="C54" s="5" t="inlineStr">
        <is>
          <t>Pembina Utama Muda</t>
        </is>
      </c>
      <c r="L54" s="23">
        <f>'REKAP BARANG ALL RUANGAN'!L345</f>
        <v/>
      </c>
    </row>
    <row r="55">
      <c r="C55" s="23" t="inlineStr">
        <is>
          <t>NIP. 19691013 200003 1 004</t>
        </is>
      </c>
    </row>
    <row r="56">
      <c r="K56" s="24" t="n"/>
    </row>
    <row r="57">
      <c r="B57" s="21" t="n"/>
      <c r="K57" s="25" t="n"/>
    </row>
    <row r="58">
      <c r="B58" s="22" t="n"/>
    </row>
    <row r="59">
      <c r="B59" s="22" t="n"/>
    </row>
  </sheetData>
  <mergeCells count="45">
    <mergeCell ref="B16:C16"/>
    <mergeCell ref="B25:C25"/>
    <mergeCell ref="B37:C38"/>
    <mergeCell ref="B10:C11"/>
    <mergeCell ref="B22:C22"/>
    <mergeCell ref="B27:C27"/>
    <mergeCell ref="B18:C18"/>
    <mergeCell ref="E10:E11"/>
    <mergeCell ref="A6:B6"/>
    <mergeCell ref="B43:C43"/>
    <mergeCell ref="B12:C12"/>
    <mergeCell ref="B39:C39"/>
    <mergeCell ref="F9:F11"/>
    <mergeCell ref="B21:C21"/>
    <mergeCell ref="G9:G11"/>
    <mergeCell ref="B42:C42"/>
    <mergeCell ref="B23:C23"/>
    <mergeCell ref="L9:N9"/>
    <mergeCell ref="A37:A38"/>
    <mergeCell ref="B14:C14"/>
    <mergeCell ref="B17:C17"/>
    <mergeCell ref="A3:B3"/>
    <mergeCell ref="G36:G38"/>
    <mergeCell ref="B13:C13"/>
    <mergeCell ref="B44:C44"/>
    <mergeCell ref="L36:N36"/>
    <mergeCell ref="B19:C19"/>
    <mergeCell ref="A5:B5"/>
    <mergeCell ref="D37:D38"/>
    <mergeCell ref="B40:C40"/>
    <mergeCell ref="A10:A11"/>
    <mergeCell ref="B9:C9"/>
    <mergeCell ref="F36:F38"/>
    <mergeCell ref="A4:B4"/>
    <mergeCell ref="B24:C24"/>
    <mergeCell ref="O10:O11"/>
    <mergeCell ref="D10:D11"/>
    <mergeCell ref="B15:C15"/>
    <mergeCell ref="B20:C20"/>
    <mergeCell ref="B45:C45"/>
    <mergeCell ref="B36:C36"/>
    <mergeCell ref="E37:E38"/>
    <mergeCell ref="B26:C26"/>
    <mergeCell ref="B41:C41"/>
    <mergeCell ref="O37:O38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58"/>
  <sheetViews>
    <sheetView view="pageBreakPreview" topLeftCell="A34" zoomScaleNormal="55" workbookViewId="0">
      <selection activeCell="P50" sqref="P50"/>
    </sheetView>
  </sheetViews>
  <sheetFormatPr baseColWidth="8" defaultRowHeight="15.75"/>
  <cols>
    <col width="4.875" customWidth="1" style="79" min="1" max="1"/>
    <col width="7" customWidth="1" style="79" min="2" max="2"/>
    <col width="13.625" customWidth="1" style="79" min="3" max="3"/>
    <col width="12.125" customWidth="1" style="79" min="4" max="5"/>
    <col width="9.625" customWidth="1" style="79" min="6" max="6"/>
    <col width="12.875" customWidth="1" style="79" min="7" max="7"/>
    <col width="14" customWidth="1" style="79" min="8" max="8"/>
    <col width="16.875" customWidth="1" style="79" min="9" max="9"/>
    <col width="12" customWidth="1" style="79" min="10" max="11"/>
    <col width="13.625" customWidth="1" style="79" min="12" max="12"/>
    <col width="17.5" customWidth="1" style="79" min="13" max="13"/>
    <col width="11.5" customWidth="1" style="79" min="15" max="15"/>
    <col width="11" customWidth="1" style="79" min="16" max="16"/>
    <col width="10.625" customWidth="1" style="79" min="17" max="17"/>
    <col width="7" customWidth="1" style="79" min="260" max="260"/>
    <col width="17.75" customWidth="1" style="79" min="261" max="261"/>
    <col width="10.875" customWidth="1" style="79" min="262" max="262"/>
    <col width="11.25" customWidth="1" style="79" min="263" max="263"/>
    <col width="11.5" customWidth="1" style="79" min="264" max="264"/>
    <col width="11.625" customWidth="1" style="79" min="265" max="265"/>
    <col width="15.5" customWidth="1" style="79" min="266" max="266"/>
    <col width="18.75" customWidth="1" style="79" min="267" max="267"/>
    <col width="15.375" customWidth="1" style="79" min="268" max="268"/>
    <col width="15.125" customWidth="1" style="79" min="269" max="269"/>
    <col width="11" customWidth="1" style="79" min="271" max="271"/>
    <col width="10.625" customWidth="1" style="79" min="272" max="272"/>
    <col width="9.625" customWidth="1" style="79" min="273" max="273"/>
    <col width="7" customWidth="1" style="79" min="516" max="516"/>
    <col width="17.75" customWidth="1" style="79" min="517" max="517"/>
    <col width="10.875" customWidth="1" style="79" min="518" max="518"/>
    <col width="11.25" customWidth="1" style="79" min="519" max="519"/>
    <col width="11.5" customWidth="1" style="79" min="520" max="520"/>
    <col width="11.625" customWidth="1" style="79" min="521" max="521"/>
    <col width="15.5" customWidth="1" style="79" min="522" max="522"/>
    <col width="18.75" customWidth="1" style="79" min="523" max="523"/>
    <col width="15.375" customWidth="1" style="79" min="524" max="524"/>
    <col width="15.125" customWidth="1" style="79" min="525" max="525"/>
    <col width="11" customWidth="1" style="79" min="527" max="527"/>
    <col width="10.625" customWidth="1" style="79" min="528" max="528"/>
    <col width="9.625" customWidth="1" style="79" min="529" max="529"/>
    <col width="7" customWidth="1" style="79" min="772" max="772"/>
    <col width="17.75" customWidth="1" style="79" min="773" max="773"/>
    <col width="10.875" customWidth="1" style="79" min="774" max="774"/>
    <col width="11.25" customWidth="1" style="79" min="775" max="775"/>
    <col width="11.5" customWidth="1" style="79" min="776" max="776"/>
    <col width="11.625" customWidth="1" style="79" min="777" max="777"/>
    <col width="15.5" customWidth="1" style="79" min="778" max="778"/>
    <col width="18.75" customWidth="1" style="79" min="779" max="779"/>
    <col width="15.375" customWidth="1" style="79" min="780" max="780"/>
    <col width="15.125" customWidth="1" style="79" min="781" max="781"/>
    <col width="11" customWidth="1" style="79" min="783" max="783"/>
    <col width="10.625" customWidth="1" style="79" min="784" max="784"/>
    <col width="9.625" customWidth="1" style="79" min="785" max="785"/>
    <col width="7" customWidth="1" style="79" min="1028" max="1028"/>
    <col width="17.75" customWidth="1" style="79" min="1029" max="1029"/>
    <col width="10.875" customWidth="1" style="79" min="1030" max="1030"/>
    <col width="11.25" customWidth="1" style="79" min="1031" max="1031"/>
    <col width="11.5" customWidth="1" style="79" min="1032" max="1032"/>
    <col width="11.625" customWidth="1" style="79" min="1033" max="1033"/>
    <col width="15.5" customWidth="1" style="79" min="1034" max="1034"/>
    <col width="18.75" customWidth="1" style="79" min="1035" max="1035"/>
    <col width="15.375" customWidth="1" style="79" min="1036" max="1036"/>
    <col width="15.125" customWidth="1" style="79" min="1037" max="1037"/>
    <col width="11" customWidth="1" style="79" min="1039" max="1039"/>
    <col width="10.625" customWidth="1" style="79" min="1040" max="1040"/>
    <col width="9.625" customWidth="1" style="79" min="1041" max="1041"/>
    <col width="7" customWidth="1" style="79" min="1284" max="1284"/>
    <col width="17.75" customWidth="1" style="79" min="1285" max="1285"/>
    <col width="10.875" customWidth="1" style="79" min="1286" max="1286"/>
    <col width="11.25" customWidth="1" style="79" min="1287" max="1287"/>
    <col width="11.5" customWidth="1" style="79" min="1288" max="1288"/>
    <col width="11.625" customWidth="1" style="79" min="1289" max="1289"/>
    <col width="15.5" customWidth="1" style="79" min="1290" max="1290"/>
    <col width="18.75" customWidth="1" style="79" min="1291" max="1291"/>
    <col width="15.375" customWidth="1" style="79" min="1292" max="1292"/>
    <col width="15.125" customWidth="1" style="79" min="1293" max="1293"/>
    <col width="11" customWidth="1" style="79" min="1295" max="1295"/>
    <col width="10.625" customWidth="1" style="79" min="1296" max="1296"/>
    <col width="9.625" customWidth="1" style="79" min="1297" max="1297"/>
    <col width="7" customWidth="1" style="79" min="1540" max="1540"/>
    <col width="17.75" customWidth="1" style="79" min="1541" max="1541"/>
    <col width="10.875" customWidth="1" style="79" min="1542" max="1542"/>
    <col width="11.25" customWidth="1" style="79" min="1543" max="1543"/>
    <col width="11.5" customWidth="1" style="79" min="1544" max="1544"/>
    <col width="11.625" customWidth="1" style="79" min="1545" max="1545"/>
    <col width="15.5" customWidth="1" style="79" min="1546" max="1546"/>
    <col width="18.75" customWidth="1" style="79" min="1547" max="1547"/>
    <col width="15.375" customWidth="1" style="79" min="1548" max="1548"/>
    <col width="15.125" customWidth="1" style="79" min="1549" max="1549"/>
    <col width="11" customWidth="1" style="79" min="1551" max="1551"/>
    <col width="10.625" customWidth="1" style="79" min="1552" max="1552"/>
    <col width="9.625" customWidth="1" style="79" min="1553" max="1553"/>
    <col width="7" customWidth="1" style="79" min="1796" max="1796"/>
    <col width="17.75" customWidth="1" style="79" min="1797" max="1797"/>
    <col width="10.875" customWidth="1" style="79" min="1798" max="1798"/>
    <col width="11.25" customWidth="1" style="79" min="1799" max="1799"/>
    <col width="11.5" customWidth="1" style="79" min="1800" max="1800"/>
    <col width="11.625" customWidth="1" style="79" min="1801" max="1801"/>
    <col width="15.5" customWidth="1" style="79" min="1802" max="1802"/>
    <col width="18.75" customWidth="1" style="79" min="1803" max="1803"/>
    <col width="15.375" customWidth="1" style="79" min="1804" max="1804"/>
    <col width="15.125" customWidth="1" style="79" min="1805" max="1805"/>
    <col width="11" customWidth="1" style="79" min="1807" max="1807"/>
    <col width="10.625" customWidth="1" style="79" min="1808" max="1808"/>
    <col width="9.625" customWidth="1" style="79" min="1809" max="1809"/>
    <col width="7" customWidth="1" style="79" min="2052" max="2052"/>
    <col width="17.75" customWidth="1" style="79" min="2053" max="2053"/>
    <col width="10.875" customWidth="1" style="79" min="2054" max="2054"/>
    <col width="11.25" customWidth="1" style="79" min="2055" max="2055"/>
    <col width="11.5" customWidth="1" style="79" min="2056" max="2056"/>
    <col width="11.625" customWidth="1" style="79" min="2057" max="2057"/>
    <col width="15.5" customWidth="1" style="79" min="2058" max="2058"/>
    <col width="18.75" customWidth="1" style="79" min="2059" max="2059"/>
    <col width="15.375" customWidth="1" style="79" min="2060" max="2060"/>
    <col width="15.125" customWidth="1" style="79" min="2061" max="2061"/>
    <col width="11" customWidth="1" style="79" min="2063" max="2063"/>
    <col width="10.625" customWidth="1" style="79" min="2064" max="2064"/>
    <col width="9.625" customWidth="1" style="79" min="2065" max="2065"/>
    <col width="7" customWidth="1" style="79" min="2308" max="2308"/>
    <col width="17.75" customWidth="1" style="79" min="2309" max="2309"/>
    <col width="10.875" customWidth="1" style="79" min="2310" max="2310"/>
    <col width="11.25" customWidth="1" style="79" min="2311" max="2311"/>
    <col width="11.5" customWidth="1" style="79" min="2312" max="2312"/>
    <col width="11.625" customWidth="1" style="79" min="2313" max="2313"/>
    <col width="15.5" customWidth="1" style="79" min="2314" max="2314"/>
    <col width="18.75" customWidth="1" style="79" min="2315" max="2315"/>
    <col width="15.375" customWidth="1" style="79" min="2316" max="2316"/>
    <col width="15.125" customWidth="1" style="79" min="2317" max="2317"/>
    <col width="11" customWidth="1" style="79" min="2319" max="2319"/>
    <col width="10.625" customWidth="1" style="79" min="2320" max="2320"/>
    <col width="9.625" customWidth="1" style="79" min="2321" max="2321"/>
    <col width="7" customWidth="1" style="79" min="2564" max="2564"/>
    <col width="17.75" customWidth="1" style="79" min="2565" max="2565"/>
    <col width="10.875" customWidth="1" style="79" min="2566" max="2566"/>
    <col width="11.25" customWidth="1" style="79" min="2567" max="2567"/>
    <col width="11.5" customWidth="1" style="79" min="2568" max="2568"/>
    <col width="11.625" customWidth="1" style="79" min="2569" max="2569"/>
    <col width="15.5" customWidth="1" style="79" min="2570" max="2570"/>
    <col width="18.75" customWidth="1" style="79" min="2571" max="2571"/>
    <col width="15.375" customWidth="1" style="79" min="2572" max="2572"/>
    <col width="15.125" customWidth="1" style="79" min="2573" max="2573"/>
    <col width="11" customWidth="1" style="79" min="2575" max="2575"/>
    <col width="10.625" customWidth="1" style="79" min="2576" max="2576"/>
    <col width="9.625" customWidth="1" style="79" min="2577" max="2577"/>
    <col width="7" customWidth="1" style="79" min="2820" max="2820"/>
    <col width="17.75" customWidth="1" style="79" min="2821" max="2821"/>
    <col width="10.875" customWidth="1" style="79" min="2822" max="2822"/>
    <col width="11.25" customWidth="1" style="79" min="2823" max="2823"/>
    <col width="11.5" customWidth="1" style="79" min="2824" max="2824"/>
    <col width="11.625" customWidth="1" style="79" min="2825" max="2825"/>
    <col width="15.5" customWidth="1" style="79" min="2826" max="2826"/>
    <col width="18.75" customWidth="1" style="79" min="2827" max="2827"/>
    <col width="15.375" customWidth="1" style="79" min="2828" max="2828"/>
    <col width="15.125" customWidth="1" style="79" min="2829" max="2829"/>
    <col width="11" customWidth="1" style="79" min="2831" max="2831"/>
    <col width="10.625" customWidth="1" style="79" min="2832" max="2832"/>
    <col width="9.625" customWidth="1" style="79" min="2833" max="2833"/>
    <col width="7" customWidth="1" style="79" min="3076" max="3076"/>
    <col width="17.75" customWidth="1" style="79" min="3077" max="3077"/>
    <col width="10.875" customWidth="1" style="79" min="3078" max="3078"/>
    <col width="11.25" customWidth="1" style="79" min="3079" max="3079"/>
    <col width="11.5" customWidth="1" style="79" min="3080" max="3080"/>
    <col width="11.625" customWidth="1" style="79" min="3081" max="3081"/>
    <col width="15.5" customWidth="1" style="79" min="3082" max="3082"/>
    <col width="18.75" customWidth="1" style="79" min="3083" max="3083"/>
    <col width="15.375" customWidth="1" style="79" min="3084" max="3084"/>
    <col width="15.125" customWidth="1" style="79" min="3085" max="3085"/>
    <col width="11" customWidth="1" style="79" min="3087" max="3087"/>
    <col width="10.625" customWidth="1" style="79" min="3088" max="3088"/>
    <col width="9.625" customWidth="1" style="79" min="3089" max="3089"/>
    <col width="7" customWidth="1" style="79" min="3332" max="3332"/>
    <col width="17.75" customWidth="1" style="79" min="3333" max="3333"/>
    <col width="10.875" customWidth="1" style="79" min="3334" max="3334"/>
    <col width="11.25" customWidth="1" style="79" min="3335" max="3335"/>
    <col width="11.5" customWidth="1" style="79" min="3336" max="3336"/>
    <col width="11.625" customWidth="1" style="79" min="3337" max="3337"/>
    <col width="15.5" customWidth="1" style="79" min="3338" max="3338"/>
    <col width="18.75" customWidth="1" style="79" min="3339" max="3339"/>
    <col width="15.375" customWidth="1" style="79" min="3340" max="3340"/>
    <col width="15.125" customWidth="1" style="79" min="3341" max="3341"/>
    <col width="11" customWidth="1" style="79" min="3343" max="3343"/>
    <col width="10.625" customWidth="1" style="79" min="3344" max="3344"/>
    <col width="9.625" customWidth="1" style="79" min="3345" max="3345"/>
    <col width="7" customWidth="1" style="79" min="3588" max="3588"/>
    <col width="17.75" customWidth="1" style="79" min="3589" max="3589"/>
    <col width="10.875" customWidth="1" style="79" min="3590" max="3590"/>
    <col width="11.25" customWidth="1" style="79" min="3591" max="3591"/>
    <col width="11.5" customWidth="1" style="79" min="3592" max="3592"/>
    <col width="11.625" customWidth="1" style="79" min="3593" max="3593"/>
    <col width="15.5" customWidth="1" style="79" min="3594" max="3594"/>
    <col width="18.75" customWidth="1" style="79" min="3595" max="3595"/>
    <col width="15.375" customWidth="1" style="79" min="3596" max="3596"/>
    <col width="15.125" customWidth="1" style="79" min="3597" max="3597"/>
    <col width="11" customWidth="1" style="79" min="3599" max="3599"/>
    <col width="10.625" customWidth="1" style="79" min="3600" max="3600"/>
    <col width="9.625" customWidth="1" style="79" min="3601" max="3601"/>
    <col width="7" customWidth="1" style="79" min="3844" max="3844"/>
    <col width="17.75" customWidth="1" style="79" min="3845" max="3845"/>
    <col width="10.875" customWidth="1" style="79" min="3846" max="3846"/>
    <col width="11.25" customWidth="1" style="79" min="3847" max="3847"/>
    <col width="11.5" customWidth="1" style="79" min="3848" max="3848"/>
    <col width="11.625" customWidth="1" style="79" min="3849" max="3849"/>
    <col width="15.5" customWidth="1" style="79" min="3850" max="3850"/>
    <col width="18.75" customWidth="1" style="79" min="3851" max="3851"/>
    <col width="15.375" customWidth="1" style="79" min="3852" max="3852"/>
    <col width="15.125" customWidth="1" style="79" min="3853" max="3853"/>
    <col width="11" customWidth="1" style="79" min="3855" max="3855"/>
    <col width="10.625" customWidth="1" style="79" min="3856" max="3856"/>
    <col width="9.625" customWidth="1" style="79" min="3857" max="3857"/>
    <col width="7" customWidth="1" style="79" min="4100" max="4100"/>
    <col width="17.75" customWidth="1" style="79" min="4101" max="4101"/>
    <col width="10.875" customWidth="1" style="79" min="4102" max="4102"/>
    <col width="11.25" customWidth="1" style="79" min="4103" max="4103"/>
    <col width="11.5" customWidth="1" style="79" min="4104" max="4104"/>
    <col width="11.625" customWidth="1" style="79" min="4105" max="4105"/>
    <col width="15.5" customWidth="1" style="79" min="4106" max="4106"/>
    <col width="18.75" customWidth="1" style="79" min="4107" max="4107"/>
    <col width="15.375" customWidth="1" style="79" min="4108" max="4108"/>
    <col width="15.125" customWidth="1" style="79" min="4109" max="4109"/>
    <col width="11" customWidth="1" style="79" min="4111" max="4111"/>
    <col width="10.625" customWidth="1" style="79" min="4112" max="4112"/>
    <col width="9.625" customWidth="1" style="79" min="4113" max="4113"/>
    <col width="7" customWidth="1" style="79" min="4356" max="4356"/>
    <col width="17.75" customWidth="1" style="79" min="4357" max="4357"/>
    <col width="10.875" customWidth="1" style="79" min="4358" max="4358"/>
    <col width="11.25" customWidth="1" style="79" min="4359" max="4359"/>
    <col width="11.5" customWidth="1" style="79" min="4360" max="4360"/>
    <col width="11.625" customWidth="1" style="79" min="4361" max="4361"/>
    <col width="15.5" customWidth="1" style="79" min="4362" max="4362"/>
    <col width="18.75" customWidth="1" style="79" min="4363" max="4363"/>
    <col width="15.375" customWidth="1" style="79" min="4364" max="4364"/>
    <col width="15.125" customWidth="1" style="79" min="4365" max="4365"/>
    <col width="11" customWidth="1" style="79" min="4367" max="4367"/>
    <col width="10.625" customWidth="1" style="79" min="4368" max="4368"/>
    <col width="9.625" customWidth="1" style="79" min="4369" max="4369"/>
    <col width="7" customWidth="1" style="79" min="4612" max="4612"/>
    <col width="17.75" customWidth="1" style="79" min="4613" max="4613"/>
    <col width="10.875" customWidth="1" style="79" min="4614" max="4614"/>
    <col width="11.25" customWidth="1" style="79" min="4615" max="4615"/>
    <col width="11.5" customWidth="1" style="79" min="4616" max="4616"/>
    <col width="11.625" customWidth="1" style="79" min="4617" max="4617"/>
    <col width="15.5" customWidth="1" style="79" min="4618" max="4618"/>
    <col width="18.75" customWidth="1" style="79" min="4619" max="4619"/>
    <col width="15.375" customWidth="1" style="79" min="4620" max="4620"/>
    <col width="15.125" customWidth="1" style="79" min="4621" max="4621"/>
    <col width="11" customWidth="1" style="79" min="4623" max="4623"/>
    <col width="10.625" customWidth="1" style="79" min="4624" max="4624"/>
    <col width="9.625" customWidth="1" style="79" min="4625" max="4625"/>
    <col width="7" customWidth="1" style="79" min="4868" max="4868"/>
    <col width="17.75" customWidth="1" style="79" min="4869" max="4869"/>
    <col width="10.875" customWidth="1" style="79" min="4870" max="4870"/>
    <col width="11.25" customWidth="1" style="79" min="4871" max="4871"/>
    <col width="11.5" customWidth="1" style="79" min="4872" max="4872"/>
    <col width="11.625" customWidth="1" style="79" min="4873" max="4873"/>
    <col width="15.5" customWidth="1" style="79" min="4874" max="4874"/>
    <col width="18.75" customWidth="1" style="79" min="4875" max="4875"/>
    <col width="15.375" customWidth="1" style="79" min="4876" max="4876"/>
    <col width="15.125" customWidth="1" style="79" min="4877" max="4877"/>
    <col width="11" customWidth="1" style="79" min="4879" max="4879"/>
    <col width="10.625" customWidth="1" style="79" min="4880" max="4880"/>
    <col width="9.625" customWidth="1" style="79" min="4881" max="4881"/>
    <col width="7" customWidth="1" style="79" min="5124" max="5124"/>
    <col width="17.75" customWidth="1" style="79" min="5125" max="5125"/>
    <col width="10.875" customWidth="1" style="79" min="5126" max="5126"/>
    <col width="11.25" customWidth="1" style="79" min="5127" max="5127"/>
    <col width="11.5" customWidth="1" style="79" min="5128" max="5128"/>
    <col width="11.625" customWidth="1" style="79" min="5129" max="5129"/>
    <col width="15.5" customWidth="1" style="79" min="5130" max="5130"/>
    <col width="18.75" customWidth="1" style="79" min="5131" max="5131"/>
    <col width="15.375" customWidth="1" style="79" min="5132" max="5132"/>
    <col width="15.125" customWidth="1" style="79" min="5133" max="5133"/>
    <col width="11" customWidth="1" style="79" min="5135" max="5135"/>
    <col width="10.625" customWidth="1" style="79" min="5136" max="5136"/>
    <col width="9.625" customWidth="1" style="79" min="5137" max="5137"/>
    <col width="7" customWidth="1" style="79" min="5380" max="5380"/>
    <col width="17.75" customWidth="1" style="79" min="5381" max="5381"/>
    <col width="10.875" customWidth="1" style="79" min="5382" max="5382"/>
    <col width="11.25" customWidth="1" style="79" min="5383" max="5383"/>
    <col width="11.5" customWidth="1" style="79" min="5384" max="5384"/>
    <col width="11.625" customWidth="1" style="79" min="5385" max="5385"/>
    <col width="15.5" customWidth="1" style="79" min="5386" max="5386"/>
    <col width="18.75" customWidth="1" style="79" min="5387" max="5387"/>
    <col width="15.375" customWidth="1" style="79" min="5388" max="5388"/>
    <col width="15.125" customWidth="1" style="79" min="5389" max="5389"/>
    <col width="11" customWidth="1" style="79" min="5391" max="5391"/>
    <col width="10.625" customWidth="1" style="79" min="5392" max="5392"/>
    <col width="9.625" customWidth="1" style="79" min="5393" max="5393"/>
    <col width="7" customWidth="1" style="79" min="5636" max="5636"/>
    <col width="17.75" customWidth="1" style="79" min="5637" max="5637"/>
    <col width="10.875" customWidth="1" style="79" min="5638" max="5638"/>
    <col width="11.25" customWidth="1" style="79" min="5639" max="5639"/>
    <col width="11.5" customWidth="1" style="79" min="5640" max="5640"/>
    <col width="11.625" customWidth="1" style="79" min="5641" max="5641"/>
    <col width="15.5" customWidth="1" style="79" min="5642" max="5642"/>
    <col width="18.75" customWidth="1" style="79" min="5643" max="5643"/>
    <col width="15.375" customWidth="1" style="79" min="5644" max="5644"/>
    <col width="15.125" customWidth="1" style="79" min="5645" max="5645"/>
    <col width="11" customWidth="1" style="79" min="5647" max="5647"/>
    <col width="10.625" customWidth="1" style="79" min="5648" max="5648"/>
    <col width="9.625" customWidth="1" style="79" min="5649" max="5649"/>
    <col width="7" customWidth="1" style="79" min="5892" max="5892"/>
    <col width="17.75" customWidth="1" style="79" min="5893" max="5893"/>
    <col width="10.875" customWidth="1" style="79" min="5894" max="5894"/>
    <col width="11.25" customWidth="1" style="79" min="5895" max="5895"/>
    <col width="11.5" customWidth="1" style="79" min="5896" max="5896"/>
    <col width="11.625" customWidth="1" style="79" min="5897" max="5897"/>
    <col width="15.5" customWidth="1" style="79" min="5898" max="5898"/>
    <col width="18.75" customWidth="1" style="79" min="5899" max="5899"/>
    <col width="15.375" customWidth="1" style="79" min="5900" max="5900"/>
    <col width="15.125" customWidth="1" style="79" min="5901" max="5901"/>
    <col width="11" customWidth="1" style="79" min="5903" max="5903"/>
    <col width="10.625" customWidth="1" style="79" min="5904" max="5904"/>
    <col width="9.625" customWidth="1" style="79" min="5905" max="5905"/>
    <col width="7" customWidth="1" style="79" min="6148" max="6148"/>
    <col width="17.75" customWidth="1" style="79" min="6149" max="6149"/>
    <col width="10.875" customWidth="1" style="79" min="6150" max="6150"/>
    <col width="11.25" customWidth="1" style="79" min="6151" max="6151"/>
    <col width="11.5" customWidth="1" style="79" min="6152" max="6152"/>
    <col width="11.625" customWidth="1" style="79" min="6153" max="6153"/>
    <col width="15.5" customWidth="1" style="79" min="6154" max="6154"/>
    <col width="18.75" customWidth="1" style="79" min="6155" max="6155"/>
    <col width="15.375" customWidth="1" style="79" min="6156" max="6156"/>
    <col width="15.125" customWidth="1" style="79" min="6157" max="6157"/>
    <col width="11" customWidth="1" style="79" min="6159" max="6159"/>
    <col width="10.625" customWidth="1" style="79" min="6160" max="6160"/>
    <col width="9.625" customWidth="1" style="79" min="6161" max="6161"/>
    <col width="7" customWidth="1" style="79" min="6404" max="6404"/>
    <col width="17.75" customWidth="1" style="79" min="6405" max="6405"/>
    <col width="10.875" customWidth="1" style="79" min="6406" max="6406"/>
    <col width="11.25" customWidth="1" style="79" min="6407" max="6407"/>
    <col width="11.5" customWidth="1" style="79" min="6408" max="6408"/>
    <col width="11.625" customWidth="1" style="79" min="6409" max="6409"/>
    <col width="15.5" customWidth="1" style="79" min="6410" max="6410"/>
    <col width="18.75" customWidth="1" style="79" min="6411" max="6411"/>
    <col width="15.375" customWidth="1" style="79" min="6412" max="6412"/>
    <col width="15.125" customWidth="1" style="79" min="6413" max="6413"/>
    <col width="11" customWidth="1" style="79" min="6415" max="6415"/>
    <col width="10.625" customWidth="1" style="79" min="6416" max="6416"/>
    <col width="9.625" customWidth="1" style="79" min="6417" max="6417"/>
    <col width="7" customWidth="1" style="79" min="6660" max="6660"/>
    <col width="17.75" customWidth="1" style="79" min="6661" max="6661"/>
    <col width="10.875" customWidth="1" style="79" min="6662" max="6662"/>
    <col width="11.25" customWidth="1" style="79" min="6663" max="6663"/>
    <col width="11.5" customWidth="1" style="79" min="6664" max="6664"/>
    <col width="11.625" customWidth="1" style="79" min="6665" max="6665"/>
    <col width="15.5" customWidth="1" style="79" min="6666" max="6666"/>
    <col width="18.75" customWidth="1" style="79" min="6667" max="6667"/>
    <col width="15.375" customWidth="1" style="79" min="6668" max="6668"/>
    <col width="15.125" customWidth="1" style="79" min="6669" max="6669"/>
    <col width="11" customWidth="1" style="79" min="6671" max="6671"/>
    <col width="10.625" customWidth="1" style="79" min="6672" max="6672"/>
    <col width="9.625" customWidth="1" style="79" min="6673" max="6673"/>
    <col width="7" customWidth="1" style="79" min="6916" max="6916"/>
    <col width="17.75" customWidth="1" style="79" min="6917" max="6917"/>
    <col width="10.875" customWidth="1" style="79" min="6918" max="6918"/>
    <col width="11.25" customWidth="1" style="79" min="6919" max="6919"/>
    <col width="11.5" customWidth="1" style="79" min="6920" max="6920"/>
    <col width="11.625" customWidth="1" style="79" min="6921" max="6921"/>
    <col width="15.5" customWidth="1" style="79" min="6922" max="6922"/>
    <col width="18.75" customWidth="1" style="79" min="6923" max="6923"/>
    <col width="15.375" customWidth="1" style="79" min="6924" max="6924"/>
    <col width="15.125" customWidth="1" style="79" min="6925" max="6925"/>
    <col width="11" customWidth="1" style="79" min="6927" max="6927"/>
    <col width="10.625" customWidth="1" style="79" min="6928" max="6928"/>
    <col width="9.625" customWidth="1" style="79" min="6929" max="6929"/>
    <col width="7" customWidth="1" style="79" min="7172" max="7172"/>
    <col width="17.75" customWidth="1" style="79" min="7173" max="7173"/>
    <col width="10.875" customWidth="1" style="79" min="7174" max="7174"/>
    <col width="11.25" customWidth="1" style="79" min="7175" max="7175"/>
    <col width="11.5" customWidth="1" style="79" min="7176" max="7176"/>
    <col width="11.625" customWidth="1" style="79" min="7177" max="7177"/>
    <col width="15.5" customWidth="1" style="79" min="7178" max="7178"/>
    <col width="18.75" customWidth="1" style="79" min="7179" max="7179"/>
    <col width="15.375" customWidth="1" style="79" min="7180" max="7180"/>
    <col width="15.125" customWidth="1" style="79" min="7181" max="7181"/>
    <col width="11" customWidth="1" style="79" min="7183" max="7183"/>
    <col width="10.625" customWidth="1" style="79" min="7184" max="7184"/>
    <col width="9.625" customWidth="1" style="79" min="7185" max="7185"/>
    <col width="7" customWidth="1" style="79" min="7428" max="7428"/>
    <col width="17.75" customWidth="1" style="79" min="7429" max="7429"/>
    <col width="10.875" customWidth="1" style="79" min="7430" max="7430"/>
    <col width="11.25" customWidth="1" style="79" min="7431" max="7431"/>
    <col width="11.5" customWidth="1" style="79" min="7432" max="7432"/>
    <col width="11.625" customWidth="1" style="79" min="7433" max="7433"/>
    <col width="15.5" customWidth="1" style="79" min="7434" max="7434"/>
    <col width="18.75" customWidth="1" style="79" min="7435" max="7435"/>
    <col width="15.375" customWidth="1" style="79" min="7436" max="7436"/>
    <col width="15.125" customWidth="1" style="79" min="7437" max="7437"/>
    <col width="11" customWidth="1" style="79" min="7439" max="7439"/>
    <col width="10.625" customWidth="1" style="79" min="7440" max="7440"/>
    <col width="9.625" customWidth="1" style="79" min="7441" max="7441"/>
    <col width="7" customWidth="1" style="79" min="7684" max="7684"/>
    <col width="17.75" customWidth="1" style="79" min="7685" max="7685"/>
    <col width="10.875" customWidth="1" style="79" min="7686" max="7686"/>
    <col width="11.25" customWidth="1" style="79" min="7687" max="7687"/>
    <col width="11.5" customWidth="1" style="79" min="7688" max="7688"/>
    <col width="11.625" customWidth="1" style="79" min="7689" max="7689"/>
    <col width="15.5" customWidth="1" style="79" min="7690" max="7690"/>
    <col width="18.75" customWidth="1" style="79" min="7691" max="7691"/>
    <col width="15.375" customWidth="1" style="79" min="7692" max="7692"/>
    <col width="15.125" customWidth="1" style="79" min="7693" max="7693"/>
    <col width="11" customWidth="1" style="79" min="7695" max="7695"/>
    <col width="10.625" customWidth="1" style="79" min="7696" max="7696"/>
    <col width="9.625" customWidth="1" style="79" min="7697" max="7697"/>
    <col width="7" customWidth="1" style="79" min="7940" max="7940"/>
    <col width="17.75" customWidth="1" style="79" min="7941" max="7941"/>
    <col width="10.875" customWidth="1" style="79" min="7942" max="7942"/>
    <col width="11.25" customWidth="1" style="79" min="7943" max="7943"/>
    <col width="11.5" customWidth="1" style="79" min="7944" max="7944"/>
    <col width="11.625" customWidth="1" style="79" min="7945" max="7945"/>
    <col width="15.5" customWidth="1" style="79" min="7946" max="7946"/>
    <col width="18.75" customWidth="1" style="79" min="7947" max="7947"/>
    <col width="15.375" customWidth="1" style="79" min="7948" max="7948"/>
    <col width="15.125" customWidth="1" style="79" min="7949" max="7949"/>
    <col width="11" customWidth="1" style="79" min="7951" max="7951"/>
    <col width="10.625" customWidth="1" style="79" min="7952" max="7952"/>
    <col width="9.625" customWidth="1" style="79" min="7953" max="7953"/>
    <col width="7" customWidth="1" style="79" min="8196" max="8196"/>
    <col width="17.75" customWidth="1" style="79" min="8197" max="8197"/>
    <col width="10.875" customWidth="1" style="79" min="8198" max="8198"/>
    <col width="11.25" customWidth="1" style="79" min="8199" max="8199"/>
    <col width="11.5" customWidth="1" style="79" min="8200" max="8200"/>
    <col width="11.625" customWidth="1" style="79" min="8201" max="8201"/>
    <col width="15.5" customWidth="1" style="79" min="8202" max="8202"/>
    <col width="18.75" customWidth="1" style="79" min="8203" max="8203"/>
    <col width="15.375" customWidth="1" style="79" min="8204" max="8204"/>
    <col width="15.125" customWidth="1" style="79" min="8205" max="8205"/>
    <col width="11" customWidth="1" style="79" min="8207" max="8207"/>
    <col width="10.625" customWidth="1" style="79" min="8208" max="8208"/>
    <col width="9.625" customWidth="1" style="79" min="8209" max="8209"/>
    <col width="7" customWidth="1" style="79" min="8452" max="8452"/>
    <col width="17.75" customWidth="1" style="79" min="8453" max="8453"/>
    <col width="10.875" customWidth="1" style="79" min="8454" max="8454"/>
    <col width="11.25" customWidth="1" style="79" min="8455" max="8455"/>
    <col width="11.5" customWidth="1" style="79" min="8456" max="8456"/>
    <col width="11.625" customWidth="1" style="79" min="8457" max="8457"/>
    <col width="15.5" customWidth="1" style="79" min="8458" max="8458"/>
    <col width="18.75" customWidth="1" style="79" min="8459" max="8459"/>
    <col width="15.375" customWidth="1" style="79" min="8460" max="8460"/>
    <col width="15.125" customWidth="1" style="79" min="8461" max="8461"/>
    <col width="11" customWidth="1" style="79" min="8463" max="8463"/>
    <col width="10.625" customWidth="1" style="79" min="8464" max="8464"/>
    <col width="9.625" customWidth="1" style="79" min="8465" max="8465"/>
    <col width="7" customWidth="1" style="79" min="8708" max="8708"/>
    <col width="17.75" customWidth="1" style="79" min="8709" max="8709"/>
    <col width="10.875" customWidth="1" style="79" min="8710" max="8710"/>
    <col width="11.25" customWidth="1" style="79" min="8711" max="8711"/>
    <col width="11.5" customWidth="1" style="79" min="8712" max="8712"/>
    <col width="11.625" customWidth="1" style="79" min="8713" max="8713"/>
    <col width="15.5" customWidth="1" style="79" min="8714" max="8714"/>
    <col width="18.75" customWidth="1" style="79" min="8715" max="8715"/>
    <col width="15.375" customWidth="1" style="79" min="8716" max="8716"/>
    <col width="15.125" customWidth="1" style="79" min="8717" max="8717"/>
    <col width="11" customWidth="1" style="79" min="8719" max="8719"/>
    <col width="10.625" customWidth="1" style="79" min="8720" max="8720"/>
    <col width="9.625" customWidth="1" style="79" min="8721" max="8721"/>
    <col width="7" customWidth="1" style="79" min="8964" max="8964"/>
    <col width="17.75" customWidth="1" style="79" min="8965" max="8965"/>
    <col width="10.875" customWidth="1" style="79" min="8966" max="8966"/>
    <col width="11.25" customWidth="1" style="79" min="8967" max="8967"/>
    <col width="11.5" customWidth="1" style="79" min="8968" max="8968"/>
    <col width="11.625" customWidth="1" style="79" min="8969" max="8969"/>
    <col width="15.5" customWidth="1" style="79" min="8970" max="8970"/>
    <col width="18.75" customWidth="1" style="79" min="8971" max="8971"/>
    <col width="15.375" customWidth="1" style="79" min="8972" max="8972"/>
    <col width="15.125" customWidth="1" style="79" min="8973" max="8973"/>
    <col width="11" customWidth="1" style="79" min="8975" max="8975"/>
    <col width="10.625" customWidth="1" style="79" min="8976" max="8976"/>
    <col width="9.625" customWidth="1" style="79" min="8977" max="8977"/>
    <col width="7" customWidth="1" style="79" min="9220" max="9220"/>
    <col width="17.75" customWidth="1" style="79" min="9221" max="9221"/>
    <col width="10.875" customWidth="1" style="79" min="9222" max="9222"/>
    <col width="11.25" customWidth="1" style="79" min="9223" max="9223"/>
    <col width="11.5" customWidth="1" style="79" min="9224" max="9224"/>
    <col width="11.625" customWidth="1" style="79" min="9225" max="9225"/>
    <col width="15.5" customWidth="1" style="79" min="9226" max="9226"/>
    <col width="18.75" customWidth="1" style="79" min="9227" max="9227"/>
    <col width="15.375" customWidth="1" style="79" min="9228" max="9228"/>
    <col width="15.125" customWidth="1" style="79" min="9229" max="9229"/>
    <col width="11" customWidth="1" style="79" min="9231" max="9231"/>
    <col width="10.625" customWidth="1" style="79" min="9232" max="9232"/>
    <col width="9.625" customWidth="1" style="79" min="9233" max="9233"/>
    <col width="7" customWidth="1" style="79" min="9476" max="9476"/>
    <col width="17.75" customWidth="1" style="79" min="9477" max="9477"/>
    <col width="10.875" customWidth="1" style="79" min="9478" max="9478"/>
    <col width="11.25" customWidth="1" style="79" min="9479" max="9479"/>
    <col width="11.5" customWidth="1" style="79" min="9480" max="9480"/>
    <col width="11.625" customWidth="1" style="79" min="9481" max="9481"/>
    <col width="15.5" customWidth="1" style="79" min="9482" max="9482"/>
    <col width="18.75" customWidth="1" style="79" min="9483" max="9483"/>
    <col width="15.375" customWidth="1" style="79" min="9484" max="9484"/>
    <col width="15.125" customWidth="1" style="79" min="9485" max="9485"/>
    <col width="11" customWidth="1" style="79" min="9487" max="9487"/>
    <col width="10.625" customWidth="1" style="79" min="9488" max="9488"/>
    <col width="9.625" customWidth="1" style="79" min="9489" max="9489"/>
    <col width="7" customWidth="1" style="79" min="9732" max="9732"/>
    <col width="17.75" customWidth="1" style="79" min="9733" max="9733"/>
    <col width="10.875" customWidth="1" style="79" min="9734" max="9734"/>
    <col width="11.25" customWidth="1" style="79" min="9735" max="9735"/>
    <col width="11.5" customWidth="1" style="79" min="9736" max="9736"/>
    <col width="11.625" customWidth="1" style="79" min="9737" max="9737"/>
    <col width="15.5" customWidth="1" style="79" min="9738" max="9738"/>
    <col width="18.75" customWidth="1" style="79" min="9739" max="9739"/>
    <col width="15.375" customWidth="1" style="79" min="9740" max="9740"/>
    <col width="15.125" customWidth="1" style="79" min="9741" max="9741"/>
    <col width="11" customWidth="1" style="79" min="9743" max="9743"/>
    <col width="10.625" customWidth="1" style="79" min="9744" max="9744"/>
    <col width="9.625" customWidth="1" style="79" min="9745" max="9745"/>
    <col width="7" customWidth="1" style="79" min="9988" max="9988"/>
    <col width="17.75" customWidth="1" style="79" min="9989" max="9989"/>
    <col width="10.875" customWidth="1" style="79" min="9990" max="9990"/>
    <col width="11.25" customWidth="1" style="79" min="9991" max="9991"/>
    <col width="11.5" customWidth="1" style="79" min="9992" max="9992"/>
    <col width="11.625" customWidth="1" style="79" min="9993" max="9993"/>
    <col width="15.5" customWidth="1" style="79" min="9994" max="9994"/>
    <col width="18.75" customWidth="1" style="79" min="9995" max="9995"/>
    <col width="15.375" customWidth="1" style="79" min="9996" max="9996"/>
    <col width="15.125" customWidth="1" style="79" min="9997" max="9997"/>
    <col width="11" customWidth="1" style="79" min="9999" max="9999"/>
    <col width="10.625" customWidth="1" style="79" min="10000" max="10000"/>
    <col width="9.625" customWidth="1" style="79" min="10001" max="10001"/>
    <col width="7" customWidth="1" style="79" min="10244" max="10244"/>
    <col width="17.75" customWidth="1" style="79" min="10245" max="10245"/>
    <col width="10.875" customWidth="1" style="79" min="10246" max="10246"/>
    <col width="11.25" customWidth="1" style="79" min="10247" max="10247"/>
    <col width="11.5" customWidth="1" style="79" min="10248" max="10248"/>
    <col width="11.625" customWidth="1" style="79" min="10249" max="10249"/>
    <col width="15.5" customWidth="1" style="79" min="10250" max="10250"/>
    <col width="18.75" customWidth="1" style="79" min="10251" max="10251"/>
    <col width="15.375" customWidth="1" style="79" min="10252" max="10252"/>
    <col width="15.125" customWidth="1" style="79" min="10253" max="10253"/>
    <col width="11" customWidth="1" style="79" min="10255" max="10255"/>
    <col width="10.625" customWidth="1" style="79" min="10256" max="10256"/>
    <col width="9.625" customWidth="1" style="79" min="10257" max="10257"/>
    <col width="7" customWidth="1" style="79" min="10500" max="10500"/>
    <col width="17.75" customWidth="1" style="79" min="10501" max="10501"/>
    <col width="10.875" customWidth="1" style="79" min="10502" max="10502"/>
    <col width="11.25" customWidth="1" style="79" min="10503" max="10503"/>
    <col width="11.5" customWidth="1" style="79" min="10504" max="10504"/>
    <col width="11.625" customWidth="1" style="79" min="10505" max="10505"/>
    <col width="15.5" customWidth="1" style="79" min="10506" max="10506"/>
    <col width="18.75" customWidth="1" style="79" min="10507" max="10507"/>
    <col width="15.375" customWidth="1" style="79" min="10508" max="10508"/>
    <col width="15.125" customWidth="1" style="79" min="10509" max="10509"/>
    <col width="11" customWidth="1" style="79" min="10511" max="10511"/>
    <col width="10.625" customWidth="1" style="79" min="10512" max="10512"/>
    <col width="9.625" customWidth="1" style="79" min="10513" max="10513"/>
    <col width="7" customWidth="1" style="79" min="10756" max="10756"/>
    <col width="17.75" customWidth="1" style="79" min="10757" max="10757"/>
    <col width="10.875" customWidth="1" style="79" min="10758" max="10758"/>
    <col width="11.25" customWidth="1" style="79" min="10759" max="10759"/>
    <col width="11.5" customWidth="1" style="79" min="10760" max="10760"/>
    <col width="11.625" customWidth="1" style="79" min="10761" max="10761"/>
    <col width="15.5" customWidth="1" style="79" min="10762" max="10762"/>
    <col width="18.75" customWidth="1" style="79" min="10763" max="10763"/>
    <col width="15.375" customWidth="1" style="79" min="10764" max="10764"/>
    <col width="15.125" customWidth="1" style="79" min="10765" max="10765"/>
    <col width="11" customWidth="1" style="79" min="10767" max="10767"/>
    <col width="10.625" customWidth="1" style="79" min="10768" max="10768"/>
    <col width="9.625" customWidth="1" style="79" min="10769" max="10769"/>
    <col width="7" customWidth="1" style="79" min="11012" max="11012"/>
    <col width="17.75" customWidth="1" style="79" min="11013" max="11013"/>
    <col width="10.875" customWidth="1" style="79" min="11014" max="11014"/>
    <col width="11.25" customWidth="1" style="79" min="11015" max="11015"/>
    <col width="11.5" customWidth="1" style="79" min="11016" max="11016"/>
    <col width="11.625" customWidth="1" style="79" min="11017" max="11017"/>
    <col width="15.5" customWidth="1" style="79" min="11018" max="11018"/>
    <col width="18.75" customWidth="1" style="79" min="11019" max="11019"/>
    <col width="15.375" customWidth="1" style="79" min="11020" max="11020"/>
    <col width="15.125" customWidth="1" style="79" min="11021" max="11021"/>
    <col width="11" customWidth="1" style="79" min="11023" max="11023"/>
    <col width="10.625" customWidth="1" style="79" min="11024" max="11024"/>
    <col width="9.625" customWidth="1" style="79" min="11025" max="11025"/>
    <col width="7" customWidth="1" style="79" min="11268" max="11268"/>
    <col width="17.75" customWidth="1" style="79" min="11269" max="11269"/>
    <col width="10.875" customWidth="1" style="79" min="11270" max="11270"/>
    <col width="11.25" customWidth="1" style="79" min="11271" max="11271"/>
    <col width="11.5" customWidth="1" style="79" min="11272" max="11272"/>
    <col width="11.625" customWidth="1" style="79" min="11273" max="11273"/>
    <col width="15.5" customWidth="1" style="79" min="11274" max="11274"/>
    <col width="18.75" customWidth="1" style="79" min="11275" max="11275"/>
    <col width="15.375" customWidth="1" style="79" min="11276" max="11276"/>
    <col width="15.125" customWidth="1" style="79" min="11277" max="11277"/>
    <col width="11" customWidth="1" style="79" min="11279" max="11279"/>
    <col width="10.625" customWidth="1" style="79" min="11280" max="11280"/>
    <col width="9.625" customWidth="1" style="79" min="11281" max="11281"/>
    <col width="7" customWidth="1" style="79" min="11524" max="11524"/>
    <col width="17.75" customWidth="1" style="79" min="11525" max="11525"/>
    <col width="10.875" customWidth="1" style="79" min="11526" max="11526"/>
    <col width="11.25" customWidth="1" style="79" min="11527" max="11527"/>
    <col width="11.5" customWidth="1" style="79" min="11528" max="11528"/>
    <col width="11.625" customWidth="1" style="79" min="11529" max="11529"/>
    <col width="15.5" customWidth="1" style="79" min="11530" max="11530"/>
    <col width="18.75" customWidth="1" style="79" min="11531" max="11531"/>
    <col width="15.375" customWidth="1" style="79" min="11532" max="11532"/>
    <col width="15.125" customWidth="1" style="79" min="11533" max="11533"/>
    <col width="11" customWidth="1" style="79" min="11535" max="11535"/>
    <col width="10.625" customWidth="1" style="79" min="11536" max="11536"/>
    <col width="9.625" customWidth="1" style="79" min="11537" max="11537"/>
    <col width="7" customWidth="1" style="79" min="11780" max="11780"/>
    <col width="17.75" customWidth="1" style="79" min="11781" max="11781"/>
    <col width="10.875" customWidth="1" style="79" min="11782" max="11782"/>
    <col width="11.25" customWidth="1" style="79" min="11783" max="11783"/>
    <col width="11.5" customWidth="1" style="79" min="11784" max="11784"/>
    <col width="11.625" customWidth="1" style="79" min="11785" max="11785"/>
    <col width="15.5" customWidth="1" style="79" min="11786" max="11786"/>
    <col width="18.75" customWidth="1" style="79" min="11787" max="11787"/>
    <col width="15.375" customWidth="1" style="79" min="11788" max="11788"/>
    <col width="15.125" customWidth="1" style="79" min="11789" max="11789"/>
    <col width="11" customWidth="1" style="79" min="11791" max="11791"/>
    <col width="10.625" customWidth="1" style="79" min="11792" max="11792"/>
    <col width="9.625" customWidth="1" style="79" min="11793" max="11793"/>
    <col width="7" customWidth="1" style="79" min="12036" max="12036"/>
    <col width="17.75" customWidth="1" style="79" min="12037" max="12037"/>
    <col width="10.875" customWidth="1" style="79" min="12038" max="12038"/>
    <col width="11.25" customWidth="1" style="79" min="12039" max="12039"/>
    <col width="11.5" customWidth="1" style="79" min="12040" max="12040"/>
    <col width="11.625" customWidth="1" style="79" min="12041" max="12041"/>
    <col width="15.5" customWidth="1" style="79" min="12042" max="12042"/>
    <col width="18.75" customWidth="1" style="79" min="12043" max="12043"/>
    <col width="15.375" customWidth="1" style="79" min="12044" max="12044"/>
    <col width="15.125" customWidth="1" style="79" min="12045" max="12045"/>
    <col width="11" customWidth="1" style="79" min="12047" max="12047"/>
    <col width="10.625" customWidth="1" style="79" min="12048" max="12048"/>
    <col width="9.625" customWidth="1" style="79" min="12049" max="12049"/>
    <col width="7" customWidth="1" style="79" min="12292" max="12292"/>
    <col width="17.75" customWidth="1" style="79" min="12293" max="12293"/>
    <col width="10.875" customWidth="1" style="79" min="12294" max="12294"/>
    <col width="11.25" customWidth="1" style="79" min="12295" max="12295"/>
    <col width="11.5" customWidth="1" style="79" min="12296" max="12296"/>
    <col width="11.625" customWidth="1" style="79" min="12297" max="12297"/>
    <col width="15.5" customWidth="1" style="79" min="12298" max="12298"/>
    <col width="18.75" customWidth="1" style="79" min="12299" max="12299"/>
    <col width="15.375" customWidth="1" style="79" min="12300" max="12300"/>
    <col width="15.125" customWidth="1" style="79" min="12301" max="12301"/>
    <col width="11" customWidth="1" style="79" min="12303" max="12303"/>
    <col width="10.625" customWidth="1" style="79" min="12304" max="12304"/>
    <col width="9.625" customWidth="1" style="79" min="12305" max="12305"/>
    <col width="7" customWidth="1" style="79" min="12548" max="12548"/>
    <col width="17.75" customWidth="1" style="79" min="12549" max="12549"/>
    <col width="10.875" customWidth="1" style="79" min="12550" max="12550"/>
    <col width="11.25" customWidth="1" style="79" min="12551" max="12551"/>
    <col width="11.5" customWidth="1" style="79" min="12552" max="12552"/>
    <col width="11.625" customWidth="1" style="79" min="12553" max="12553"/>
    <col width="15.5" customWidth="1" style="79" min="12554" max="12554"/>
    <col width="18.75" customWidth="1" style="79" min="12555" max="12555"/>
    <col width="15.375" customWidth="1" style="79" min="12556" max="12556"/>
    <col width="15.125" customWidth="1" style="79" min="12557" max="12557"/>
    <col width="11" customWidth="1" style="79" min="12559" max="12559"/>
    <col width="10.625" customWidth="1" style="79" min="12560" max="12560"/>
    <col width="9.625" customWidth="1" style="79" min="12561" max="12561"/>
    <col width="7" customWidth="1" style="79" min="12804" max="12804"/>
    <col width="17.75" customWidth="1" style="79" min="12805" max="12805"/>
    <col width="10.875" customWidth="1" style="79" min="12806" max="12806"/>
    <col width="11.25" customWidth="1" style="79" min="12807" max="12807"/>
    <col width="11.5" customWidth="1" style="79" min="12808" max="12808"/>
    <col width="11.625" customWidth="1" style="79" min="12809" max="12809"/>
    <col width="15.5" customWidth="1" style="79" min="12810" max="12810"/>
    <col width="18.75" customWidth="1" style="79" min="12811" max="12811"/>
    <col width="15.375" customWidth="1" style="79" min="12812" max="12812"/>
    <col width="15.125" customWidth="1" style="79" min="12813" max="12813"/>
    <col width="11" customWidth="1" style="79" min="12815" max="12815"/>
    <col width="10.625" customWidth="1" style="79" min="12816" max="12816"/>
    <col width="9.625" customWidth="1" style="79" min="12817" max="12817"/>
    <col width="7" customWidth="1" style="79" min="13060" max="13060"/>
    <col width="17.75" customWidth="1" style="79" min="13061" max="13061"/>
    <col width="10.875" customWidth="1" style="79" min="13062" max="13062"/>
    <col width="11.25" customWidth="1" style="79" min="13063" max="13063"/>
    <col width="11.5" customWidth="1" style="79" min="13064" max="13064"/>
    <col width="11.625" customWidth="1" style="79" min="13065" max="13065"/>
    <col width="15.5" customWidth="1" style="79" min="13066" max="13066"/>
    <col width="18.75" customWidth="1" style="79" min="13067" max="13067"/>
    <col width="15.375" customWidth="1" style="79" min="13068" max="13068"/>
    <col width="15.125" customWidth="1" style="79" min="13069" max="13069"/>
    <col width="11" customWidth="1" style="79" min="13071" max="13071"/>
    <col width="10.625" customWidth="1" style="79" min="13072" max="13072"/>
    <col width="9.625" customWidth="1" style="79" min="13073" max="13073"/>
    <col width="7" customWidth="1" style="79" min="13316" max="13316"/>
    <col width="17.75" customWidth="1" style="79" min="13317" max="13317"/>
    <col width="10.875" customWidth="1" style="79" min="13318" max="13318"/>
    <col width="11.25" customWidth="1" style="79" min="13319" max="13319"/>
    <col width="11.5" customWidth="1" style="79" min="13320" max="13320"/>
    <col width="11.625" customWidth="1" style="79" min="13321" max="13321"/>
    <col width="15.5" customWidth="1" style="79" min="13322" max="13322"/>
    <col width="18.75" customWidth="1" style="79" min="13323" max="13323"/>
    <col width="15.375" customWidth="1" style="79" min="13324" max="13324"/>
    <col width="15.125" customWidth="1" style="79" min="13325" max="13325"/>
    <col width="11" customWidth="1" style="79" min="13327" max="13327"/>
    <col width="10.625" customWidth="1" style="79" min="13328" max="13328"/>
    <col width="9.625" customWidth="1" style="79" min="13329" max="13329"/>
    <col width="7" customWidth="1" style="79" min="13572" max="13572"/>
    <col width="17.75" customWidth="1" style="79" min="13573" max="13573"/>
    <col width="10.875" customWidth="1" style="79" min="13574" max="13574"/>
    <col width="11.25" customWidth="1" style="79" min="13575" max="13575"/>
    <col width="11.5" customWidth="1" style="79" min="13576" max="13576"/>
    <col width="11.625" customWidth="1" style="79" min="13577" max="13577"/>
    <col width="15.5" customWidth="1" style="79" min="13578" max="13578"/>
    <col width="18.75" customWidth="1" style="79" min="13579" max="13579"/>
    <col width="15.375" customWidth="1" style="79" min="13580" max="13580"/>
    <col width="15.125" customWidth="1" style="79" min="13581" max="13581"/>
    <col width="11" customWidth="1" style="79" min="13583" max="13583"/>
    <col width="10.625" customWidth="1" style="79" min="13584" max="13584"/>
    <col width="9.625" customWidth="1" style="79" min="13585" max="13585"/>
    <col width="7" customWidth="1" style="79" min="13828" max="13828"/>
    <col width="17.75" customWidth="1" style="79" min="13829" max="13829"/>
    <col width="10.875" customWidth="1" style="79" min="13830" max="13830"/>
    <col width="11.25" customWidth="1" style="79" min="13831" max="13831"/>
    <col width="11.5" customWidth="1" style="79" min="13832" max="13832"/>
    <col width="11.625" customWidth="1" style="79" min="13833" max="13833"/>
    <col width="15.5" customWidth="1" style="79" min="13834" max="13834"/>
    <col width="18.75" customWidth="1" style="79" min="13835" max="13835"/>
    <col width="15.375" customWidth="1" style="79" min="13836" max="13836"/>
    <col width="15.125" customWidth="1" style="79" min="13837" max="13837"/>
    <col width="11" customWidth="1" style="79" min="13839" max="13839"/>
    <col width="10.625" customWidth="1" style="79" min="13840" max="13840"/>
    <col width="9.625" customWidth="1" style="79" min="13841" max="13841"/>
    <col width="7" customWidth="1" style="79" min="14084" max="14084"/>
    <col width="17.75" customWidth="1" style="79" min="14085" max="14085"/>
    <col width="10.875" customWidth="1" style="79" min="14086" max="14086"/>
    <col width="11.25" customWidth="1" style="79" min="14087" max="14087"/>
    <col width="11.5" customWidth="1" style="79" min="14088" max="14088"/>
    <col width="11.625" customWidth="1" style="79" min="14089" max="14089"/>
    <col width="15.5" customWidth="1" style="79" min="14090" max="14090"/>
    <col width="18.75" customWidth="1" style="79" min="14091" max="14091"/>
    <col width="15.375" customWidth="1" style="79" min="14092" max="14092"/>
    <col width="15.125" customWidth="1" style="79" min="14093" max="14093"/>
    <col width="11" customWidth="1" style="79" min="14095" max="14095"/>
    <col width="10.625" customWidth="1" style="79" min="14096" max="14096"/>
    <col width="9.625" customWidth="1" style="79" min="14097" max="14097"/>
    <col width="7" customWidth="1" style="79" min="14340" max="14340"/>
    <col width="17.75" customWidth="1" style="79" min="14341" max="14341"/>
    <col width="10.875" customWidth="1" style="79" min="14342" max="14342"/>
    <col width="11.25" customWidth="1" style="79" min="14343" max="14343"/>
    <col width="11.5" customWidth="1" style="79" min="14344" max="14344"/>
    <col width="11.625" customWidth="1" style="79" min="14345" max="14345"/>
    <col width="15.5" customWidth="1" style="79" min="14346" max="14346"/>
    <col width="18.75" customWidth="1" style="79" min="14347" max="14347"/>
    <col width="15.375" customWidth="1" style="79" min="14348" max="14348"/>
    <col width="15.125" customWidth="1" style="79" min="14349" max="14349"/>
    <col width="11" customWidth="1" style="79" min="14351" max="14351"/>
    <col width="10.625" customWidth="1" style="79" min="14352" max="14352"/>
    <col width="9.625" customWidth="1" style="79" min="14353" max="14353"/>
    <col width="7" customWidth="1" style="79" min="14596" max="14596"/>
    <col width="17.75" customWidth="1" style="79" min="14597" max="14597"/>
    <col width="10.875" customWidth="1" style="79" min="14598" max="14598"/>
    <col width="11.25" customWidth="1" style="79" min="14599" max="14599"/>
    <col width="11.5" customWidth="1" style="79" min="14600" max="14600"/>
    <col width="11.625" customWidth="1" style="79" min="14601" max="14601"/>
    <col width="15.5" customWidth="1" style="79" min="14602" max="14602"/>
    <col width="18.75" customWidth="1" style="79" min="14603" max="14603"/>
    <col width="15.375" customWidth="1" style="79" min="14604" max="14604"/>
    <col width="15.125" customWidth="1" style="79" min="14605" max="14605"/>
    <col width="11" customWidth="1" style="79" min="14607" max="14607"/>
    <col width="10.625" customWidth="1" style="79" min="14608" max="14608"/>
    <col width="9.625" customWidth="1" style="79" min="14609" max="14609"/>
    <col width="7" customWidth="1" style="79" min="14852" max="14852"/>
    <col width="17.75" customWidth="1" style="79" min="14853" max="14853"/>
    <col width="10.875" customWidth="1" style="79" min="14854" max="14854"/>
    <col width="11.25" customWidth="1" style="79" min="14855" max="14855"/>
    <col width="11.5" customWidth="1" style="79" min="14856" max="14856"/>
    <col width="11.625" customWidth="1" style="79" min="14857" max="14857"/>
    <col width="15.5" customWidth="1" style="79" min="14858" max="14858"/>
    <col width="18.75" customWidth="1" style="79" min="14859" max="14859"/>
    <col width="15.375" customWidth="1" style="79" min="14860" max="14860"/>
    <col width="15.125" customWidth="1" style="79" min="14861" max="14861"/>
    <col width="11" customWidth="1" style="79" min="14863" max="14863"/>
    <col width="10.625" customWidth="1" style="79" min="14864" max="14864"/>
    <col width="9.625" customWidth="1" style="79" min="14865" max="14865"/>
    <col width="7" customWidth="1" style="79" min="15108" max="15108"/>
    <col width="17.75" customWidth="1" style="79" min="15109" max="15109"/>
    <col width="10.875" customWidth="1" style="79" min="15110" max="15110"/>
    <col width="11.25" customWidth="1" style="79" min="15111" max="15111"/>
    <col width="11.5" customWidth="1" style="79" min="15112" max="15112"/>
    <col width="11.625" customWidth="1" style="79" min="15113" max="15113"/>
    <col width="15.5" customWidth="1" style="79" min="15114" max="15114"/>
    <col width="18.75" customWidth="1" style="79" min="15115" max="15115"/>
    <col width="15.375" customWidth="1" style="79" min="15116" max="15116"/>
    <col width="15.125" customWidth="1" style="79" min="15117" max="15117"/>
    <col width="11" customWidth="1" style="79" min="15119" max="15119"/>
    <col width="10.625" customWidth="1" style="79" min="15120" max="15120"/>
    <col width="9.625" customWidth="1" style="79" min="15121" max="15121"/>
    <col width="7" customWidth="1" style="79" min="15364" max="15364"/>
    <col width="17.75" customWidth="1" style="79" min="15365" max="15365"/>
    <col width="10.875" customWidth="1" style="79" min="15366" max="15366"/>
    <col width="11.25" customWidth="1" style="79" min="15367" max="15367"/>
    <col width="11.5" customWidth="1" style="79" min="15368" max="15368"/>
    <col width="11.625" customWidth="1" style="79" min="15369" max="15369"/>
    <col width="15.5" customWidth="1" style="79" min="15370" max="15370"/>
    <col width="18.75" customWidth="1" style="79" min="15371" max="15371"/>
    <col width="15.375" customWidth="1" style="79" min="15372" max="15372"/>
    <col width="15.125" customWidth="1" style="79" min="15373" max="15373"/>
    <col width="11" customWidth="1" style="79" min="15375" max="15375"/>
    <col width="10.625" customWidth="1" style="79" min="15376" max="15376"/>
    <col width="9.625" customWidth="1" style="79" min="15377" max="15377"/>
    <col width="7" customWidth="1" style="79" min="15620" max="15620"/>
    <col width="17.75" customWidth="1" style="79" min="15621" max="15621"/>
    <col width="10.875" customWidth="1" style="79" min="15622" max="15622"/>
    <col width="11.25" customWidth="1" style="79" min="15623" max="15623"/>
    <col width="11.5" customWidth="1" style="79" min="15624" max="15624"/>
    <col width="11.625" customWidth="1" style="79" min="15625" max="15625"/>
    <col width="15.5" customWidth="1" style="79" min="15626" max="15626"/>
    <col width="18.75" customWidth="1" style="79" min="15627" max="15627"/>
    <col width="15.375" customWidth="1" style="79" min="15628" max="15628"/>
    <col width="15.125" customWidth="1" style="79" min="15629" max="15629"/>
    <col width="11" customWidth="1" style="79" min="15631" max="15631"/>
    <col width="10.625" customWidth="1" style="79" min="15632" max="15632"/>
    <col width="9.625" customWidth="1" style="79" min="15633" max="15633"/>
    <col width="7" customWidth="1" style="79" min="15876" max="15876"/>
    <col width="17.75" customWidth="1" style="79" min="15877" max="15877"/>
    <col width="10.875" customWidth="1" style="79" min="15878" max="15878"/>
    <col width="11.25" customWidth="1" style="79" min="15879" max="15879"/>
    <col width="11.5" customWidth="1" style="79" min="15880" max="15880"/>
    <col width="11.625" customWidth="1" style="79" min="15881" max="15881"/>
    <col width="15.5" customWidth="1" style="79" min="15882" max="15882"/>
    <col width="18.75" customWidth="1" style="79" min="15883" max="15883"/>
    <col width="15.375" customWidth="1" style="79" min="15884" max="15884"/>
    <col width="15.125" customWidth="1" style="79" min="15885" max="15885"/>
    <col width="11" customWidth="1" style="79" min="15887" max="15887"/>
    <col width="10.625" customWidth="1" style="79" min="15888" max="15888"/>
    <col width="9.625" customWidth="1" style="79" min="15889" max="15889"/>
    <col width="7" customWidth="1" style="79" min="16132" max="16132"/>
    <col width="17.75" customWidth="1" style="79" min="16133" max="16133"/>
    <col width="10.875" customWidth="1" style="79" min="16134" max="16134"/>
    <col width="11.25" customWidth="1" style="79" min="16135" max="16135"/>
    <col width="11.5" customWidth="1" style="79" min="16136" max="16136"/>
    <col width="11.625" customWidth="1" style="79" min="16137" max="16137"/>
    <col width="15.5" customWidth="1" style="79" min="16138" max="16138"/>
    <col width="18.75" customWidth="1" style="79" min="16139" max="16139"/>
    <col width="15.375" customWidth="1" style="79" min="16140" max="16140"/>
    <col width="15.125" customWidth="1" style="79" min="16141" max="16141"/>
    <col width="11" customWidth="1" style="79" min="16143" max="16143"/>
    <col width="10.625" customWidth="1" style="79" min="16144" max="16144"/>
    <col width="9.625" customWidth="1" style="79" min="16145" max="16145"/>
  </cols>
  <sheetData>
    <row r="1" ht="18.75" customHeight="1" s="79">
      <c r="G1" s="1" t="inlineStr">
        <is>
          <t>KARTU INVENTARIS RUANGAN</t>
        </is>
      </c>
      <c r="Q1" t="inlineStr">
        <is>
          <t>MODEL INV. 6</t>
        </is>
      </c>
    </row>
    <row r="2" ht="18.75" customHeight="1" s="79">
      <c r="G2" s="1" t="n"/>
    </row>
    <row r="3" ht="18.75" customHeight="1" s="79">
      <c r="A3" s="461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461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461" t="inlineStr">
        <is>
          <t>Satuan Kerja</t>
        </is>
      </c>
      <c r="C5" t="inlineStr">
        <is>
          <t>Badan Kesatuan Bangsa dan Politik Kota Banjarmasin</t>
        </is>
      </c>
      <c r="G5" s="1" t="n"/>
    </row>
    <row r="6" ht="18.75" customHeight="1" s="79">
      <c r="A6" s="461" t="inlineStr">
        <is>
          <t>Ruangan</t>
        </is>
      </c>
      <c r="C6" s="88" t="inlineStr">
        <is>
          <t>KENDARAAN DINAS</t>
        </is>
      </c>
      <c r="G6" s="1" t="n"/>
    </row>
    <row r="8">
      <c r="A8" t="inlineStr">
        <is>
          <t xml:space="preserve">NO.KODE LOKASI : </t>
        </is>
      </c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Merk/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44" t="inlineStr">
        <is>
          <t xml:space="preserve">Jumlah </t>
        </is>
      </c>
      <c r="K9" s="592" t="n"/>
      <c r="L9" s="538" t="inlineStr">
        <is>
          <t xml:space="preserve">Harga </t>
        </is>
      </c>
      <c r="M9" s="544" t="inlineStr">
        <is>
          <t>Nomor</t>
        </is>
      </c>
      <c r="N9" s="591" t="n"/>
      <c r="O9" s="591" t="n"/>
      <c r="P9" s="591" t="n"/>
      <c r="Q9" s="592" t="n"/>
    </row>
    <row r="10">
      <c r="A10" s="540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Type</t>
        </is>
      </c>
      <c r="F10" s="594" t="n"/>
      <c r="G10" s="594" t="n"/>
      <c r="H10" s="104" t="inlineStr">
        <is>
          <t>Pembuatan</t>
        </is>
      </c>
      <c r="I10" s="655" t="inlineStr">
        <is>
          <t xml:space="preserve">No/. Kode Barang </t>
        </is>
      </c>
      <c r="J10" s="104" t="inlineStr">
        <is>
          <t>Banyaknya</t>
        </is>
      </c>
      <c r="K10" s="104" t="inlineStr">
        <is>
          <t>Nomor</t>
        </is>
      </c>
      <c r="L10" s="104" t="inlineStr">
        <is>
          <t>Beli/</t>
        </is>
      </c>
      <c r="M10" s="655" t="inlineStr">
        <is>
          <t>Rangka</t>
        </is>
      </c>
      <c r="N10" s="655" t="inlineStr">
        <is>
          <t>Mesin</t>
        </is>
      </c>
      <c r="O10" s="655" t="inlineStr">
        <is>
          <t>Polisi</t>
        </is>
      </c>
      <c r="P10" s="655" t="inlineStr">
        <is>
          <t>BPKB</t>
        </is>
      </c>
      <c r="Q10" s="655" t="inlineStr">
        <is>
          <t>Pemegang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595" t="n"/>
      <c r="J11" s="105" t="inlineStr">
        <is>
          <t>Barang</t>
        </is>
      </c>
      <c r="K11" s="105" t="inlineStr">
        <is>
          <t>Register x)</t>
        </is>
      </c>
      <c r="L11" s="105" t="inlineStr">
        <is>
          <t>Perolehan</t>
        </is>
      </c>
      <c r="M11" s="595" t="n"/>
      <c r="N11" s="595" t="n"/>
      <c r="O11" s="595" t="n"/>
      <c r="P11" s="595" t="n"/>
      <c r="Q11" s="595" t="n"/>
    </row>
    <row r="12">
      <c r="A12" s="47" t="n">
        <v>1</v>
      </c>
      <c r="B12" s="122" t="n">
        <v>2</v>
      </c>
      <c r="C12" s="589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104" t="n">
        <v>14</v>
      </c>
      <c r="P12" s="104" t="n">
        <v>15</v>
      </c>
      <c r="Q12" s="104" t="n">
        <v>16</v>
      </c>
    </row>
    <row r="13" ht="47.25" customHeight="1" s="79">
      <c r="A13" s="453" t="n">
        <v>1</v>
      </c>
      <c r="B13" s="570" t="inlineStr">
        <is>
          <t>Mini Bus (Penumpang 14 Orang ke bawah</t>
        </is>
      </c>
      <c r="C13" s="592" t="n"/>
      <c r="D13" s="31" t="inlineStr">
        <is>
          <t>TOYOTA / AVANZA 1500 S</t>
        </is>
      </c>
      <c r="E13" s="31" t="n"/>
      <c r="F13" s="9" t="inlineStr">
        <is>
          <t>1498 CC</t>
        </is>
      </c>
      <c r="G13" s="9" t="inlineStr">
        <is>
          <t>Besi</t>
        </is>
      </c>
      <c r="H13" s="7" t="n">
        <v>2012</v>
      </c>
      <c r="I13" s="9" t="inlineStr">
        <is>
          <t>02.03.01.02.003</t>
        </is>
      </c>
      <c r="J13" s="11" t="n">
        <v>1</v>
      </c>
      <c r="K13" s="11" t="inlineStr">
        <is>
          <t>0002</t>
        </is>
      </c>
      <c r="L13" s="19" t="n">
        <v>166673497</v>
      </c>
      <c r="M13" s="30" t="inlineStr">
        <is>
          <t>I-05815753</t>
        </is>
      </c>
      <c r="N13" s="9" t="n"/>
      <c r="O13" s="9" t="inlineStr">
        <is>
          <t>DA 826 AF</t>
        </is>
      </c>
      <c r="P13" s="7" t="n"/>
      <c r="Q13" s="9" t="inlineStr">
        <is>
          <t>Operasional</t>
        </is>
      </c>
    </row>
    <row r="14" ht="47.25" customHeight="1" s="79">
      <c r="A14" s="7">
        <f>A13+1</f>
        <v/>
      </c>
      <c r="B14" s="570" t="inlineStr">
        <is>
          <t>Mini Bus (Penumpang 14 Orang ke bawah</t>
        </is>
      </c>
      <c r="C14" s="592" t="n"/>
      <c r="D14" s="31" t="inlineStr">
        <is>
          <t>TOYOTA / KF 70 biru metalik</t>
        </is>
      </c>
      <c r="E14" s="31" t="n"/>
      <c r="F14" s="9" t="inlineStr">
        <is>
          <t>1781 C</t>
        </is>
      </c>
      <c r="G14" s="9" t="inlineStr">
        <is>
          <t>Besi</t>
        </is>
      </c>
      <c r="H14" s="7" t="n">
        <v>2012</v>
      </c>
      <c r="I14" s="9" t="inlineStr">
        <is>
          <t>02.03.01.02.003</t>
        </is>
      </c>
      <c r="J14" s="11" t="n">
        <v>1</v>
      </c>
      <c r="K14" s="11" t="inlineStr">
        <is>
          <t>0003</t>
        </is>
      </c>
      <c r="L14" s="19" t="n">
        <v>120800000</v>
      </c>
      <c r="M14" s="9" t="inlineStr">
        <is>
          <t>MHF11KF701003</t>
        </is>
      </c>
      <c r="N14" s="9" t="n"/>
      <c r="O14" s="9" t="inlineStr">
        <is>
          <t>DA 251 A</t>
        </is>
      </c>
      <c r="P14" s="7" t="n"/>
      <c r="Q14" s="9" t="inlineStr">
        <is>
          <t>Opearsiona'</t>
        </is>
      </c>
    </row>
    <row r="15" ht="47.25" customHeight="1" s="79">
      <c r="A15" s="7">
        <f>A14+1</f>
        <v/>
      </c>
      <c r="B15" s="570" t="inlineStr">
        <is>
          <t>Mini Bus (Penumpang 14 Orang ke bawah</t>
        </is>
      </c>
      <c r="C15" s="592" t="n"/>
      <c r="D15" s="31" t="inlineStr">
        <is>
          <t>TOYOTA / Rush 1.5 MT / Station Wagon</t>
        </is>
      </c>
      <c r="E15" s="31" t="n"/>
      <c r="F15" s="9" t="inlineStr">
        <is>
          <t>1500 cc</t>
        </is>
      </c>
      <c r="G15" s="9" t="inlineStr">
        <is>
          <t>Besi</t>
        </is>
      </c>
      <c r="H15" s="7" t="n">
        <v>2015</v>
      </c>
      <c r="I15" s="9" t="inlineStr">
        <is>
          <t>02.03.01.02.003</t>
        </is>
      </c>
      <c r="J15" s="11" t="n">
        <v>1</v>
      </c>
      <c r="K15" s="11" t="inlineStr">
        <is>
          <t>0004</t>
        </is>
      </c>
      <c r="L15" s="19" t="n">
        <v>225990000</v>
      </c>
      <c r="M15" s="9" t="inlineStr">
        <is>
          <t>MHFE2C13JFK09</t>
        </is>
      </c>
      <c r="N15" s="9" t="n"/>
      <c r="O15" s="30" t="inlineStr">
        <is>
          <t>DA 783 AI / DA 16 A / DA 25 A</t>
        </is>
      </c>
      <c r="P15" s="7" t="n"/>
      <c r="Q15" s="30" t="inlineStr">
        <is>
          <t>Kepala Badan</t>
        </is>
      </c>
    </row>
    <row r="16" ht="31.5" customHeight="1" s="79">
      <c r="A16" s="7">
        <f>A15+1</f>
        <v/>
      </c>
      <c r="B16" s="570" t="inlineStr">
        <is>
          <t>Mini Bus (Penumpang 14 Orang ke bawah</t>
        </is>
      </c>
      <c r="C16" s="592" t="n"/>
      <c r="D16" s="31" t="inlineStr">
        <is>
          <t>Suzuki/                   Ertiga GX</t>
        </is>
      </c>
      <c r="E16" s="31" t="n"/>
      <c r="F16" s="9" t="inlineStr">
        <is>
          <t>1400 CC</t>
        </is>
      </c>
      <c r="G16" s="9" t="inlineStr">
        <is>
          <t>Besi</t>
        </is>
      </c>
      <c r="H16" s="7" t="n"/>
      <c r="I16" s="9" t="inlineStr">
        <is>
          <t>02.03.01.02.003</t>
        </is>
      </c>
      <c r="J16" s="11" t="n">
        <v>1</v>
      </c>
      <c r="K16" s="11" t="inlineStr">
        <is>
          <t>0005</t>
        </is>
      </c>
      <c r="L16" s="19" t="n">
        <v>199204400</v>
      </c>
      <c r="M16" s="9" t="inlineStr">
        <is>
          <t>MHYKZE81SFJ25</t>
        </is>
      </c>
      <c r="N16" s="9" t="n"/>
      <c r="O16" s="9" t="inlineStr">
        <is>
          <t>DA 1250 IJ</t>
        </is>
      </c>
      <c r="P16" s="7" t="n"/>
      <c r="Q16" s="9" t="inlineStr">
        <is>
          <t>Sekretaris</t>
        </is>
      </c>
    </row>
    <row r="17" ht="47.25" customHeight="1" s="79">
      <c r="A17" s="7">
        <f>A16+1</f>
        <v/>
      </c>
      <c r="B17" s="567" t="inlineStr">
        <is>
          <t>Sepeda Motor</t>
        </is>
      </c>
      <c r="C17" s="592" t="n"/>
      <c r="D17" s="31" t="inlineStr">
        <is>
          <t>TOYOTA / Rush 1.5 MT / Station Wagon</t>
        </is>
      </c>
      <c r="E17" s="30" t="inlineStr">
        <is>
          <t>MHIHB11164K30</t>
        </is>
      </c>
      <c r="F17" s="7" t="n">
        <v>100</v>
      </c>
      <c r="G17" s="9" t="inlineStr">
        <is>
          <t>Besi</t>
        </is>
      </c>
      <c r="H17" s="7" t="n">
        <v>2004</v>
      </c>
      <c r="I17" s="9" t="inlineStr">
        <is>
          <t>02.03.01.05.001</t>
        </is>
      </c>
      <c r="J17" s="11" t="n">
        <v>1</v>
      </c>
      <c r="K17" s="11" t="inlineStr">
        <is>
          <t>0001</t>
        </is>
      </c>
      <c r="L17" s="19" t="n">
        <v>11500000</v>
      </c>
      <c r="M17" s="30" t="inlineStr">
        <is>
          <t>MHIHB11164K30</t>
        </is>
      </c>
      <c r="N17" s="9" t="n"/>
      <c r="O17" s="9" t="inlineStr">
        <is>
          <t>Da 2820 IZ</t>
        </is>
      </c>
      <c r="P17" s="9" t="inlineStr">
        <is>
          <t>Dihapu</t>
        </is>
      </c>
      <c r="Q17" s="9" t="inlineStr">
        <is>
          <t>Operasional</t>
        </is>
      </c>
    </row>
    <row r="18" ht="47.25" customHeight="1" s="79">
      <c r="A18" s="7">
        <f>A17+1</f>
        <v/>
      </c>
      <c r="B18" s="567" t="inlineStr">
        <is>
          <t>Sepeda Motor</t>
        </is>
      </c>
      <c r="C18" s="592" t="n"/>
      <c r="D18" s="30" t="inlineStr">
        <is>
          <t>Honda Supra Fit / NF 100 SLD</t>
        </is>
      </c>
      <c r="E18" s="31" t="inlineStr">
        <is>
          <t>MH1HB421X6K0994</t>
        </is>
      </c>
      <c r="F18" s="7" t="n">
        <v>100</v>
      </c>
      <c r="G18" s="9" t="inlineStr">
        <is>
          <t>Besi Platik</t>
        </is>
      </c>
      <c r="H18" s="7" t="n">
        <v>2006</v>
      </c>
      <c r="I18" s="9" t="inlineStr">
        <is>
          <t>02.03.01.05.001</t>
        </is>
      </c>
      <c r="J18" s="11" t="n">
        <v>1</v>
      </c>
      <c r="K18" s="11" t="inlineStr">
        <is>
          <t>0002</t>
        </is>
      </c>
      <c r="L18" s="19" t="n">
        <v>12750000</v>
      </c>
      <c r="M18" s="31" t="inlineStr">
        <is>
          <t>MH1HB421X6K0994</t>
        </is>
      </c>
      <c r="N18" s="9" t="n"/>
      <c r="O18" s="9" t="inlineStr">
        <is>
          <t>DA 2215 IZ</t>
        </is>
      </c>
      <c r="P18" s="9" t="inlineStr">
        <is>
          <t>Dihapus</t>
        </is>
      </c>
      <c r="Q18" s="9" t="inlineStr">
        <is>
          <t>Operasional</t>
        </is>
      </c>
    </row>
    <row r="19" ht="47.25" customHeight="1" s="79">
      <c r="A19" s="7">
        <f>A18+1</f>
        <v/>
      </c>
      <c r="B19" s="567" t="inlineStr">
        <is>
          <t>Sepeda Motor</t>
        </is>
      </c>
      <c r="C19" s="592" t="n"/>
      <c r="D19" s="31" t="inlineStr">
        <is>
          <t>Suzuku Smash / FK 110 SDK6</t>
        </is>
      </c>
      <c r="E19" s="31" t="inlineStr">
        <is>
          <t>MH8BE4DFA6J-1731</t>
        </is>
      </c>
      <c r="F19" s="7" t="n">
        <v>110</v>
      </c>
      <c r="G19" s="9" t="inlineStr">
        <is>
          <t>Besi Platik</t>
        </is>
      </c>
      <c r="H19" s="7" t="n">
        <v>2006</v>
      </c>
      <c r="I19" s="9" t="inlineStr">
        <is>
          <t>02.03.01.05.001</t>
        </is>
      </c>
      <c r="J19" s="11" t="n">
        <v>1</v>
      </c>
      <c r="K19" s="11" t="inlineStr">
        <is>
          <t>0003</t>
        </is>
      </c>
      <c r="L19" s="19" t="n">
        <v>11525000</v>
      </c>
      <c r="M19" s="31" t="inlineStr">
        <is>
          <t>MH8BE4DFA6J-1731</t>
        </is>
      </c>
      <c r="N19" s="9" t="n"/>
      <c r="O19" s="9" t="inlineStr">
        <is>
          <t>DA 4056 IZ</t>
        </is>
      </c>
      <c r="P19" s="9" t="inlineStr">
        <is>
          <t>Dihapus</t>
        </is>
      </c>
      <c r="Q19" s="9" t="inlineStr">
        <is>
          <t>Opearsional</t>
        </is>
      </c>
    </row>
    <row r="20" ht="33.75" customHeight="1" s="79">
      <c r="A20" s="7">
        <f>A19+1</f>
        <v/>
      </c>
      <c r="B20" s="567" t="inlineStr">
        <is>
          <t>Sepeda Motor</t>
        </is>
      </c>
      <c r="C20" s="592" t="n"/>
      <c r="D20" s="31" t="inlineStr">
        <is>
          <t>Honda 125 / NF 125 SD</t>
        </is>
      </c>
      <c r="E20" s="31" t="inlineStr">
        <is>
          <t>MH1JB51186K87086</t>
        </is>
      </c>
      <c r="F20" s="7" t="n">
        <v>125</v>
      </c>
      <c r="G20" s="9" t="inlineStr">
        <is>
          <t>Besi</t>
        </is>
      </c>
      <c r="H20" s="7" t="n">
        <v>2006</v>
      </c>
      <c r="I20" s="9" t="inlineStr">
        <is>
          <t>02.03.01.05.001</t>
        </is>
      </c>
      <c r="J20" s="11" t="n">
        <v>1</v>
      </c>
      <c r="K20" s="11" t="inlineStr">
        <is>
          <t>0004</t>
        </is>
      </c>
      <c r="L20" s="19" t="n">
        <v>29800000</v>
      </c>
      <c r="M20" s="31" t="inlineStr">
        <is>
          <t>MH1JB51186K87086</t>
        </is>
      </c>
      <c r="N20" s="9" t="n"/>
      <c r="O20" s="9" t="inlineStr">
        <is>
          <t>DA 2140 IZ</t>
        </is>
      </c>
      <c r="P20" s="7" t="n"/>
      <c r="Q20" s="30" t="inlineStr">
        <is>
          <t>Kasubbid Bina Ideologi</t>
        </is>
      </c>
    </row>
    <row r="21" ht="31.5" customHeight="1" s="79">
      <c r="A21" s="7">
        <f>A20+1</f>
        <v/>
      </c>
      <c r="B21" s="567" t="inlineStr">
        <is>
          <t>Sepeda Motor</t>
        </is>
      </c>
      <c r="C21" s="592" t="n"/>
      <c r="D21" s="31" t="inlineStr">
        <is>
          <t>Honda 125 / NF 125 SD</t>
        </is>
      </c>
      <c r="E21" s="31" t="inlineStr">
        <is>
          <t>MH1JB51186K87086</t>
        </is>
      </c>
      <c r="F21" s="7" t="n">
        <v>125</v>
      </c>
      <c r="G21" s="9" t="inlineStr">
        <is>
          <t>Besi</t>
        </is>
      </c>
      <c r="H21" s="7" t="n">
        <v>2006</v>
      </c>
      <c r="I21" s="9" t="inlineStr">
        <is>
          <t>02.03.01.05.001</t>
        </is>
      </c>
      <c r="J21" s="11" t="n">
        <v>1</v>
      </c>
      <c r="K21" s="11" t="inlineStr">
        <is>
          <t>0005</t>
        </is>
      </c>
      <c r="L21" s="19" t="n">
        <v>14900000</v>
      </c>
      <c r="M21" s="31" t="inlineStr">
        <is>
          <t>MH1JB51186K87086</t>
        </is>
      </c>
      <c r="N21" s="9" t="n"/>
      <c r="O21" s="9" t="inlineStr">
        <is>
          <t>DA 443 NF</t>
        </is>
      </c>
      <c r="P21" s="9" t="inlineStr">
        <is>
          <t>Dihapus</t>
        </is>
      </c>
      <c r="Q21" s="9" t="inlineStr">
        <is>
          <t>Tdk ada BPKB</t>
        </is>
      </c>
    </row>
    <row r="22" ht="47.25" customHeight="1" s="79">
      <c r="A22" s="7">
        <f>A21+1</f>
        <v/>
      </c>
      <c r="B22" s="567" t="inlineStr">
        <is>
          <t>Sepeda Motor</t>
        </is>
      </c>
      <c r="C22" s="592" t="n"/>
      <c r="D22" s="31" t="inlineStr">
        <is>
          <t>Suzuki New Smash / FK 110  SDKS</t>
        </is>
      </c>
      <c r="E22" s="31" t="inlineStr">
        <is>
          <t>MH8BE4DFA973</t>
        </is>
      </c>
      <c r="F22" s="7" t="n">
        <v>110</v>
      </c>
      <c r="G22" s="9" t="inlineStr">
        <is>
          <t>Besi</t>
        </is>
      </c>
      <c r="H22" s="7" t="n">
        <v>2009</v>
      </c>
      <c r="I22" s="9" t="inlineStr">
        <is>
          <t>02.03.01.05.001</t>
        </is>
      </c>
      <c r="J22" s="11" t="n">
        <v>1</v>
      </c>
      <c r="K22" s="11" t="inlineStr">
        <is>
          <t>0007</t>
        </is>
      </c>
      <c r="L22" s="19" t="n">
        <v>11595000</v>
      </c>
      <c r="M22" s="31" t="inlineStr">
        <is>
          <t>MH8BE4DFA973</t>
        </is>
      </c>
      <c r="N22" s="9" t="n"/>
      <c r="O22" s="9" t="inlineStr">
        <is>
          <t>DA 4437 VA</t>
        </is>
      </c>
      <c r="P22" s="7" t="n"/>
      <c r="Q22" s="30" t="inlineStr">
        <is>
          <t>Kepala Badan</t>
        </is>
      </c>
    </row>
    <row r="23" ht="47.25" customHeight="1" s="79">
      <c r="A23" s="7">
        <f>A22+1</f>
        <v/>
      </c>
      <c r="B23" s="567" t="inlineStr">
        <is>
          <t>Sepeda Motor</t>
        </is>
      </c>
      <c r="C23" s="592" t="n"/>
      <c r="D23" s="31" t="inlineStr">
        <is>
          <t>Suzuki TITAN/ FW 110 D</t>
        </is>
      </c>
      <c r="E23" s="31" t="inlineStr">
        <is>
          <t>MH8BE4DTADJ-1</t>
        </is>
      </c>
      <c r="F23" s="9" t="inlineStr">
        <is>
          <t>113 CC</t>
        </is>
      </c>
      <c r="G23" s="9" t="inlineStr">
        <is>
          <t>Besi</t>
        </is>
      </c>
      <c r="H23" s="7" t="n">
        <v>2012</v>
      </c>
      <c r="I23" s="9" t="inlineStr">
        <is>
          <t>02.03.01.05.001</t>
        </is>
      </c>
      <c r="J23" s="11" t="n">
        <v>1</v>
      </c>
      <c r="K23" s="11" t="inlineStr">
        <is>
          <t>0008</t>
        </is>
      </c>
      <c r="L23" s="19" t="n">
        <v>11059000</v>
      </c>
      <c r="M23" s="31" t="inlineStr">
        <is>
          <t>MH8BE4DTADJ-1</t>
        </is>
      </c>
      <c r="N23" s="9" t="n"/>
      <c r="O23" s="9" t="inlineStr">
        <is>
          <t>DA 4201 IZ</t>
        </is>
      </c>
      <c r="P23" s="7" t="n"/>
      <c r="Q23" s="30" t="inlineStr">
        <is>
          <t>Kasubbid Wasbang</t>
        </is>
      </c>
    </row>
    <row r="24" ht="47.25" customHeight="1" s="79">
      <c r="A24" s="7">
        <f>A23+1</f>
        <v/>
      </c>
      <c r="B24" s="567" t="inlineStr">
        <is>
          <t>Sepeda Motor</t>
        </is>
      </c>
      <c r="C24" s="592" t="n"/>
      <c r="D24" s="31" t="inlineStr">
        <is>
          <t>Suzuki Axelo / FL 125 RCD1</t>
        </is>
      </c>
      <c r="E24" s="31" t="inlineStr">
        <is>
          <t>MH8BF45SADJ-1</t>
        </is>
      </c>
      <c r="F24" s="9" t="inlineStr">
        <is>
          <t>125 CC</t>
        </is>
      </c>
      <c r="G24" s="9" t="inlineStr">
        <is>
          <t>Besi</t>
        </is>
      </c>
      <c r="H24" s="7" t="n">
        <v>2013</v>
      </c>
      <c r="I24" s="9" t="inlineStr">
        <is>
          <t>02.03.01.05.001</t>
        </is>
      </c>
      <c r="J24" s="11" t="n">
        <v>1</v>
      </c>
      <c r="K24" s="11" t="inlineStr">
        <is>
          <t>0009</t>
        </is>
      </c>
      <c r="L24" s="19">
        <f>30486720/2</f>
        <v/>
      </c>
      <c r="M24" s="31" t="inlineStr">
        <is>
          <t>MH8BF45SADJ-1</t>
        </is>
      </c>
      <c r="N24" s="9" t="n"/>
      <c r="O24" s="9" t="inlineStr">
        <is>
          <t>DA 4895 IZ</t>
        </is>
      </c>
      <c r="P24" s="7" t="n"/>
      <c r="Q24" s="30" t="inlineStr">
        <is>
          <t>Kasubbid Penanganan Konflik</t>
        </is>
      </c>
    </row>
    <row r="25" ht="31.5" customHeight="1" s="79">
      <c r="A25" s="7">
        <f>A24+1</f>
        <v/>
      </c>
      <c r="B25" s="567" t="inlineStr">
        <is>
          <t>Sepeda Motor</t>
        </is>
      </c>
      <c r="C25" s="592" t="n"/>
      <c r="D25" s="31" t="inlineStr">
        <is>
          <t>Suzuki Axelo / FL 125 RCD1</t>
        </is>
      </c>
      <c r="E25" s="31" t="inlineStr">
        <is>
          <t>MH8BF45SADJ-1</t>
        </is>
      </c>
      <c r="F25" s="9" t="inlineStr">
        <is>
          <t>125 CC</t>
        </is>
      </c>
      <c r="G25" s="9" t="inlineStr">
        <is>
          <t>Besi</t>
        </is>
      </c>
      <c r="H25" s="7" t="n">
        <v>2013</v>
      </c>
      <c r="I25" s="9" t="inlineStr">
        <is>
          <t>02.03.01.05.001</t>
        </is>
      </c>
      <c r="J25" s="11" t="n">
        <v>1</v>
      </c>
      <c r="K25" s="11" t="inlineStr">
        <is>
          <t>0010</t>
        </is>
      </c>
      <c r="L25" s="19">
        <f>30486720/2</f>
        <v/>
      </c>
      <c r="M25" s="31" t="inlineStr">
        <is>
          <t>MH8BF45SADJ-1</t>
        </is>
      </c>
      <c r="N25" s="9" t="n"/>
      <c r="O25" s="9" t="inlineStr">
        <is>
          <t>DA 4896 IZ</t>
        </is>
      </c>
      <c r="P25" s="7" t="n"/>
      <c r="Q25" s="30" t="inlineStr">
        <is>
          <t>Kabid Hansenibud</t>
        </is>
      </c>
    </row>
    <row r="26" ht="47.25" customHeight="1" s="79">
      <c r="A26" s="7">
        <f>A25+1</f>
        <v/>
      </c>
      <c r="B26" s="567" t="inlineStr">
        <is>
          <t>Sepeda Motor</t>
        </is>
      </c>
      <c r="C26" s="592" t="n"/>
      <c r="D26" s="31" t="inlineStr">
        <is>
          <t>Honda Blade / AFP12W21C08</t>
        </is>
      </c>
      <c r="E26" s="31" t="inlineStr">
        <is>
          <t>NH1JBM115FK08</t>
        </is>
      </c>
      <c r="F26" s="9" t="inlineStr">
        <is>
          <t>125 CC</t>
        </is>
      </c>
      <c r="G26" s="9" t="inlineStr">
        <is>
          <t>Besi</t>
        </is>
      </c>
      <c r="H26" s="7" t="n"/>
      <c r="I26" s="9" t="inlineStr">
        <is>
          <t>02.03.01.05.001</t>
        </is>
      </c>
      <c r="J26" s="11" t="n">
        <v>1</v>
      </c>
      <c r="K26" s="11" t="inlineStr">
        <is>
          <t>0011</t>
        </is>
      </c>
      <c r="L26" s="19">
        <f>65071844/4</f>
        <v/>
      </c>
      <c r="M26" s="31" t="inlineStr">
        <is>
          <t>NH1JBM115FK08</t>
        </is>
      </c>
      <c r="N26" s="9" t="n"/>
      <c r="O26" s="9" t="inlineStr">
        <is>
          <t>DA 2123 NZ</t>
        </is>
      </c>
      <c r="P26" s="7" t="n"/>
      <c r="Q26" s="42" t="inlineStr">
        <is>
          <t>Kasubbid Agama Ekantyasrini</t>
        </is>
      </c>
    </row>
    <row r="27">
      <c r="A27" s="73" t="n"/>
      <c r="B27" s="74" t="n"/>
      <c r="C27" s="74" t="n"/>
      <c r="D27" s="98" t="n"/>
      <c r="E27" s="98" t="n"/>
      <c r="F27" s="77" t="n"/>
      <c r="G27" s="77" t="n"/>
      <c r="H27" s="73" t="n"/>
      <c r="I27" s="77" t="n"/>
      <c r="J27" s="78" t="n"/>
      <c r="K27" s="78" t="n"/>
      <c r="L27" s="99" t="n"/>
      <c r="M27" s="98" t="n"/>
      <c r="N27" s="77" t="n"/>
      <c r="O27" s="77" t="n"/>
      <c r="P27" s="73" t="n"/>
      <c r="Q27" s="76" t="n"/>
    </row>
    <row r="28">
      <c r="A28" s="221" t="n"/>
      <c r="B28" s="67" t="n"/>
      <c r="C28" s="67" t="n"/>
      <c r="D28" s="100" t="n"/>
      <c r="E28" s="100" t="n"/>
      <c r="F28" s="222" t="n"/>
      <c r="G28" s="222" t="n"/>
      <c r="H28" s="221" t="n"/>
      <c r="I28" s="222" t="n"/>
      <c r="J28" s="71" t="n"/>
      <c r="K28" s="71" t="n"/>
      <c r="L28" s="101" t="n"/>
      <c r="M28" s="100" t="n"/>
      <c r="N28" s="222" t="n"/>
      <c r="O28" s="222" t="n"/>
      <c r="P28" s="221" t="n"/>
      <c r="Q28" s="80" t="n"/>
    </row>
    <row r="29">
      <c r="A29" s="221" t="n"/>
      <c r="B29" s="67" t="n"/>
      <c r="C29" s="67" t="n"/>
      <c r="D29" s="100" t="n"/>
      <c r="E29" s="100" t="n"/>
      <c r="F29" s="222" t="n"/>
      <c r="G29" s="222" t="n"/>
      <c r="H29" s="221" t="n"/>
      <c r="I29" s="222" t="n"/>
      <c r="J29" s="71" t="n"/>
      <c r="K29" s="71" t="n"/>
      <c r="L29" s="101" t="n"/>
      <c r="M29" s="100" t="n"/>
      <c r="N29" s="222" t="n"/>
      <c r="O29" s="222" t="n"/>
      <c r="P29" s="221" t="n"/>
      <c r="Q29" s="80" t="n"/>
    </row>
    <row r="30">
      <c r="A30" s="221" t="n"/>
      <c r="B30" s="67" t="n"/>
      <c r="C30" s="67" t="n"/>
      <c r="D30" s="100" t="n"/>
      <c r="E30" s="100" t="n"/>
      <c r="F30" s="222" t="n"/>
      <c r="G30" s="222" t="n"/>
      <c r="H30" s="221" t="n"/>
      <c r="I30" s="222" t="n"/>
      <c r="J30" s="71" t="n"/>
      <c r="K30" s="71" t="n"/>
      <c r="L30" s="101" t="n"/>
      <c r="M30" s="100" t="n"/>
      <c r="N30" s="222" t="n"/>
      <c r="O30" s="222" t="n"/>
      <c r="P30" s="221" t="n"/>
      <c r="Q30" s="80" t="n"/>
    </row>
    <row r="31">
      <c r="A31" s="221" t="n"/>
      <c r="B31" s="67" t="n"/>
      <c r="C31" s="67" t="n"/>
      <c r="D31" s="100" t="n"/>
      <c r="E31" s="100" t="n"/>
      <c r="F31" s="222" t="n"/>
      <c r="G31" s="222" t="n"/>
      <c r="H31" s="221" t="n"/>
      <c r="I31" s="222" t="n"/>
      <c r="J31" s="71" t="n"/>
      <c r="K31" s="71" t="n"/>
      <c r="L31" s="101" t="n"/>
      <c r="M31" s="100" t="n"/>
      <c r="N31" s="222" t="n"/>
      <c r="O31" s="222" t="n"/>
      <c r="P31" s="221" t="n"/>
      <c r="Q31" s="80" t="n"/>
    </row>
    <row r="32">
      <c r="A32" s="221" t="n"/>
      <c r="B32" s="67" t="n"/>
      <c r="C32" s="67" t="n"/>
      <c r="D32" s="100" t="n"/>
      <c r="E32" s="100" t="n"/>
      <c r="F32" s="222" t="n"/>
      <c r="G32" s="222" t="n"/>
      <c r="H32" s="221" t="n"/>
      <c r="I32" s="222" t="n"/>
      <c r="J32" s="71" t="n"/>
      <c r="K32" s="71" t="n"/>
      <c r="L32" s="101" t="n"/>
      <c r="M32" s="100" t="n"/>
      <c r="N32" s="222" t="n"/>
      <c r="O32" s="222" t="n"/>
      <c r="P32" s="221" t="n"/>
      <c r="Q32" s="80" t="n"/>
    </row>
    <row r="33">
      <c r="A33" s="221" t="n"/>
      <c r="B33" s="67" t="n"/>
      <c r="C33" s="67" t="n"/>
      <c r="D33" s="100" t="n"/>
      <c r="E33" s="100" t="n"/>
      <c r="F33" s="222" t="n"/>
      <c r="G33" s="222" t="n"/>
      <c r="H33" s="221" t="n"/>
      <c r="I33" s="222" t="n"/>
      <c r="J33" s="71" t="n"/>
      <c r="K33" s="71" t="n"/>
      <c r="L33" s="101" t="n"/>
      <c r="M33" s="100" t="n"/>
      <c r="N33" s="222" t="n"/>
      <c r="O33" s="222" t="n"/>
      <c r="P33" s="221" t="n"/>
      <c r="Q33" s="80" t="n"/>
    </row>
    <row r="34">
      <c r="A34" s="221" t="n"/>
      <c r="B34" s="67" t="n"/>
      <c r="C34" s="67" t="n"/>
      <c r="D34" s="100" t="n"/>
      <c r="E34" s="100" t="n"/>
      <c r="F34" s="222" t="n"/>
      <c r="G34" s="222" t="n"/>
      <c r="H34" s="221" t="n"/>
      <c r="I34" s="222" t="n"/>
      <c r="J34" s="71" t="n"/>
      <c r="K34" s="71" t="n"/>
      <c r="L34" s="101" t="n"/>
      <c r="M34" s="100" t="n"/>
      <c r="N34" s="222" t="n"/>
      <c r="O34" s="222" t="n"/>
      <c r="P34" s="221" t="n"/>
      <c r="Q34" s="80" t="n"/>
    </row>
    <row r="35">
      <c r="A35" s="221" t="n"/>
      <c r="B35" s="67" t="n"/>
      <c r="C35" s="67" t="n"/>
      <c r="D35" s="100" t="n"/>
      <c r="E35" s="100" t="n"/>
      <c r="F35" s="222" t="n"/>
      <c r="G35" s="222" t="n"/>
      <c r="H35" s="221" t="n"/>
      <c r="I35" s="222" t="n"/>
      <c r="J35" s="71" t="n"/>
      <c r="K35" s="71" t="n"/>
      <c r="L35" s="101" t="n"/>
      <c r="M35" s="100" t="n"/>
      <c r="N35" s="222" t="n"/>
      <c r="O35" s="222" t="n"/>
      <c r="P35" s="221" t="n"/>
      <c r="Q35" s="80" t="n"/>
    </row>
    <row r="36">
      <c r="A36" s="538" t="inlineStr">
        <is>
          <t>No.</t>
        </is>
      </c>
      <c r="B36" s="538" t="inlineStr">
        <is>
          <t>Nama Barang</t>
        </is>
      </c>
      <c r="C36" s="589" t="n"/>
      <c r="D36" s="538" t="inlineStr">
        <is>
          <t>Merk/</t>
        </is>
      </c>
      <c r="E36" s="538" t="inlineStr">
        <is>
          <t>Merk/</t>
        </is>
      </c>
      <c r="F36" s="655" t="inlineStr">
        <is>
          <t>Ukuran</t>
        </is>
      </c>
      <c r="G36" s="655" t="inlineStr">
        <is>
          <t>Bahan</t>
        </is>
      </c>
      <c r="H36" s="538" t="inlineStr">
        <is>
          <t xml:space="preserve">Tahun </t>
        </is>
      </c>
      <c r="I36" s="538" t="n"/>
      <c r="J36" s="538" t="inlineStr">
        <is>
          <t xml:space="preserve">Jumlah </t>
        </is>
      </c>
      <c r="K36" s="589" t="n"/>
      <c r="L36" s="538" t="inlineStr">
        <is>
          <t xml:space="preserve">Harga </t>
        </is>
      </c>
      <c r="M36" s="544" t="inlineStr">
        <is>
          <t>Nomor</t>
        </is>
      </c>
      <c r="N36" s="591" t="n"/>
      <c r="O36" s="591" t="n"/>
      <c r="P36" s="591" t="n"/>
      <c r="Q36" s="592" t="n"/>
    </row>
    <row r="37">
      <c r="A37" s="543" t="inlineStr">
        <is>
          <t>Urut</t>
        </is>
      </c>
      <c r="B37" s="543" t="inlineStr">
        <is>
          <t>Jenis Barang</t>
        </is>
      </c>
      <c r="C37" s="593" t="n"/>
      <c r="D37" s="543" t="inlineStr">
        <is>
          <t>Model</t>
        </is>
      </c>
      <c r="E37" s="543" t="inlineStr">
        <is>
          <t>Type</t>
        </is>
      </c>
      <c r="F37" s="594" t="n"/>
      <c r="G37" s="594" t="n"/>
      <c r="H37" s="104" t="inlineStr">
        <is>
          <t>Pembuatan</t>
        </is>
      </c>
      <c r="I37" s="104" t="inlineStr">
        <is>
          <t xml:space="preserve">No/. Kode Barang </t>
        </is>
      </c>
      <c r="J37" s="104" t="inlineStr">
        <is>
          <t>Banyaknya</t>
        </is>
      </c>
      <c r="K37" s="104" t="inlineStr">
        <is>
          <t>Nomor</t>
        </is>
      </c>
      <c r="L37" s="104" t="inlineStr">
        <is>
          <t>Beli/</t>
        </is>
      </c>
      <c r="M37" s="655" t="inlineStr">
        <is>
          <t>Rangka</t>
        </is>
      </c>
      <c r="N37" s="655" t="inlineStr">
        <is>
          <t>Mesin</t>
        </is>
      </c>
      <c r="O37" s="655" t="inlineStr">
        <is>
          <t>Polisi</t>
        </is>
      </c>
      <c r="P37" s="655" t="inlineStr">
        <is>
          <t>BPKB</t>
        </is>
      </c>
      <c r="Q37" s="655" t="inlineStr">
        <is>
          <t>Pemegang</t>
        </is>
      </c>
    </row>
    <row r="38">
      <c r="A38" s="595" t="n"/>
      <c r="B38" s="596" t="n"/>
      <c r="C38" s="597" t="n"/>
      <c r="D38" s="595" t="n"/>
      <c r="E38" s="595" t="n"/>
      <c r="F38" s="595" t="n"/>
      <c r="G38" s="595" t="n"/>
      <c r="H38" s="105" t="inlineStr">
        <is>
          <t>Atau Pembelian</t>
        </is>
      </c>
      <c r="I38" s="105" t="n"/>
      <c r="J38" s="105" t="inlineStr">
        <is>
          <t>Barang</t>
        </is>
      </c>
      <c r="K38" s="105" t="inlineStr">
        <is>
          <t>Register x)</t>
        </is>
      </c>
      <c r="L38" s="105" t="inlineStr">
        <is>
          <t>Perolehan</t>
        </is>
      </c>
      <c r="M38" s="595" t="n"/>
      <c r="N38" s="595" t="n"/>
      <c r="O38" s="595" t="n"/>
      <c r="P38" s="595" t="n"/>
      <c r="Q38" s="595" t="n"/>
    </row>
    <row r="39">
      <c r="A39" s="47" t="n">
        <v>1</v>
      </c>
      <c r="B39" s="122" t="n">
        <v>2</v>
      </c>
      <c r="C39" s="589" t="n"/>
      <c r="D39" s="539" t="n">
        <v>3</v>
      </c>
      <c r="E39" s="539" t="n">
        <v>4</v>
      </c>
      <c r="F39" s="542" t="n">
        <v>5</v>
      </c>
      <c r="G39" s="542" t="n">
        <v>6</v>
      </c>
      <c r="H39" s="104" t="n">
        <v>7</v>
      </c>
      <c r="I39" s="104" t="n">
        <v>8</v>
      </c>
      <c r="J39" s="104" t="n">
        <v>9</v>
      </c>
      <c r="K39" s="104" t="n">
        <v>10</v>
      </c>
      <c r="L39" s="104" t="n">
        <v>11</v>
      </c>
      <c r="M39" s="104" t="n">
        <v>12</v>
      </c>
      <c r="N39" s="104" t="n">
        <v>13</v>
      </c>
      <c r="O39" s="104" t="n">
        <v>14</v>
      </c>
      <c r="P39" s="104" t="n">
        <v>15</v>
      </c>
      <c r="Q39" s="104" t="n">
        <v>16</v>
      </c>
    </row>
    <row r="40" ht="47.25" customHeight="1" s="79">
      <c r="A40" s="7">
        <f>A26+1</f>
        <v/>
      </c>
      <c r="B40" s="567" t="inlineStr">
        <is>
          <t>Sepeda Motor</t>
        </is>
      </c>
      <c r="C40" s="592" t="n"/>
      <c r="D40" s="31" t="inlineStr">
        <is>
          <t>Honda Blade / AFP12W21C08</t>
        </is>
      </c>
      <c r="E40" s="31" t="inlineStr">
        <is>
          <t>NH1JBM115FK08</t>
        </is>
      </c>
      <c r="F40" s="9" t="inlineStr">
        <is>
          <t>125 CC</t>
        </is>
      </c>
      <c r="G40" s="9" t="inlineStr">
        <is>
          <t>Besi</t>
        </is>
      </c>
      <c r="H40" s="7" t="n"/>
      <c r="I40" s="9" t="inlineStr">
        <is>
          <t>02.03.01.05.001</t>
        </is>
      </c>
      <c r="J40" s="11" t="n">
        <v>1</v>
      </c>
      <c r="K40" s="11" t="inlineStr">
        <is>
          <t>0012</t>
        </is>
      </c>
      <c r="L40" s="19">
        <f>65071844/4</f>
        <v/>
      </c>
      <c r="M40" s="31" t="inlineStr">
        <is>
          <t>NH1JBM115FK08</t>
        </is>
      </c>
      <c r="N40" s="9" t="n"/>
      <c r="O40" s="9" t="inlineStr">
        <is>
          <t>DA 2124 NZ</t>
        </is>
      </c>
      <c r="P40" s="7" t="n"/>
      <c r="Q40" s="9" t="inlineStr">
        <is>
          <t>Kabid Politik</t>
        </is>
      </c>
    </row>
    <row r="41" ht="63" customHeight="1" s="79">
      <c r="A41" s="7">
        <f>A40+1</f>
        <v/>
      </c>
      <c r="B41" s="567" t="inlineStr">
        <is>
          <t>Sepeda Motor</t>
        </is>
      </c>
      <c r="C41" s="592" t="n"/>
      <c r="D41" s="31" t="inlineStr">
        <is>
          <t>Honda Blade / AFP12W21C08</t>
        </is>
      </c>
      <c r="E41" s="31" t="inlineStr">
        <is>
          <t>NH1JBM115FK08</t>
        </is>
      </c>
      <c r="F41" s="9" t="inlineStr">
        <is>
          <t>125 CC</t>
        </is>
      </c>
      <c r="G41" s="9" t="inlineStr">
        <is>
          <t>Besi</t>
        </is>
      </c>
      <c r="H41" s="7" t="n"/>
      <c r="I41" s="9" t="inlineStr">
        <is>
          <t>02.03.01.05.001</t>
        </is>
      </c>
      <c r="J41" s="11" t="n">
        <v>1</v>
      </c>
      <c r="K41" s="11" t="inlineStr">
        <is>
          <t>0013</t>
        </is>
      </c>
      <c r="L41" s="19">
        <f>65071844/4</f>
        <v/>
      </c>
      <c r="M41" s="31" t="inlineStr">
        <is>
          <t>NH1JBM115FK08</t>
        </is>
      </c>
      <c r="N41" s="9" t="n"/>
      <c r="O41" s="9" t="inlineStr">
        <is>
          <t>DA 2125 NZ</t>
        </is>
      </c>
      <c r="P41" s="7" t="n"/>
      <c r="Q41" s="30" t="inlineStr">
        <is>
          <t>Kasubbid Was Dini, Pora &amp; Lemb Asing</t>
        </is>
      </c>
    </row>
    <row r="42" ht="79.5" customHeight="1" s="79">
      <c r="A42" s="7">
        <f>A41+1</f>
        <v/>
      </c>
      <c r="B42" s="567" t="inlineStr">
        <is>
          <t>Sepeda Motor</t>
        </is>
      </c>
      <c r="C42" s="592" t="n"/>
      <c r="D42" s="31" t="inlineStr">
        <is>
          <t>Honda Blade / AFP12W21C08</t>
        </is>
      </c>
      <c r="E42" s="31" t="inlineStr">
        <is>
          <t>NH1JBM115FK08</t>
        </is>
      </c>
      <c r="F42" s="9" t="inlineStr">
        <is>
          <t>125 CC</t>
        </is>
      </c>
      <c r="G42" s="9" t="inlineStr">
        <is>
          <t>Besi</t>
        </is>
      </c>
      <c r="H42" s="7" t="n"/>
      <c r="I42" s="9" t="inlineStr">
        <is>
          <t>02.03.01.05.001</t>
        </is>
      </c>
      <c r="J42" s="11" t="n">
        <v>1</v>
      </c>
      <c r="K42" s="11" t="inlineStr">
        <is>
          <t>0014</t>
        </is>
      </c>
      <c r="L42" s="19">
        <f>65071844/4</f>
        <v/>
      </c>
      <c r="M42" s="31" t="inlineStr">
        <is>
          <t>NH1JBM115FK08</t>
        </is>
      </c>
      <c r="N42" s="9" t="n"/>
      <c r="O42" s="9" t="inlineStr">
        <is>
          <t>Da 2126 NZ</t>
        </is>
      </c>
      <c r="P42" s="7" t="n"/>
      <c r="Q42" s="30" t="inlineStr">
        <is>
          <t>Kasubbid Imple Kebijakan &amp; Pendidikan Politik</t>
        </is>
      </c>
    </row>
    <row r="43" ht="31.5" customHeight="1" s="79">
      <c r="A43" s="7">
        <f>A42+1</f>
        <v/>
      </c>
      <c r="B43" s="567" t="inlineStr">
        <is>
          <t>Sepeda Motor</t>
        </is>
      </c>
      <c r="C43" s="592" t="n"/>
      <c r="D43" s="31" t="inlineStr">
        <is>
          <t>Honda Supra X 125/ FICW</t>
        </is>
      </c>
      <c r="E43" s="31" t="inlineStr">
        <is>
          <t>MH1JBP111GK40</t>
        </is>
      </c>
      <c r="F43" s="9" t="inlineStr">
        <is>
          <t>125 CC</t>
        </is>
      </c>
      <c r="G43" s="9" t="inlineStr">
        <is>
          <t>Besi</t>
        </is>
      </c>
      <c r="H43" s="7" t="n"/>
      <c r="I43" s="9" t="inlineStr">
        <is>
          <t>02.03.01.05.001</t>
        </is>
      </c>
      <c r="J43" s="11" t="n">
        <v>1</v>
      </c>
      <c r="K43" s="11" t="inlineStr">
        <is>
          <t>0016</t>
        </is>
      </c>
      <c r="L43" s="19">
        <f>34537624/2</f>
        <v/>
      </c>
      <c r="M43" s="31" t="inlineStr">
        <is>
          <t>MH1JBP111GK40</t>
        </is>
      </c>
      <c r="N43" s="9" t="n"/>
      <c r="O43" s="9" t="inlineStr">
        <is>
          <t>DA 2211 NZ</t>
        </is>
      </c>
      <c r="P43" s="7" t="n"/>
      <c r="Q43" s="30" t="inlineStr">
        <is>
          <t>Kasubbag Keuangan</t>
        </is>
      </c>
    </row>
    <row r="44" ht="47.25" customHeight="1" s="79">
      <c r="A44" s="7">
        <f>A43+1</f>
        <v/>
      </c>
      <c r="B44" s="567" t="inlineStr">
        <is>
          <t>Sepeda Motor</t>
        </is>
      </c>
      <c r="C44" s="592" t="n"/>
      <c r="D44" s="31" t="inlineStr">
        <is>
          <t>Honda Supra X 125/ FICW</t>
        </is>
      </c>
      <c r="E44" s="31" t="inlineStr">
        <is>
          <t>MH1JBP111GK40</t>
        </is>
      </c>
      <c r="F44" s="9" t="inlineStr">
        <is>
          <t>125 CC</t>
        </is>
      </c>
      <c r="G44" s="9" t="inlineStr">
        <is>
          <t>Besi</t>
        </is>
      </c>
      <c r="H44" s="7" t="n"/>
      <c r="I44" s="9" t="inlineStr">
        <is>
          <t>02.03.01.05.001</t>
        </is>
      </c>
      <c r="J44" s="11" t="n">
        <v>1</v>
      </c>
      <c r="K44" s="11" t="inlineStr">
        <is>
          <t>0016</t>
        </is>
      </c>
      <c r="L44" s="19">
        <f>34537624/2</f>
        <v/>
      </c>
      <c r="M44" s="31" t="inlineStr">
        <is>
          <t>MH1JBP111GK40</t>
        </is>
      </c>
      <c r="N44" s="9" t="n"/>
      <c r="O44" s="9" t="inlineStr">
        <is>
          <t>DA 2212 NZ</t>
        </is>
      </c>
      <c r="P44" s="7" t="n"/>
      <c r="Q44" s="30" t="inlineStr">
        <is>
          <t>Kabid Bina Ideologi &amp; Wasbang</t>
        </is>
      </c>
    </row>
    <row r="45">
      <c r="O45" s="29" t="n"/>
    </row>
    <row r="46">
      <c r="C46" s="5" t="inlineStr">
        <is>
          <t>Mengetahui :</t>
        </is>
      </c>
      <c r="M46" s="23" t="inlineStr">
        <is>
          <t>Banjarmasin,        Desember 2025</t>
        </is>
      </c>
      <c r="N46" s="23" t="n"/>
      <c r="O46" s="23" t="n"/>
    </row>
    <row r="47">
      <c r="C47" s="5" t="n"/>
      <c r="M47" s="5" t="n"/>
      <c r="N47" s="5" t="n"/>
      <c r="O47" s="5" t="n"/>
    </row>
    <row r="48">
      <c r="C48" s="5" t="inlineStr">
        <is>
          <t>Kepala Bakesbangpol Kota Banjarmasin,</t>
        </is>
      </c>
      <c r="M48" s="5" t="inlineStr">
        <is>
          <t>Pengurus Barang,</t>
        </is>
      </c>
      <c r="N48" s="5" t="n"/>
      <c r="O48" s="5" t="n"/>
    </row>
    <row r="49">
      <c r="C49" s="5" t="n"/>
      <c r="M49" s="5" t="n"/>
      <c r="N49" s="5" t="n"/>
      <c r="O49" s="5" t="n"/>
    </row>
    <row r="50">
      <c r="C50" s="5" t="n"/>
      <c r="M50" s="5" t="n"/>
      <c r="N50" s="5" t="n"/>
      <c r="O50" s="5" t="n"/>
    </row>
    <row r="51">
      <c r="C51" s="5" t="n"/>
      <c r="M51" s="5" t="n"/>
      <c r="N51" s="5" t="n"/>
      <c r="O51" s="5" t="n"/>
    </row>
    <row r="52">
      <c r="C52" s="6" t="inlineStr">
        <is>
          <t>Dr. H. LUKMAN FADLUN, SH, MH</t>
        </is>
      </c>
      <c r="M52" s="6" t="inlineStr">
        <is>
          <t>TRISNAWATI M ULYO HAPSARI, SE</t>
        </is>
      </c>
      <c r="N52" s="6" t="n"/>
      <c r="O52" s="6" t="n"/>
    </row>
    <row r="53">
      <c r="C53" s="5" t="inlineStr">
        <is>
          <t>Pembina Utama Muda</t>
        </is>
      </c>
      <c r="M53" s="23">
        <f>'BARANG INVENTARIS KANTOR'!L54</f>
        <v/>
      </c>
      <c r="N53" s="23" t="n"/>
      <c r="O53" s="23" t="n"/>
    </row>
    <row r="54">
      <c r="C54" s="23" t="inlineStr">
        <is>
          <t>NIP. 19691013 200003 1 004</t>
        </is>
      </c>
    </row>
    <row r="55">
      <c r="L55" s="24" t="n"/>
    </row>
    <row r="56">
      <c r="B56" s="21" t="n"/>
      <c r="L56" s="25" t="n"/>
    </row>
    <row r="57">
      <c r="B57" s="22" t="n"/>
    </row>
    <row r="58">
      <c r="B58" s="22" t="n"/>
    </row>
  </sheetData>
  <mergeCells count="54">
    <mergeCell ref="P10:P11"/>
    <mergeCell ref="B16:C16"/>
    <mergeCell ref="B25:C25"/>
    <mergeCell ref="B37:C38"/>
    <mergeCell ref="B10:C11"/>
    <mergeCell ref="B22:C22"/>
    <mergeCell ref="M9:Q9"/>
    <mergeCell ref="B18:C18"/>
    <mergeCell ref="E10:E11"/>
    <mergeCell ref="N37:N38"/>
    <mergeCell ref="A6:B6"/>
    <mergeCell ref="M10:M11"/>
    <mergeCell ref="B43:C43"/>
    <mergeCell ref="B39:C39"/>
    <mergeCell ref="B12:C12"/>
    <mergeCell ref="F9:F11"/>
    <mergeCell ref="B21:C21"/>
    <mergeCell ref="Q10:Q11"/>
    <mergeCell ref="G9:G11"/>
    <mergeCell ref="J9:K9"/>
    <mergeCell ref="B42:C42"/>
    <mergeCell ref="B23:C23"/>
    <mergeCell ref="A37:A38"/>
    <mergeCell ref="B14:C14"/>
    <mergeCell ref="B17:C17"/>
    <mergeCell ref="J36:K36"/>
    <mergeCell ref="M37:M38"/>
    <mergeCell ref="A3:B3"/>
    <mergeCell ref="G36:G38"/>
    <mergeCell ref="B13:C13"/>
    <mergeCell ref="N10:N11"/>
    <mergeCell ref="B44:C44"/>
    <mergeCell ref="B19:C19"/>
    <mergeCell ref="A5:B5"/>
    <mergeCell ref="D37:D38"/>
    <mergeCell ref="M36:Q36"/>
    <mergeCell ref="B40:C40"/>
    <mergeCell ref="A10:A11"/>
    <mergeCell ref="B9:C9"/>
    <mergeCell ref="P37:P38"/>
    <mergeCell ref="I10:I11"/>
    <mergeCell ref="F36:F38"/>
    <mergeCell ref="A4:B4"/>
    <mergeCell ref="B24:C24"/>
    <mergeCell ref="O10:O11"/>
    <mergeCell ref="D10:D11"/>
    <mergeCell ref="B15:C15"/>
    <mergeCell ref="B20:C20"/>
    <mergeCell ref="B36:C36"/>
    <mergeCell ref="E37:E38"/>
    <mergeCell ref="B26:C26"/>
    <mergeCell ref="B41:C41"/>
    <mergeCell ref="O37:O38"/>
    <mergeCell ref="Q37:Q38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58"/>
  <sheetViews>
    <sheetView view="pageBreakPreview" topLeftCell="A40" zoomScaleNormal="55" workbookViewId="0">
      <selection activeCell="L51" sqref="L51"/>
    </sheetView>
  </sheetViews>
  <sheetFormatPr baseColWidth="8" defaultRowHeight="15.75"/>
  <cols>
    <col width="4.875" customWidth="1" style="79" min="1" max="1"/>
    <col width="7" customWidth="1" style="79" min="2" max="2"/>
    <col width="13.625" customWidth="1" style="79" min="3" max="3"/>
    <col width="12.125" customWidth="1" style="79" min="4" max="5"/>
    <col width="9.625" customWidth="1" style="79" min="6" max="6"/>
    <col width="12.875" customWidth="1" style="79" min="7" max="7"/>
    <col width="14" customWidth="1" style="79" min="8" max="8"/>
    <col width="16.875" customWidth="1" style="79" min="9" max="9"/>
    <col width="12" customWidth="1" style="79" min="10" max="11"/>
    <col width="13.625" customWidth="1" style="79" min="12" max="12"/>
    <col width="17.5" customWidth="1" style="79" min="13" max="13"/>
    <col width="11.5" customWidth="1" style="79" min="15" max="15"/>
    <col width="11" customWidth="1" style="79" min="16" max="16"/>
    <col width="10.625" customWidth="1" style="79" min="17" max="17"/>
    <col width="7" customWidth="1" style="79" min="260" max="260"/>
    <col width="17.75" customWidth="1" style="79" min="261" max="261"/>
    <col width="10.875" customWidth="1" style="79" min="262" max="262"/>
    <col width="11.25" customWidth="1" style="79" min="263" max="263"/>
    <col width="11.5" customWidth="1" style="79" min="264" max="264"/>
    <col width="11.625" customWidth="1" style="79" min="265" max="265"/>
    <col width="15.5" customWidth="1" style="79" min="266" max="266"/>
    <col width="18.75" customWidth="1" style="79" min="267" max="267"/>
    <col width="15.375" customWidth="1" style="79" min="268" max="268"/>
    <col width="15.125" customWidth="1" style="79" min="269" max="269"/>
    <col width="11" customWidth="1" style="79" min="271" max="271"/>
    <col width="10.625" customWidth="1" style="79" min="272" max="272"/>
    <col width="9.625" customWidth="1" style="79" min="273" max="273"/>
    <col width="7" customWidth="1" style="79" min="516" max="516"/>
    <col width="17.75" customWidth="1" style="79" min="517" max="517"/>
    <col width="10.875" customWidth="1" style="79" min="518" max="518"/>
    <col width="11.25" customWidth="1" style="79" min="519" max="519"/>
    <col width="11.5" customWidth="1" style="79" min="520" max="520"/>
    <col width="11.625" customWidth="1" style="79" min="521" max="521"/>
    <col width="15.5" customWidth="1" style="79" min="522" max="522"/>
    <col width="18.75" customWidth="1" style="79" min="523" max="523"/>
    <col width="15.375" customWidth="1" style="79" min="524" max="524"/>
    <col width="15.125" customWidth="1" style="79" min="525" max="525"/>
    <col width="11" customWidth="1" style="79" min="527" max="527"/>
    <col width="10.625" customWidth="1" style="79" min="528" max="528"/>
    <col width="9.625" customWidth="1" style="79" min="529" max="529"/>
    <col width="7" customWidth="1" style="79" min="772" max="772"/>
    <col width="17.75" customWidth="1" style="79" min="773" max="773"/>
    <col width="10.875" customWidth="1" style="79" min="774" max="774"/>
    <col width="11.25" customWidth="1" style="79" min="775" max="775"/>
    <col width="11.5" customWidth="1" style="79" min="776" max="776"/>
    <col width="11.625" customWidth="1" style="79" min="777" max="777"/>
    <col width="15.5" customWidth="1" style="79" min="778" max="778"/>
    <col width="18.75" customWidth="1" style="79" min="779" max="779"/>
    <col width="15.375" customWidth="1" style="79" min="780" max="780"/>
    <col width="15.125" customWidth="1" style="79" min="781" max="781"/>
    <col width="11" customWidth="1" style="79" min="783" max="783"/>
    <col width="10.625" customWidth="1" style="79" min="784" max="784"/>
    <col width="9.625" customWidth="1" style="79" min="785" max="785"/>
    <col width="7" customWidth="1" style="79" min="1028" max="1028"/>
    <col width="17.75" customWidth="1" style="79" min="1029" max="1029"/>
    <col width="10.875" customWidth="1" style="79" min="1030" max="1030"/>
    <col width="11.25" customWidth="1" style="79" min="1031" max="1031"/>
    <col width="11.5" customWidth="1" style="79" min="1032" max="1032"/>
    <col width="11.625" customWidth="1" style="79" min="1033" max="1033"/>
    <col width="15.5" customWidth="1" style="79" min="1034" max="1034"/>
    <col width="18.75" customWidth="1" style="79" min="1035" max="1035"/>
    <col width="15.375" customWidth="1" style="79" min="1036" max="1036"/>
    <col width="15.125" customWidth="1" style="79" min="1037" max="1037"/>
    <col width="11" customWidth="1" style="79" min="1039" max="1039"/>
    <col width="10.625" customWidth="1" style="79" min="1040" max="1040"/>
    <col width="9.625" customWidth="1" style="79" min="1041" max="1041"/>
    <col width="7" customWidth="1" style="79" min="1284" max="1284"/>
    <col width="17.75" customWidth="1" style="79" min="1285" max="1285"/>
    <col width="10.875" customWidth="1" style="79" min="1286" max="1286"/>
    <col width="11.25" customWidth="1" style="79" min="1287" max="1287"/>
    <col width="11.5" customWidth="1" style="79" min="1288" max="1288"/>
    <col width="11.625" customWidth="1" style="79" min="1289" max="1289"/>
    <col width="15.5" customWidth="1" style="79" min="1290" max="1290"/>
    <col width="18.75" customWidth="1" style="79" min="1291" max="1291"/>
    <col width="15.375" customWidth="1" style="79" min="1292" max="1292"/>
    <col width="15.125" customWidth="1" style="79" min="1293" max="1293"/>
    <col width="11" customWidth="1" style="79" min="1295" max="1295"/>
    <col width="10.625" customWidth="1" style="79" min="1296" max="1296"/>
    <col width="9.625" customWidth="1" style="79" min="1297" max="1297"/>
    <col width="7" customWidth="1" style="79" min="1540" max="1540"/>
    <col width="17.75" customWidth="1" style="79" min="1541" max="1541"/>
    <col width="10.875" customWidth="1" style="79" min="1542" max="1542"/>
    <col width="11.25" customWidth="1" style="79" min="1543" max="1543"/>
    <col width="11.5" customWidth="1" style="79" min="1544" max="1544"/>
    <col width="11.625" customWidth="1" style="79" min="1545" max="1545"/>
    <col width="15.5" customWidth="1" style="79" min="1546" max="1546"/>
    <col width="18.75" customWidth="1" style="79" min="1547" max="1547"/>
    <col width="15.375" customWidth="1" style="79" min="1548" max="1548"/>
    <col width="15.125" customWidth="1" style="79" min="1549" max="1549"/>
    <col width="11" customWidth="1" style="79" min="1551" max="1551"/>
    <col width="10.625" customWidth="1" style="79" min="1552" max="1552"/>
    <col width="9.625" customWidth="1" style="79" min="1553" max="1553"/>
    <col width="7" customWidth="1" style="79" min="1796" max="1796"/>
    <col width="17.75" customWidth="1" style="79" min="1797" max="1797"/>
    <col width="10.875" customWidth="1" style="79" min="1798" max="1798"/>
    <col width="11.25" customWidth="1" style="79" min="1799" max="1799"/>
    <col width="11.5" customWidth="1" style="79" min="1800" max="1800"/>
    <col width="11.625" customWidth="1" style="79" min="1801" max="1801"/>
    <col width="15.5" customWidth="1" style="79" min="1802" max="1802"/>
    <col width="18.75" customWidth="1" style="79" min="1803" max="1803"/>
    <col width="15.375" customWidth="1" style="79" min="1804" max="1804"/>
    <col width="15.125" customWidth="1" style="79" min="1805" max="1805"/>
    <col width="11" customWidth="1" style="79" min="1807" max="1807"/>
    <col width="10.625" customWidth="1" style="79" min="1808" max="1808"/>
    <col width="9.625" customWidth="1" style="79" min="1809" max="1809"/>
    <col width="7" customWidth="1" style="79" min="2052" max="2052"/>
    <col width="17.75" customWidth="1" style="79" min="2053" max="2053"/>
    <col width="10.875" customWidth="1" style="79" min="2054" max="2054"/>
    <col width="11.25" customWidth="1" style="79" min="2055" max="2055"/>
    <col width="11.5" customWidth="1" style="79" min="2056" max="2056"/>
    <col width="11.625" customWidth="1" style="79" min="2057" max="2057"/>
    <col width="15.5" customWidth="1" style="79" min="2058" max="2058"/>
    <col width="18.75" customWidth="1" style="79" min="2059" max="2059"/>
    <col width="15.375" customWidth="1" style="79" min="2060" max="2060"/>
    <col width="15.125" customWidth="1" style="79" min="2061" max="2061"/>
    <col width="11" customWidth="1" style="79" min="2063" max="2063"/>
    <col width="10.625" customWidth="1" style="79" min="2064" max="2064"/>
    <col width="9.625" customWidth="1" style="79" min="2065" max="2065"/>
    <col width="7" customWidth="1" style="79" min="2308" max="2308"/>
    <col width="17.75" customWidth="1" style="79" min="2309" max="2309"/>
    <col width="10.875" customWidth="1" style="79" min="2310" max="2310"/>
    <col width="11.25" customWidth="1" style="79" min="2311" max="2311"/>
    <col width="11.5" customWidth="1" style="79" min="2312" max="2312"/>
    <col width="11.625" customWidth="1" style="79" min="2313" max="2313"/>
    <col width="15.5" customWidth="1" style="79" min="2314" max="2314"/>
    <col width="18.75" customWidth="1" style="79" min="2315" max="2315"/>
    <col width="15.375" customWidth="1" style="79" min="2316" max="2316"/>
    <col width="15.125" customWidth="1" style="79" min="2317" max="2317"/>
    <col width="11" customWidth="1" style="79" min="2319" max="2319"/>
    <col width="10.625" customWidth="1" style="79" min="2320" max="2320"/>
    <col width="9.625" customWidth="1" style="79" min="2321" max="2321"/>
    <col width="7" customWidth="1" style="79" min="2564" max="2564"/>
    <col width="17.75" customWidth="1" style="79" min="2565" max="2565"/>
    <col width="10.875" customWidth="1" style="79" min="2566" max="2566"/>
    <col width="11.25" customWidth="1" style="79" min="2567" max="2567"/>
    <col width="11.5" customWidth="1" style="79" min="2568" max="2568"/>
    <col width="11.625" customWidth="1" style="79" min="2569" max="2569"/>
    <col width="15.5" customWidth="1" style="79" min="2570" max="2570"/>
    <col width="18.75" customWidth="1" style="79" min="2571" max="2571"/>
    <col width="15.375" customWidth="1" style="79" min="2572" max="2572"/>
    <col width="15.125" customWidth="1" style="79" min="2573" max="2573"/>
    <col width="11" customWidth="1" style="79" min="2575" max="2575"/>
    <col width="10.625" customWidth="1" style="79" min="2576" max="2576"/>
    <col width="9.625" customWidth="1" style="79" min="2577" max="2577"/>
    <col width="7" customWidth="1" style="79" min="2820" max="2820"/>
    <col width="17.75" customWidth="1" style="79" min="2821" max="2821"/>
    <col width="10.875" customWidth="1" style="79" min="2822" max="2822"/>
    <col width="11.25" customWidth="1" style="79" min="2823" max="2823"/>
    <col width="11.5" customWidth="1" style="79" min="2824" max="2824"/>
    <col width="11.625" customWidth="1" style="79" min="2825" max="2825"/>
    <col width="15.5" customWidth="1" style="79" min="2826" max="2826"/>
    <col width="18.75" customWidth="1" style="79" min="2827" max="2827"/>
    <col width="15.375" customWidth="1" style="79" min="2828" max="2828"/>
    <col width="15.125" customWidth="1" style="79" min="2829" max="2829"/>
    <col width="11" customWidth="1" style="79" min="2831" max="2831"/>
    <col width="10.625" customWidth="1" style="79" min="2832" max="2832"/>
    <col width="9.625" customWidth="1" style="79" min="2833" max="2833"/>
    <col width="7" customWidth="1" style="79" min="3076" max="3076"/>
    <col width="17.75" customWidth="1" style="79" min="3077" max="3077"/>
    <col width="10.875" customWidth="1" style="79" min="3078" max="3078"/>
    <col width="11.25" customWidth="1" style="79" min="3079" max="3079"/>
    <col width="11.5" customWidth="1" style="79" min="3080" max="3080"/>
    <col width="11.625" customWidth="1" style="79" min="3081" max="3081"/>
    <col width="15.5" customWidth="1" style="79" min="3082" max="3082"/>
    <col width="18.75" customWidth="1" style="79" min="3083" max="3083"/>
    <col width="15.375" customWidth="1" style="79" min="3084" max="3084"/>
    <col width="15.125" customWidth="1" style="79" min="3085" max="3085"/>
    <col width="11" customWidth="1" style="79" min="3087" max="3087"/>
    <col width="10.625" customWidth="1" style="79" min="3088" max="3088"/>
    <col width="9.625" customWidth="1" style="79" min="3089" max="3089"/>
    <col width="7" customWidth="1" style="79" min="3332" max="3332"/>
    <col width="17.75" customWidth="1" style="79" min="3333" max="3333"/>
    <col width="10.875" customWidth="1" style="79" min="3334" max="3334"/>
    <col width="11.25" customWidth="1" style="79" min="3335" max="3335"/>
    <col width="11.5" customWidth="1" style="79" min="3336" max="3336"/>
    <col width="11.625" customWidth="1" style="79" min="3337" max="3337"/>
    <col width="15.5" customWidth="1" style="79" min="3338" max="3338"/>
    <col width="18.75" customWidth="1" style="79" min="3339" max="3339"/>
    <col width="15.375" customWidth="1" style="79" min="3340" max="3340"/>
    <col width="15.125" customWidth="1" style="79" min="3341" max="3341"/>
    <col width="11" customWidth="1" style="79" min="3343" max="3343"/>
    <col width="10.625" customWidth="1" style="79" min="3344" max="3344"/>
    <col width="9.625" customWidth="1" style="79" min="3345" max="3345"/>
    <col width="7" customWidth="1" style="79" min="3588" max="3588"/>
    <col width="17.75" customWidth="1" style="79" min="3589" max="3589"/>
    <col width="10.875" customWidth="1" style="79" min="3590" max="3590"/>
    <col width="11.25" customWidth="1" style="79" min="3591" max="3591"/>
    <col width="11.5" customWidth="1" style="79" min="3592" max="3592"/>
    <col width="11.625" customWidth="1" style="79" min="3593" max="3593"/>
    <col width="15.5" customWidth="1" style="79" min="3594" max="3594"/>
    <col width="18.75" customWidth="1" style="79" min="3595" max="3595"/>
    <col width="15.375" customWidth="1" style="79" min="3596" max="3596"/>
    <col width="15.125" customWidth="1" style="79" min="3597" max="3597"/>
    <col width="11" customWidth="1" style="79" min="3599" max="3599"/>
    <col width="10.625" customWidth="1" style="79" min="3600" max="3600"/>
    <col width="9.625" customWidth="1" style="79" min="3601" max="3601"/>
    <col width="7" customWidth="1" style="79" min="3844" max="3844"/>
    <col width="17.75" customWidth="1" style="79" min="3845" max="3845"/>
    <col width="10.875" customWidth="1" style="79" min="3846" max="3846"/>
    <col width="11.25" customWidth="1" style="79" min="3847" max="3847"/>
    <col width="11.5" customWidth="1" style="79" min="3848" max="3848"/>
    <col width="11.625" customWidth="1" style="79" min="3849" max="3849"/>
    <col width="15.5" customWidth="1" style="79" min="3850" max="3850"/>
    <col width="18.75" customWidth="1" style="79" min="3851" max="3851"/>
    <col width="15.375" customWidth="1" style="79" min="3852" max="3852"/>
    <col width="15.125" customWidth="1" style="79" min="3853" max="3853"/>
    <col width="11" customWidth="1" style="79" min="3855" max="3855"/>
    <col width="10.625" customWidth="1" style="79" min="3856" max="3856"/>
    <col width="9.625" customWidth="1" style="79" min="3857" max="3857"/>
    <col width="7" customWidth="1" style="79" min="4100" max="4100"/>
    <col width="17.75" customWidth="1" style="79" min="4101" max="4101"/>
    <col width="10.875" customWidth="1" style="79" min="4102" max="4102"/>
    <col width="11.25" customWidth="1" style="79" min="4103" max="4103"/>
    <col width="11.5" customWidth="1" style="79" min="4104" max="4104"/>
    <col width="11.625" customWidth="1" style="79" min="4105" max="4105"/>
    <col width="15.5" customWidth="1" style="79" min="4106" max="4106"/>
    <col width="18.75" customWidth="1" style="79" min="4107" max="4107"/>
    <col width="15.375" customWidth="1" style="79" min="4108" max="4108"/>
    <col width="15.125" customWidth="1" style="79" min="4109" max="4109"/>
    <col width="11" customWidth="1" style="79" min="4111" max="4111"/>
    <col width="10.625" customWidth="1" style="79" min="4112" max="4112"/>
    <col width="9.625" customWidth="1" style="79" min="4113" max="4113"/>
    <col width="7" customWidth="1" style="79" min="4356" max="4356"/>
    <col width="17.75" customWidth="1" style="79" min="4357" max="4357"/>
    <col width="10.875" customWidth="1" style="79" min="4358" max="4358"/>
    <col width="11.25" customWidth="1" style="79" min="4359" max="4359"/>
    <col width="11.5" customWidth="1" style="79" min="4360" max="4360"/>
    <col width="11.625" customWidth="1" style="79" min="4361" max="4361"/>
    <col width="15.5" customWidth="1" style="79" min="4362" max="4362"/>
    <col width="18.75" customWidth="1" style="79" min="4363" max="4363"/>
    <col width="15.375" customWidth="1" style="79" min="4364" max="4364"/>
    <col width="15.125" customWidth="1" style="79" min="4365" max="4365"/>
    <col width="11" customWidth="1" style="79" min="4367" max="4367"/>
    <col width="10.625" customWidth="1" style="79" min="4368" max="4368"/>
    <col width="9.625" customWidth="1" style="79" min="4369" max="4369"/>
    <col width="7" customWidth="1" style="79" min="4612" max="4612"/>
    <col width="17.75" customWidth="1" style="79" min="4613" max="4613"/>
    <col width="10.875" customWidth="1" style="79" min="4614" max="4614"/>
    <col width="11.25" customWidth="1" style="79" min="4615" max="4615"/>
    <col width="11.5" customWidth="1" style="79" min="4616" max="4616"/>
    <col width="11.625" customWidth="1" style="79" min="4617" max="4617"/>
    <col width="15.5" customWidth="1" style="79" min="4618" max="4618"/>
    <col width="18.75" customWidth="1" style="79" min="4619" max="4619"/>
    <col width="15.375" customWidth="1" style="79" min="4620" max="4620"/>
    <col width="15.125" customWidth="1" style="79" min="4621" max="4621"/>
    <col width="11" customWidth="1" style="79" min="4623" max="4623"/>
    <col width="10.625" customWidth="1" style="79" min="4624" max="4624"/>
    <col width="9.625" customWidth="1" style="79" min="4625" max="4625"/>
    <col width="7" customWidth="1" style="79" min="4868" max="4868"/>
    <col width="17.75" customWidth="1" style="79" min="4869" max="4869"/>
    <col width="10.875" customWidth="1" style="79" min="4870" max="4870"/>
    <col width="11.25" customWidth="1" style="79" min="4871" max="4871"/>
    <col width="11.5" customWidth="1" style="79" min="4872" max="4872"/>
    <col width="11.625" customWidth="1" style="79" min="4873" max="4873"/>
    <col width="15.5" customWidth="1" style="79" min="4874" max="4874"/>
    <col width="18.75" customWidth="1" style="79" min="4875" max="4875"/>
    <col width="15.375" customWidth="1" style="79" min="4876" max="4876"/>
    <col width="15.125" customWidth="1" style="79" min="4877" max="4877"/>
    <col width="11" customWidth="1" style="79" min="4879" max="4879"/>
    <col width="10.625" customWidth="1" style="79" min="4880" max="4880"/>
    <col width="9.625" customWidth="1" style="79" min="4881" max="4881"/>
    <col width="7" customWidth="1" style="79" min="5124" max="5124"/>
    <col width="17.75" customWidth="1" style="79" min="5125" max="5125"/>
    <col width="10.875" customWidth="1" style="79" min="5126" max="5126"/>
    <col width="11.25" customWidth="1" style="79" min="5127" max="5127"/>
    <col width="11.5" customWidth="1" style="79" min="5128" max="5128"/>
    <col width="11.625" customWidth="1" style="79" min="5129" max="5129"/>
    <col width="15.5" customWidth="1" style="79" min="5130" max="5130"/>
    <col width="18.75" customWidth="1" style="79" min="5131" max="5131"/>
    <col width="15.375" customWidth="1" style="79" min="5132" max="5132"/>
    <col width="15.125" customWidth="1" style="79" min="5133" max="5133"/>
    <col width="11" customWidth="1" style="79" min="5135" max="5135"/>
    <col width="10.625" customWidth="1" style="79" min="5136" max="5136"/>
    <col width="9.625" customWidth="1" style="79" min="5137" max="5137"/>
    <col width="7" customWidth="1" style="79" min="5380" max="5380"/>
    <col width="17.75" customWidth="1" style="79" min="5381" max="5381"/>
    <col width="10.875" customWidth="1" style="79" min="5382" max="5382"/>
    <col width="11.25" customWidth="1" style="79" min="5383" max="5383"/>
    <col width="11.5" customWidth="1" style="79" min="5384" max="5384"/>
    <col width="11.625" customWidth="1" style="79" min="5385" max="5385"/>
    <col width="15.5" customWidth="1" style="79" min="5386" max="5386"/>
    <col width="18.75" customWidth="1" style="79" min="5387" max="5387"/>
    <col width="15.375" customWidth="1" style="79" min="5388" max="5388"/>
    <col width="15.125" customWidth="1" style="79" min="5389" max="5389"/>
    <col width="11" customWidth="1" style="79" min="5391" max="5391"/>
    <col width="10.625" customWidth="1" style="79" min="5392" max="5392"/>
    <col width="9.625" customWidth="1" style="79" min="5393" max="5393"/>
    <col width="7" customWidth="1" style="79" min="5636" max="5636"/>
    <col width="17.75" customWidth="1" style="79" min="5637" max="5637"/>
    <col width="10.875" customWidth="1" style="79" min="5638" max="5638"/>
    <col width="11.25" customWidth="1" style="79" min="5639" max="5639"/>
    <col width="11.5" customWidth="1" style="79" min="5640" max="5640"/>
    <col width="11.625" customWidth="1" style="79" min="5641" max="5641"/>
    <col width="15.5" customWidth="1" style="79" min="5642" max="5642"/>
    <col width="18.75" customWidth="1" style="79" min="5643" max="5643"/>
    <col width="15.375" customWidth="1" style="79" min="5644" max="5644"/>
    <col width="15.125" customWidth="1" style="79" min="5645" max="5645"/>
    <col width="11" customWidth="1" style="79" min="5647" max="5647"/>
    <col width="10.625" customWidth="1" style="79" min="5648" max="5648"/>
    <col width="9.625" customWidth="1" style="79" min="5649" max="5649"/>
    <col width="7" customWidth="1" style="79" min="5892" max="5892"/>
    <col width="17.75" customWidth="1" style="79" min="5893" max="5893"/>
    <col width="10.875" customWidth="1" style="79" min="5894" max="5894"/>
    <col width="11.25" customWidth="1" style="79" min="5895" max="5895"/>
    <col width="11.5" customWidth="1" style="79" min="5896" max="5896"/>
    <col width="11.625" customWidth="1" style="79" min="5897" max="5897"/>
    <col width="15.5" customWidth="1" style="79" min="5898" max="5898"/>
    <col width="18.75" customWidth="1" style="79" min="5899" max="5899"/>
    <col width="15.375" customWidth="1" style="79" min="5900" max="5900"/>
    <col width="15.125" customWidth="1" style="79" min="5901" max="5901"/>
    <col width="11" customWidth="1" style="79" min="5903" max="5903"/>
    <col width="10.625" customWidth="1" style="79" min="5904" max="5904"/>
    <col width="9.625" customWidth="1" style="79" min="5905" max="5905"/>
    <col width="7" customWidth="1" style="79" min="6148" max="6148"/>
    <col width="17.75" customWidth="1" style="79" min="6149" max="6149"/>
    <col width="10.875" customWidth="1" style="79" min="6150" max="6150"/>
    <col width="11.25" customWidth="1" style="79" min="6151" max="6151"/>
    <col width="11.5" customWidth="1" style="79" min="6152" max="6152"/>
    <col width="11.625" customWidth="1" style="79" min="6153" max="6153"/>
    <col width="15.5" customWidth="1" style="79" min="6154" max="6154"/>
    <col width="18.75" customWidth="1" style="79" min="6155" max="6155"/>
    <col width="15.375" customWidth="1" style="79" min="6156" max="6156"/>
    <col width="15.125" customWidth="1" style="79" min="6157" max="6157"/>
    <col width="11" customWidth="1" style="79" min="6159" max="6159"/>
    <col width="10.625" customWidth="1" style="79" min="6160" max="6160"/>
    <col width="9.625" customWidth="1" style="79" min="6161" max="6161"/>
    <col width="7" customWidth="1" style="79" min="6404" max="6404"/>
    <col width="17.75" customWidth="1" style="79" min="6405" max="6405"/>
    <col width="10.875" customWidth="1" style="79" min="6406" max="6406"/>
    <col width="11.25" customWidth="1" style="79" min="6407" max="6407"/>
    <col width="11.5" customWidth="1" style="79" min="6408" max="6408"/>
    <col width="11.625" customWidth="1" style="79" min="6409" max="6409"/>
    <col width="15.5" customWidth="1" style="79" min="6410" max="6410"/>
    <col width="18.75" customWidth="1" style="79" min="6411" max="6411"/>
    <col width="15.375" customWidth="1" style="79" min="6412" max="6412"/>
    <col width="15.125" customWidth="1" style="79" min="6413" max="6413"/>
    <col width="11" customWidth="1" style="79" min="6415" max="6415"/>
    <col width="10.625" customWidth="1" style="79" min="6416" max="6416"/>
    <col width="9.625" customWidth="1" style="79" min="6417" max="6417"/>
    <col width="7" customWidth="1" style="79" min="6660" max="6660"/>
    <col width="17.75" customWidth="1" style="79" min="6661" max="6661"/>
    <col width="10.875" customWidth="1" style="79" min="6662" max="6662"/>
    <col width="11.25" customWidth="1" style="79" min="6663" max="6663"/>
    <col width="11.5" customWidth="1" style="79" min="6664" max="6664"/>
    <col width="11.625" customWidth="1" style="79" min="6665" max="6665"/>
    <col width="15.5" customWidth="1" style="79" min="6666" max="6666"/>
    <col width="18.75" customWidth="1" style="79" min="6667" max="6667"/>
    <col width="15.375" customWidth="1" style="79" min="6668" max="6668"/>
    <col width="15.125" customWidth="1" style="79" min="6669" max="6669"/>
    <col width="11" customWidth="1" style="79" min="6671" max="6671"/>
    <col width="10.625" customWidth="1" style="79" min="6672" max="6672"/>
    <col width="9.625" customWidth="1" style="79" min="6673" max="6673"/>
    <col width="7" customWidth="1" style="79" min="6916" max="6916"/>
    <col width="17.75" customWidth="1" style="79" min="6917" max="6917"/>
    <col width="10.875" customWidth="1" style="79" min="6918" max="6918"/>
    <col width="11.25" customWidth="1" style="79" min="6919" max="6919"/>
    <col width="11.5" customWidth="1" style="79" min="6920" max="6920"/>
    <col width="11.625" customWidth="1" style="79" min="6921" max="6921"/>
    <col width="15.5" customWidth="1" style="79" min="6922" max="6922"/>
    <col width="18.75" customWidth="1" style="79" min="6923" max="6923"/>
    <col width="15.375" customWidth="1" style="79" min="6924" max="6924"/>
    <col width="15.125" customWidth="1" style="79" min="6925" max="6925"/>
    <col width="11" customWidth="1" style="79" min="6927" max="6927"/>
    <col width="10.625" customWidth="1" style="79" min="6928" max="6928"/>
    <col width="9.625" customWidth="1" style="79" min="6929" max="6929"/>
    <col width="7" customWidth="1" style="79" min="7172" max="7172"/>
    <col width="17.75" customWidth="1" style="79" min="7173" max="7173"/>
    <col width="10.875" customWidth="1" style="79" min="7174" max="7174"/>
    <col width="11.25" customWidth="1" style="79" min="7175" max="7175"/>
    <col width="11.5" customWidth="1" style="79" min="7176" max="7176"/>
    <col width="11.625" customWidth="1" style="79" min="7177" max="7177"/>
    <col width="15.5" customWidth="1" style="79" min="7178" max="7178"/>
    <col width="18.75" customWidth="1" style="79" min="7179" max="7179"/>
    <col width="15.375" customWidth="1" style="79" min="7180" max="7180"/>
    <col width="15.125" customWidth="1" style="79" min="7181" max="7181"/>
    <col width="11" customWidth="1" style="79" min="7183" max="7183"/>
    <col width="10.625" customWidth="1" style="79" min="7184" max="7184"/>
    <col width="9.625" customWidth="1" style="79" min="7185" max="7185"/>
    <col width="7" customWidth="1" style="79" min="7428" max="7428"/>
    <col width="17.75" customWidth="1" style="79" min="7429" max="7429"/>
    <col width="10.875" customWidth="1" style="79" min="7430" max="7430"/>
    <col width="11.25" customWidth="1" style="79" min="7431" max="7431"/>
    <col width="11.5" customWidth="1" style="79" min="7432" max="7432"/>
    <col width="11.625" customWidth="1" style="79" min="7433" max="7433"/>
    <col width="15.5" customWidth="1" style="79" min="7434" max="7434"/>
    <col width="18.75" customWidth="1" style="79" min="7435" max="7435"/>
    <col width="15.375" customWidth="1" style="79" min="7436" max="7436"/>
    <col width="15.125" customWidth="1" style="79" min="7437" max="7437"/>
    <col width="11" customWidth="1" style="79" min="7439" max="7439"/>
    <col width="10.625" customWidth="1" style="79" min="7440" max="7440"/>
    <col width="9.625" customWidth="1" style="79" min="7441" max="7441"/>
    <col width="7" customWidth="1" style="79" min="7684" max="7684"/>
    <col width="17.75" customWidth="1" style="79" min="7685" max="7685"/>
    <col width="10.875" customWidth="1" style="79" min="7686" max="7686"/>
    <col width="11.25" customWidth="1" style="79" min="7687" max="7687"/>
    <col width="11.5" customWidth="1" style="79" min="7688" max="7688"/>
    <col width="11.625" customWidth="1" style="79" min="7689" max="7689"/>
    <col width="15.5" customWidth="1" style="79" min="7690" max="7690"/>
    <col width="18.75" customWidth="1" style="79" min="7691" max="7691"/>
    <col width="15.375" customWidth="1" style="79" min="7692" max="7692"/>
    <col width="15.125" customWidth="1" style="79" min="7693" max="7693"/>
    <col width="11" customWidth="1" style="79" min="7695" max="7695"/>
    <col width="10.625" customWidth="1" style="79" min="7696" max="7696"/>
    <col width="9.625" customWidth="1" style="79" min="7697" max="7697"/>
    <col width="7" customWidth="1" style="79" min="7940" max="7940"/>
    <col width="17.75" customWidth="1" style="79" min="7941" max="7941"/>
    <col width="10.875" customWidth="1" style="79" min="7942" max="7942"/>
    <col width="11.25" customWidth="1" style="79" min="7943" max="7943"/>
    <col width="11.5" customWidth="1" style="79" min="7944" max="7944"/>
    <col width="11.625" customWidth="1" style="79" min="7945" max="7945"/>
    <col width="15.5" customWidth="1" style="79" min="7946" max="7946"/>
    <col width="18.75" customWidth="1" style="79" min="7947" max="7947"/>
    <col width="15.375" customWidth="1" style="79" min="7948" max="7948"/>
    <col width="15.125" customWidth="1" style="79" min="7949" max="7949"/>
    <col width="11" customWidth="1" style="79" min="7951" max="7951"/>
    <col width="10.625" customWidth="1" style="79" min="7952" max="7952"/>
    <col width="9.625" customWidth="1" style="79" min="7953" max="7953"/>
    <col width="7" customWidth="1" style="79" min="8196" max="8196"/>
    <col width="17.75" customWidth="1" style="79" min="8197" max="8197"/>
    <col width="10.875" customWidth="1" style="79" min="8198" max="8198"/>
    <col width="11.25" customWidth="1" style="79" min="8199" max="8199"/>
    <col width="11.5" customWidth="1" style="79" min="8200" max="8200"/>
    <col width="11.625" customWidth="1" style="79" min="8201" max="8201"/>
    <col width="15.5" customWidth="1" style="79" min="8202" max="8202"/>
    <col width="18.75" customWidth="1" style="79" min="8203" max="8203"/>
    <col width="15.375" customWidth="1" style="79" min="8204" max="8204"/>
    <col width="15.125" customWidth="1" style="79" min="8205" max="8205"/>
    <col width="11" customWidth="1" style="79" min="8207" max="8207"/>
    <col width="10.625" customWidth="1" style="79" min="8208" max="8208"/>
    <col width="9.625" customWidth="1" style="79" min="8209" max="8209"/>
    <col width="7" customWidth="1" style="79" min="8452" max="8452"/>
    <col width="17.75" customWidth="1" style="79" min="8453" max="8453"/>
    <col width="10.875" customWidth="1" style="79" min="8454" max="8454"/>
    <col width="11.25" customWidth="1" style="79" min="8455" max="8455"/>
    <col width="11.5" customWidth="1" style="79" min="8456" max="8456"/>
    <col width="11.625" customWidth="1" style="79" min="8457" max="8457"/>
    <col width="15.5" customWidth="1" style="79" min="8458" max="8458"/>
    <col width="18.75" customWidth="1" style="79" min="8459" max="8459"/>
    <col width="15.375" customWidth="1" style="79" min="8460" max="8460"/>
    <col width="15.125" customWidth="1" style="79" min="8461" max="8461"/>
    <col width="11" customWidth="1" style="79" min="8463" max="8463"/>
    <col width="10.625" customWidth="1" style="79" min="8464" max="8464"/>
    <col width="9.625" customWidth="1" style="79" min="8465" max="8465"/>
    <col width="7" customWidth="1" style="79" min="8708" max="8708"/>
    <col width="17.75" customWidth="1" style="79" min="8709" max="8709"/>
    <col width="10.875" customWidth="1" style="79" min="8710" max="8710"/>
    <col width="11.25" customWidth="1" style="79" min="8711" max="8711"/>
    <col width="11.5" customWidth="1" style="79" min="8712" max="8712"/>
    <col width="11.625" customWidth="1" style="79" min="8713" max="8713"/>
    <col width="15.5" customWidth="1" style="79" min="8714" max="8714"/>
    <col width="18.75" customWidth="1" style="79" min="8715" max="8715"/>
    <col width="15.375" customWidth="1" style="79" min="8716" max="8716"/>
    <col width="15.125" customWidth="1" style="79" min="8717" max="8717"/>
    <col width="11" customWidth="1" style="79" min="8719" max="8719"/>
    <col width="10.625" customWidth="1" style="79" min="8720" max="8720"/>
    <col width="9.625" customWidth="1" style="79" min="8721" max="8721"/>
    <col width="7" customWidth="1" style="79" min="8964" max="8964"/>
    <col width="17.75" customWidth="1" style="79" min="8965" max="8965"/>
    <col width="10.875" customWidth="1" style="79" min="8966" max="8966"/>
    <col width="11.25" customWidth="1" style="79" min="8967" max="8967"/>
    <col width="11.5" customWidth="1" style="79" min="8968" max="8968"/>
    <col width="11.625" customWidth="1" style="79" min="8969" max="8969"/>
    <col width="15.5" customWidth="1" style="79" min="8970" max="8970"/>
    <col width="18.75" customWidth="1" style="79" min="8971" max="8971"/>
    <col width="15.375" customWidth="1" style="79" min="8972" max="8972"/>
    <col width="15.125" customWidth="1" style="79" min="8973" max="8973"/>
    <col width="11" customWidth="1" style="79" min="8975" max="8975"/>
    <col width="10.625" customWidth="1" style="79" min="8976" max="8976"/>
    <col width="9.625" customWidth="1" style="79" min="8977" max="8977"/>
    <col width="7" customWidth="1" style="79" min="9220" max="9220"/>
    <col width="17.75" customWidth="1" style="79" min="9221" max="9221"/>
    <col width="10.875" customWidth="1" style="79" min="9222" max="9222"/>
    <col width="11.25" customWidth="1" style="79" min="9223" max="9223"/>
    <col width="11.5" customWidth="1" style="79" min="9224" max="9224"/>
    <col width="11.625" customWidth="1" style="79" min="9225" max="9225"/>
    <col width="15.5" customWidth="1" style="79" min="9226" max="9226"/>
    <col width="18.75" customWidth="1" style="79" min="9227" max="9227"/>
    <col width="15.375" customWidth="1" style="79" min="9228" max="9228"/>
    <col width="15.125" customWidth="1" style="79" min="9229" max="9229"/>
    <col width="11" customWidth="1" style="79" min="9231" max="9231"/>
    <col width="10.625" customWidth="1" style="79" min="9232" max="9232"/>
    <col width="9.625" customWidth="1" style="79" min="9233" max="9233"/>
    <col width="7" customWidth="1" style="79" min="9476" max="9476"/>
    <col width="17.75" customWidth="1" style="79" min="9477" max="9477"/>
    <col width="10.875" customWidth="1" style="79" min="9478" max="9478"/>
    <col width="11.25" customWidth="1" style="79" min="9479" max="9479"/>
    <col width="11.5" customWidth="1" style="79" min="9480" max="9480"/>
    <col width="11.625" customWidth="1" style="79" min="9481" max="9481"/>
    <col width="15.5" customWidth="1" style="79" min="9482" max="9482"/>
    <col width="18.75" customWidth="1" style="79" min="9483" max="9483"/>
    <col width="15.375" customWidth="1" style="79" min="9484" max="9484"/>
    <col width="15.125" customWidth="1" style="79" min="9485" max="9485"/>
    <col width="11" customWidth="1" style="79" min="9487" max="9487"/>
    <col width="10.625" customWidth="1" style="79" min="9488" max="9488"/>
    <col width="9.625" customWidth="1" style="79" min="9489" max="9489"/>
    <col width="7" customWidth="1" style="79" min="9732" max="9732"/>
    <col width="17.75" customWidth="1" style="79" min="9733" max="9733"/>
    <col width="10.875" customWidth="1" style="79" min="9734" max="9734"/>
    <col width="11.25" customWidth="1" style="79" min="9735" max="9735"/>
    <col width="11.5" customWidth="1" style="79" min="9736" max="9736"/>
    <col width="11.625" customWidth="1" style="79" min="9737" max="9737"/>
    <col width="15.5" customWidth="1" style="79" min="9738" max="9738"/>
    <col width="18.75" customWidth="1" style="79" min="9739" max="9739"/>
    <col width="15.375" customWidth="1" style="79" min="9740" max="9740"/>
    <col width="15.125" customWidth="1" style="79" min="9741" max="9741"/>
    <col width="11" customWidth="1" style="79" min="9743" max="9743"/>
    <col width="10.625" customWidth="1" style="79" min="9744" max="9744"/>
    <col width="9.625" customWidth="1" style="79" min="9745" max="9745"/>
    <col width="7" customWidth="1" style="79" min="9988" max="9988"/>
    <col width="17.75" customWidth="1" style="79" min="9989" max="9989"/>
    <col width="10.875" customWidth="1" style="79" min="9990" max="9990"/>
    <col width="11.25" customWidth="1" style="79" min="9991" max="9991"/>
    <col width="11.5" customWidth="1" style="79" min="9992" max="9992"/>
    <col width="11.625" customWidth="1" style="79" min="9993" max="9993"/>
    <col width="15.5" customWidth="1" style="79" min="9994" max="9994"/>
    <col width="18.75" customWidth="1" style="79" min="9995" max="9995"/>
    <col width="15.375" customWidth="1" style="79" min="9996" max="9996"/>
    <col width="15.125" customWidth="1" style="79" min="9997" max="9997"/>
    <col width="11" customWidth="1" style="79" min="9999" max="9999"/>
    <col width="10.625" customWidth="1" style="79" min="10000" max="10000"/>
    <col width="9.625" customWidth="1" style="79" min="10001" max="10001"/>
    <col width="7" customWidth="1" style="79" min="10244" max="10244"/>
    <col width="17.75" customWidth="1" style="79" min="10245" max="10245"/>
    <col width="10.875" customWidth="1" style="79" min="10246" max="10246"/>
    <col width="11.25" customWidth="1" style="79" min="10247" max="10247"/>
    <col width="11.5" customWidth="1" style="79" min="10248" max="10248"/>
    <col width="11.625" customWidth="1" style="79" min="10249" max="10249"/>
    <col width="15.5" customWidth="1" style="79" min="10250" max="10250"/>
    <col width="18.75" customWidth="1" style="79" min="10251" max="10251"/>
    <col width="15.375" customWidth="1" style="79" min="10252" max="10252"/>
    <col width="15.125" customWidth="1" style="79" min="10253" max="10253"/>
    <col width="11" customWidth="1" style="79" min="10255" max="10255"/>
    <col width="10.625" customWidth="1" style="79" min="10256" max="10256"/>
    <col width="9.625" customWidth="1" style="79" min="10257" max="10257"/>
    <col width="7" customWidth="1" style="79" min="10500" max="10500"/>
    <col width="17.75" customWidth="1" style="79" min="10501" max="10501"/>
    <col width="10.875" customWidth="1" style="79" min="10502" max="10502"/>
    <col width="11.25" customWidth="1" style="79" min="10503" max="10503"/>
    <col width="11.5" customWidth="1" style="79" min="10504" max="10504"/>
    <col width="11.625" customWidth="1" style="79" min="10505" max="10505"/>
    <col width="15.5" customWidth="1" style="79" min="10506" max="10506"/>
    <col width="18.75" customWidth="1" style="79" min="10507" max="10507"/>
    <col width="15.375" customWidth="1" style="79" min="10508" max="10508"/>
    <col width="15.125" customWidth="1" style="79" min="10509" max="10509"/>
    <col width="11" customWidth="1" style="79" min="10511" max="10511"/>
    <col width="10.625" customWidth="1" style="79" min="10512" max="10512"/>
    <col width="9.625" customWidth="1" style="79" min="10513" max="10513"/>
    <col width="7" customWidth="1" style="79" min="10756" max="10756"/>
    <col width="17.75" customWidth="1" style="79" min="10757" max="10757"/>
    <col width="10.875" customWidth="1" style="79" min="10758" max="10758"/>
    <col width="11.25" customWidth="1" style="79" min="10759" max="10759"/>
    <col width="11.5" customWidth="1" style="79" min="10760" max="10760"/>
    <col width="11.625" customWidth="1" style="79" min="10761" max="10761"/>
    <col width="15.5" customWidth="1" style="79" min="10762" max="10762"/>
    <col width="18.75" customWidth="1" style="79" min="10763" max="10763"/>
    <col width="15.375" customWidth="1" style="79" min="10764" max="10764"/>
    <col width="15.125" customWidth="1" style="79" min="10765" max="10765"/>
    <col width="11" customWidth="1" style="79" min="10767" max="10767"/>
    <col width="10.625" customWidth="1" style="79" min="10768" max="10768"/>
    <col width="9.625" customWidth="1" style="79" min="10769" max="10769"/>
    <col width="7" customWidth="1" style="79" min="11012" max="11012"/>
    <col width="17.75" customWidth="1" style="79" min="11013" max="11013"/>
    <col width="10.875" customWidth="1" style="79" min="11014" max="11014"/>
    <col width="11.25" customWidth="1" style="79" min="11015" max="11015"/>
    <col width="11.5" customWidth="1" style="79" min="11016" max="11016"/>
    <col width="11.625" customWidth="1" style="79" min="11017" max="11017"/>
    <col width="15.5" customWidth="1" style="79" min="11018" max="11018"/>
    <col width="18.75" customWidth="1" style="79" min="11019" max="11019"/>
    <col width="15.375" customWidth="1" style="79" min="11020" max="11020"/>
    <col width="15.125" customWidth="1" style="79" min="11021" max="11021"/>
    <col width="11" customWidth="1" style="79" min="11023" max="11023"/>
    <col width="10.625" customWidth="1" style="79" min="11024" max="11024"/>
    <col width="9.625" customWidth="1" style="79" min="11025" max="11025"/>
    <col width="7" customWidth="1" style="79" min="11268" max="11268"/>
    <col width="17.75" customWidth="1" style="79" min="11269" max="11269"/>
    <col width="10.875" customWidth="1" style="79" min="11270" max="11270"/>
    <col width="11.25" customWidth="1" style="79" min="11271" max="11271"/>
    <col width="11.5" customWidth="1" style="79" min="11272" max="11272"/>
    <col width="11.625" customWidth="1" style="79" min="11273" max="11273"/>
    <col width="15.5" customWidth="1" style="79" min="11274" max="11274"/>
    <col width="18.75" customWidth="1" style="79" min="11275" max="11275"/>
    <col width="15.375" customWidth="1" style="79" min="11276" max="11276"/>
    <col width="15.125" customWidth="1" style="79" min="11277" max="11277"/>
    <col width="11" customWidth="1" style="79" min="11279" max="11279"/>
    <col width="10.625" customWidth="1" style="79" min="11280" max="11280"/>
    <col width="9.625" customWidth="1" style="79" min="11281" max="11281"/>
    <col width="7" customWidth="1" style="79" min="11524" max="11524"/>
    <col width="17.75" customWidth="1" style="79" min="11525" max="11525"/>
    <col width="10.875" customWidth="1" style="79" min="11526" max="11526"/>
    <col width="11.25" customWidth="1" style="79" min="11527" max="11527"/>
    <col width="11.5" customWidth="1" style="79" min="11528" max="11528"/>
    <col width="11.625" customWidth="1" style="79" min="11529" max="11529"/>
    <col width="15.5" customWidth="1" style="79" min="11530" max="11530"/>
    <col width="18.75" customWidth="1" style="79" min="11531" max="11531"/>
    <col width="15.375" customWidth="1" style="79" min="11532" max="11532"/>
    <col width="15.125" customWidth="1" style="79" min="11533" max="11533"/>
    <col width="11" customWidth="1" style="79" min="11535" max="11535"/>
    <col width="10.625" customWidth="1" style="79" min="11536" max="11536"/>
    <col width="9.625" customWidth="1" style="79" min="11537" max="11537"/>
    <col width="7" customWidth="1" style="79" min="11780" max="11780"/>
    <col width="17.75" customWidth="1" style="79" min="11781" max="11781"/>
    <col width="10.875" customWidth="1" style="79" min="11782" max="11782"/>
    <col width="11.25" customWidth="1" style="79" min="11783" max="11783"/>
    <col width="11.5" customWidth="1" style="79" min="11784" max="11784"/>
    <col width="11.625" customWidth="1" style="79" min="11785" max="11785"/>
    <col width="15.5" customWidth="1" style="79" min="11786" max="11786"/>
    <col width="18.75" customWidth="1" style="79" min="11787" max="11787"/>
    <col width="15.375" customWidth="1" style="79" min="11788" max="11788"/>
    <col width="15.125" customWidth="1" style="79" min="11789" max="11789"/>
    <col width="11" customWidth="1" style="79" min="11791" max="11791"/>
    <col width="10.625" customWidth="1" style="79" min="11792" max="11792"/>
    <col width="9.625" customWidth="1" style="79" min="11793" max="11793"/>
    <col width="7" customWidth="1" style="79" min="12036" max="12036"/>
    <col width="17.75" customWidth="1" style="79" min="12037" max="12037"/>
    <col width="10.875" customWidth="1" style="79" min="12038" max="12038"/>
    <col width="11.25" customWidth="1" style="79" min="12039" max="12039"/>
    <col width="11.5" customWidth="1" style="79" min="12040" max="12040"/>
    <col width="11.625" customWidth="1" style="79" min="12041" max="12041"/>
    <col width="15.5" customWidth="1" style="79" min="12042" max="12042"/>
    <col width="18.75" customWidth="1" style="79" min="12043" max="12043"/>
    <col width="15.375" customWidth="1" style="79" min="12044" max="12044"/>
    <col width="15.125" customWidth="1" style="79" min="12045" max="12045"/>
    <col width="11" customWidth="1" style="79" min="12047" max="12047"/>
    <col width="10.625" customWidth="1" style="79" min="12048" max="12048"/>
    <col width="9.625" customWidth="1" style="79" min="12049" max="12049"/>
    <col width="7" customWidth="1" style="79" min="12292" max="12292"/>
    <col width="17.75" customWidth="1" style="79" min="12293" max="12293"/>
    <col width="10.875" customWidth="1" style="79" min="12294" max="12294"/>
    <col width="11.25" customWidth="1" style="79" min="12295" max="12295"/>
    <col width="11.5" customWidth="1" style="79" min="12296" max="12296"/>
    <col width="11.625" customWidth="1" style="79" min="12297" max="12297"/>
    <col width="15.5" customWidth="1" style="79" min="12298" max="12298"/>
    <col width="18.75" customWidth="1" style="79" min="12299" max="12299"/>
    <col width="15.375" customWidth="1" style="79" min="12300" max="12300"/>
    <col width="15.125" customWidth="1" style="79" min="12301" max="12301"/>
    <col width="11" customWidth="1" style="79" min="12303" max="12303"/>
    <col width="10.625" customWidth="1" style="79" min="12304" max="12304"/>
    <col width="9.625" customWidth="1" style="79" min="12305" max="12305"/>
    <col width="7" customWidth="1" style="79" min="12548" max="12548"/>
    <col width="17.75" customWidth="1" style="79" min="12549" max="12549"/>
    <col width="10.875" customWidth="1" style="79" min="12550" max="12550"/>
    <col width="11.25" customWidth="1" style="79" min="12551" max="12551"/>
    <col width="11.5" customWidth="1" style="79" min="12552" max="12552"/>
    <col width="11.625" customWidth="1" style="79" min="12553" max="12553"/>
    <col width="15.5" customWidth="1" style="79" min="12554" max="12554"/>
    <col width="18.75" customWidth="1" style="79" min="12555" max="12555"/>
    <col width="15.375" customWidth="1" style="79" min="12556" max="12556"/>
    <col width="15.125" customWidth="1" style="79" min="12557" max="12557"/>
    <col width="11" customWidth="1" style="79" min="12559" max="12559"/>
    <col width="10.625" customWidth="1" style="79" min="12560" max="12560"/>
    <col width="9.625" customWidth="1" style="79" min="12561" max="12561"/>
    <col width="7" customWidth="1" style="79" min="12804" max="12804"/>
    <col width="17.75" customWidth="1" style="79" min="12805" max="12805"/>
    <col width="10.875" customWidth="1" style="79" min="12806" max="12806"/>
    <col width="11.25" customWidth="1" style="79" min="12807" max="12807"/>
    <col width="11.5" customWidth="1" style="79" min="12808" max="12808"/>
    <col width="11.625" customWidth="1" style="79" min="12809" max="12809"/>
    <col width="15.5" customWidth="1" style="79" min="12810" max="12810"/>
    <col width="18.75" customWidth="1" style="79" min="12811" max="12811"/>
    <col width="15.375" customWidth="1" style="79" min="12812" max="12812"/>
    <col width="15.125" customWidth="1" style="79" min="12813" max="12813"/>
    <col width="11" customWidth="1" style="79" min="12815" max="12815"/>
    <col width="10.625" customWidth="1" style="79" min="12816" max="12816"/>
    <col width="9.625" customWidth="1" style="79" min="12817" max="12817"/>
    <col width="7" customWidth="1" style="79" min="13060" max="13060"/>
    <col width="17.75" customWidth="1" style="79" min="13061" max="13061"/>
    <col width="10.875" customWidth="1" style="79" min="13062" max="13062"/>
    <col width="11.25" customWidth="1" style="79" min="13063" max="13063"/>
    <col width="11.5" customWidth="1" style="79" min="13064" max="13064"/>
    <col width="11.625" customWidth="1" style="79" min="13065" max="13065"/>
    <col width="15.5" customWidth="1" style="79" min="13066" max="13066"/>
    <col width="18.75" customWidth="1" style="79" min="13067" max="13067"/>
    <col width="15.375" customWidth="1" style="79" min="13068" max="13068"/>
    <col width="15.125" customWidth="1" style="79" min="13069" max="13069"/>
    <col width="11" customWidth="1" style="79" min="13071" max="13071"/>
    <col width="10.625" customWidth="1" style="79" min="13072" max="13072"/>
    <col width="9.625" customWidth="1" style="79" min="13073" max="13073"/>
    <col width="7" customWidth="1" style="79" min="13316" max="13316"/>
    <col width="17.75" customWidth="1" style="79" min="13317" max="13317"/>
    <col width="10.875" customWidth="1" style="79" min="13318" max="13318"/>
    <col width="11.25" customWidth="1" style="79" min="13319" max="13319"/>
    <col width="11.5" customWidth="1" style="79" min="13320" max="13320"/>
    <col width="11.625" customWidth="1" style="79" min="13321" max="13321"/>
    <col width="15.5" customWidth="1" style="79" min="13322" max="13322"/>
    <col width="18.75" customWidth="1" style="79" min="13323" max="13323"/>
    <col width="15.375" customWidth="1" style="79" min="13324" max="13324"/>
    <col width="15.125" customWidth="1" style="79" min="13325" max="13325"/>
    <col width="11" customWidth="1" style="79" min="13327" max="13327"/>
    <col width="10.625" customWidth="1" style="79" min="13328" max="13328"/>
    <col width="9.625" customWidth="1" style="79" min="13329" max="13329"/>
    <col width="7" customWidth="1" style="79" min="13572" max="13572"/>
    <col width="17.75" customWidth="1" style="79" min="13573" max="13573"/>
    <col width="10.875" customWidth="1" style="79" min="13574" max="13574"/>
    <col width="11.25" customWidth="1" style="79" min="13575" max="13575"/>
    <col width="11.5" customWidth="1" style="79" min="13576" max="13576"/>
    <col width="11.625" customWidth="1" style="79" min="13577" max="13577"/>
    <col width="15.5" customWidth="1" style="79" min="13578" max="13578"/>
    <col width="18.75" customWidth="1" style="79" min="13579" max="13579"/>
    <col width="15.375" customWidth="1" style="79" min="13580" max="13580"/>
    <col width="15.125" customWidth="1" style="79" min="13581" max="13581"/>
    <col width="11" customWidth="1" style="79" min="13583" max="13583"/>
    <col width="10.625" customWidth="1" style="79" min="13584" max="13584"/>
    <col width="9.625" customWidth="1" style="79" min="13585" max="13585"/>
    <col width="7" customWidth="1" style="79" min="13828" max="13828"/>
    <col width="17.75" customWidth="1" style="79" min="13829" max="13829"/>
    <col width="10.875" customWidth="1" style="79" min="13830" max="13830"/>
    <col width="11.25" customWidth="1" style="79" min="13831" max="13831"/>
    <col width="11.5" customWidth="1" style="79" min="13832" max="13832"/>
    <col width="11.625" customWidth="1" style="79" min="13833" max="13833"/>
    <col width="15.5" customWidth="1" style="79" min="13834" max="13834"/>
    <col width="18.75" customWidth="1" style="79" min="13835" max="13835"/>
    <col width="15.375" customWidth="1" style="79" min="13836" max="13836"/>
    <col width="15.125" customWidth="1" style="79" min="13837" max="13837"/>
    <col width="11" customWidth="1" style="79" min="13839" max="13839"/>
    <col width="10.625" customWidth="1" style="79" min="13840" max="13840"/>
    <col width="9.625" customWidth="1" style="79" min="13841" max="13841"/>
    <col width="7" customWidth="1" style="79" min="14084" max="14084"/>
    <col width="17.75" customWidth="1" style="79" min="14085" max="14085"/>
    <col width="10.875" customWidth="1" style="79" min="14086" max="14086"/>
    <col width="11.25" customWidth="1" style="79" min="14087" max="14087"/>
    <col width="11.5" customWidth="1" style="79" min="14088" max="14088"/>
    <col width="11.625" customWidth="1" style="79" min="14089" max="14089"/>
    <col width="15.5" customWidth="1" style="79" min="14090" max="14090"/>
    <col width="18.75" customWidth="1" style="79" min="14091" max="14091"/>
    <col width="15.375" customWidth="1" style="79" min="14092" max="14092"/>
    <col width="15.125" customWidth="1" style="79" min="14093" max="14093"/>
    <col width="11" customWidth="1" style="79" min="14095" max="14095"/>
    <col width="10.625" customWidth="1" style="79" min="14096" max="14096"/>
    <col width="9.625" customWidth="1" style="79" min="14097" max="14097"/>
    <col width="7" customWidth="1" style="79" min="14340" max="14340"/>
    <col width="17.75" customWidth="1" style="79" min="14341" max="14341"/>
    <col width="10.875" customWidth="1" style="79" min="14342" max="14342"/>
    <col width="11.25" customWidth="1" style="79" min="14343" max="14343"/>
    <col width="11.5" customWidth="1" style="79" min="14344" max="14344"/>
    <col width="11.625" customWidth="1" style="79" min="14345" max="14345"/>
    <col width="15.5" customWidth="1" style="79" min="14346" max="14346"/>
    <col width="18.75" customWidth="1" style="79" min="14347" max="14347"/>
    <col width="15.375" customWidth="1" style="79" min="14348" max="14348"/>
    <col width="15.125" customWidth="1" style="79" min="14349" max="14349"/>
    <col width="11" customWidth="1" style="79" min="14351" max="14351"/>
    <col width="10.625" customWidth="1" style="79" min="14352" max="14352"/>
    <col width="9.625" customWidth="1" style="79" min="14353" max="14353"/>
    <col width="7" customWidth="1" style="79" min="14596" max="14596"/>
    <col width="17.75" customWidth="1" style="79" min="14597" max="14597"/>
    <col width="10.875" customWidth="1" style="79" min="14598" max="14598"/>
    <col width="11.25" customWidth="1" style="79" min="14599" max="14599"/>
    <col width="11.5" customWidth="1" style="79" min="14600" max="14600"/>
    <col width="11.625" customWidth="1" style="79" min="14601" max="14601"/>
    <col width="15.5" customWidth="1" style="79" min="14602" max="14602"/>
    <col width="18.75" customWidth="1" style="79" min="14603" max="14603"/>
    <col width="15.375" customWidth="1" style="79" min="14604" max="14604"/>
    <col width="15.125" customWidth="1" style="79" min="14605" max="14605"/>
    <col width="11" customWidth="1" style="79" min="14607" max="14607"/>
    <col width="10.625" customWidth="1" style="79" min="14608" max="14608"/>
    <col width="9.625" customWidth="1" style="79" min="14609" max="14609"/>
    <col width="7" customWidth="1" style="79" min="14852" max="14852"/>
    <col width="17.75" customWidth="1" style="79" min="14853" max="14853"/>
    <col width="10.875" customWidth="1" style="79" min="14854" max="14854"/>
    <col width="11.25" customWidth="1" style="79" min="14855" max="14855"/>
    <col width="11.5" customWidth="1" style="79" min="14856" max="14856"/>
    <col width="11.625" customWidth="1" style="79" min="14857" max="14857"/>
    <col width="15.5" customWidth="1" style="79" min="14858" max="14858"/>
    <col width="18.75" customWidth="1" style="79" min="14859" max="14859"/>
    <col width="15.375" customWidth="1" style="79" min="14860" max="14860"/>
    <col width="15.125" customWidth="1" style="79" min="14861" max="14861"/>
    <col width="11" customWidth="1" style="79" min="14863" max="14863"/>
    <col width="10.625" customWidth="1" style="79" min="14864" max="14864"/>
    <col width="9.625" customWidth="1" style="79" min="14865" max="14865"/>
    <col width="7" customWidth="1" style="79" min="15108" max="15108"/>
    <col width="17.75" customWidth="1" style="79" min="15109" max="15109"/>
    <col width="10.875" customWidth="1" style="79" min="15110" max="15110"/>
    <col width="11.25" customWidth="1" style="79" min="15111" max="15111"/>
    <col width="11.5" customWidth="1" style="79" min="15112" max="15112"/>
    <col width="11.625" customWidth="1" style="79" min="15113" max="15113"/>
    <col width="15.5" customWidth="1" style="79" min="15114" max="15114"/>
    <col width="18.75" customWidth="1" style="79" min="15115" max="15115"/>
    <col width="15.375" customWidth="1" style="79" min="15116" max="15116"/>
    <col width="15.125" customWidth="1" style="79" min="15117" max="15117"/>
    <col width="11" customWidth="1" style="79" min="15119" max="15119"/>
    <col width="10.625" customWidth="1" style="79" min="15120" max="15120"/>
    <col width="9.625" customWidth="1" style="79" min="15121" max="15121"/>
    <col width="7" customWidth="1" style="79" min="15364" max="15364"/>
    <col width="17.75" customWidth="1" style="79" min="15365" max="15365"/>
    <col width="10.875" customWidth="1" style="79" min="15366" max="15366"/>
    <col width="11.25" customWidth="1" style="79" min="15367" max="15367"/>
    <col width="11.5" customWidth="1" style="79" min="15368" max="15368"/>
    <col width="11.625" customWidth="1" style="79" min="15369" max="15369"/>
    <col width="15.5" customWidth="1" style="79" min="15370" max="15370"/>
    <col width="18.75" customWidth="1" style="79" min="15371" max="15371"/>
    <col width="15.375" customWidth="1" style="79" min="15372" max="15372"/>
    <col width="15.125" customWidth="1" style="79" min="15373" max="15373"/>
    <col width="11" customWidth="1" style="79" min="15375" max="15375"/>
    <col width="10.625" customWidth="1" style="79" min="15376" max="15376"/>
    <col width="9.625" customWidth="1" style="79" min="15377" max="15377"/>
    <col width="7" customWidth="1" style="79" min="15620" max="15620"/>
    <col width="17.75" customWidth="1" style="79" min="15621" max="15621"/>
    <col width="10.875" customWidth="1" style="79" min="15622" max="15622"/>
    <col width="11.25" customWidth="1" style="79" min="15623" max="15623"/>
    <col width="11.5" customWidth="1" style="79" min="15624" max="15624"/>
    <col width="11.625" customWidth="1" style="79" min="15625" max="15625"/>
    <col width="15.5" customWidth="1" style="79" min="15626" max="15626"/>
    <col width="18.75" customWidth="1" style="79" min="15627" max="15627"/>
    <col width="15.375" customWidth="1" style="79" min="15628" max="15628"/>
    <col width="15.125" customWidth="1" style="79" min="15629" max="15629"/>
    <col width="11" customWidth="1" style="79" min="15631" max="15631"/>
    <col width="10.625" customWidth="1" style="79" min="15632" max="15632"/>
    <col width="9.625" customWidth="1" style="79" min="15633" max="15633"/>
    <col width="7" customWidth="1" style="79" min="15876" max="15876"/>
    <col width="17.75" customWidth="1" style="79" min="15877" max="15877"/>
    <col width="10.875" customWidth="1" style="79" min="15878" max="15878"/>
    <col width="11.25" customWidth="1" style="79" min="15879" max="15879"/>
    <col width="11.5" customWidth="1" style="79" min="15880" max="15880"/>
    <col width="11.625" customWidth="1" style="79" min="15881" max="15881"/>
    <col width="15.5" customWidth="1" style="79" min="15882" max="15882"/>
    <col width="18.75" customWidth="1" style="79" min="15883" max="15883"/>
    <col width="15.375" customWidth="1" style="79" min="15884" max="15884"/>
    <col width="15.125" customWidth="1" style="79" min="15885" max="15885"/>
    <col width="11" customWidth="1" style="79" min="15887" max="15887"/>
    <col width="10.625" customWidth="1" style="79" min="15888" max="15888"/>
    <col width="9.625" customWidth="1" style="79" min="15889" max="15889"/>
    <col width="7" customWidth="1" style="79" min="16132" max="16132"/>
    <col width="17.75" customWidth="1" style="79" min="16133" max="16133"/>
    <col width="10.875" customWidth="1" style="79" min="16134" max="16134"/>
    <col width="11.25" customWidth="1" style="79" min="16135" max="16135"/>
    <col width="11.5" customWidth="1" style="79" min="16136" max="16136"/>
    <col width="11.625" customWidth="1" style="79" min="16137" max="16137"/>
    <col width="15.5" customWidth="1" style="79" min="16138" max="16138"/>
    <col width="18.75" customWidth="1" style="79" min="16139" max="16139"/>
    <col width="15.375" customWidth="1" style="79" min="16140" max="16140"/>
    <col width="15.125" customWidth="1" style="79" min="16141" max="16141"/>
    <col width="11" customWidth="1" style="79" min="16143" max="16143"/>
    <col width="10.625" customWidth="1" style="79" min="16144" max="16144"/>
    <col width="9.625" customWidth="1" style="79" min="16145" max="16145"/>
  </cols>
  <sheetData>
    <row r="1" ht="18.75" customHeight="1" s="79">
      <c r="G1" s="1" t="inlineStr">
        <is>
          <t>KARTU INVENTARIS RUANGAN</t>
        </is>
      </c>
      <c r="Q1" t="inlineStr">
        <is>
          <t>MODEL INV. 6</t>
        </is>
      </c>
    </row>
    <row r="2" ht="18.75" customHeight="1" s="79">
      <c r="G2" s="1" t="n"/>
    </row>
    <row r="3" ht="18.75" customHeight="1" s="79">
      <c r="A3" s="461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461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461" t="inlineStr">
        <is>
          <t>Satuan Kerja</t>
        </is>
      </c>
      <c r="C5" t="inlineStr">
        <is>
          <t>Badan Kesatuan Bangsa dan Politik Kota Banjarmasin</t>
        </is>
      </c>
      <c r="G5" s="1" t="n"/>
    </row>
    <row r="6" ht="18.75" customHeight="1" s="79">
      <c r="A6" s="461" t="inlineStr">
        <is>
          <t>Ruangan</t>
        </is>
      </c>
      <c r="C6" s="88" t="inlineStr">
        <is>
          <t>KENDARAAN DINAS</t>
        </is>
      </c>
      <c r="G6" s="1" t="n"/>
    </row>
    <row r="8">
      <c r="A8" t="inlineStr">
        <is>
          <t xml:space="preserve">NO.KODE LOKASI : </t>
        </is>
      </c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Merk/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44" t="inlineStr">
        <is>
          <t xml:space="preserve">Jumlah </t>
        </is>
      </c>
      <c r="K9" s="592" t="n"/>
      <c r="L9" s="538" t="inlineStr">
        <is>
          <t xml:space="preserve">Harga </t>
        </is>
      </c>
      <c r="M9" s="544" t="inlineStr">
        <is>
          <t>Nomor</t>
        </is>
      </c>
      <c r="N9" s="591" t="n"/>
      <c r="O9" s="591" t="n"/>
      <c r="P9" s="591" t="n"/>
      <c r="Q9" s="592" t="n"/>
    </row>
    <row r="10">
      <c r="A10" s="540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Type</t>
        </is>
      </c>
      <c r="F10" s="594" t="n"/>
      <c r="G10" s="594" t="n"/>
      <c r="H10" s="104" t="inlineStr">
        <is>
          <t>Pembuatan</t>
        </is>
      </c>
      <c r="I10" s="655" t="inlineStr">
        <is>
          <t xml:space="preserve">No/. Kode Barang </t>
        </is>
      </c>
      <c r="J10" s="104" t="inlineStr">
        <is>
          <t>Banyaknya</t>
        </is>
      </c>
      <c r="K10" s="104" t="inlineStr">
        <is>
          <t>Nomor</t>
        </is>
      </c>
      <c r="L10" s="104" t="inlineStr">
        <is>
          <t>Beli/</t>
        </is>
      </c>
      <c r="M10" s="655" t="inlineStr">
        <is>
          <t>Rangka</t>
        </is>
      </c>
      <c r="N10" s="655" t="inlineStr">
        <is>
          <t>Mesin</t>
        </is>
      </c>
      <c r="O10" s="655" t="inlineStr">
        <is>
          <t>Polisi</t>
        </is>
      </c>
      <c r="P10" s="655" t="inlineStr">
        <is>
          <t>BPKB</t>
        </is>
      </c>
      <c r="Q10" s="655" t="inlineStr">
        <is>
          <t>Pemegang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595" t="n"/>
      <c r="J11" s="105" t="inlineStr">
        <is>
          <t>Barang</t>
        </is>
      </c>
      <c r="K11" s="105" t="inlineStr">
        <is>
          <t>Register x)</t>
        </is>
      </c>
      <c r="L11" s="105" t="inlineStr">
        <is>
          <t>Perolehan</t>
        </is>
      </c>
      <c r="M11" s="595" t="n"/>
      <c r="N11" s="595" t="n"/>
      <c r="O11" s="595" t="n"/>
      <c r="P11" s="595" t="n"/>
      <c r="Q11" s="595" t="n"/>
    </row>
    <row r="12">
      <c r="A12" s="47" t="n">
        <v>1</v>
      </c>
      <c r="B12" s="122" t="n">
        <v>2</v>
      </c>
      <c r="C12" s="589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104" t="n">
        <v>14</v>
      </c>
      <c r="P12" s="104" t="n">
        <v>15</v>
      </c>
      <c r="Q12" s="104" t="n">
        <v>16</v>
      </c>
    </row>
    <row r="13" ht="47.25" customHeight="1" s="79">
      <c r="A13" s="453" t="n">
        <v>1</v>
      </c>
      <c r="B13" s="576" t="inlineStr">
        <is>
          <t>Mini Bus (Penumpang 14 Orang ke bawah</t>
        </is>
      </c>
      <c r="C13" s="592" t="n"/>
      <c r="D13" s="576" t="inlineStr">
        <is>
          <t>TOYOTA / AVANZA 1500 S</t>
        </is>
      </c>
      <c r="E13" s="576" t="inlineStr">
        <is>
          <t>I-05815753</t>
        </is>
      </c>
      <c r="F13" s="36" t="inlineStr">
        <is>
          <t>1498 CC</t>
        </is>
      </c>
      <c r="G13" s="36" t="inlineStr">
        <is>
          <t>Besi</t>
        </is>
      </c>
      <c r="H13" s="36" t="n">
        <v>2012</v>
      </c>
      <c r="I13" s="36" t="inlineStr">
        <is>
          <t>02.03.01.02.003</t>
        </is>
      </c>
      <c r="J13" s="141" t="n">
        <v>1</v>
      </c>
      <c r="K13" s="141" t="inlineStr">
        <is>
          <t>0002</t>
        </is>
      </c>
      <c r="L13" s="142" t="n">
        <v>166673497</v>
      </c>
      <c r="M13" s="147" t="n"/>
      <c r="N13" s="9" t="n"/>
      <c r="O13" s="9" t="inlineStr">
        <is>
          <t>DA 826 AF</t>
        </is>
      </c>
      <c r="P13" s="7" t="n"/>
      <c r="Q13" s="9" t="inlineStr">
        <is>
          <t>Operasional</t>
        </is>
      </c>
    </row>
    <row r="14" ht="47.25" customHeight="1" s="79">
      <c r="A14" s="7">
        <f>A13+1</f>
        <v/>
      </c>
      <c r="B14" s="576" t="inlineStr">
        <is>
          <t>Mini Bus (Penumpang 14 Orang ke bawah</t>
        </is>
      </c>
      <c r="C14" s="592" t="n"/>
      <c r="D14" s="576" t="inlineStr">
        <is>
          <t>TOYOTA / KF 70 biru metalik</t>
        </is>
      </c>
      <c r="E14" s="576" t="inlineStr">
        <is>
          <t>MHF11KF701003367</t>
        </is>
      </c>
      <c r="F14" s="36" t="inlineStr">
        <is>
          <t>1781 C</t>
        </is>
      </c>
      <c r="G14" s="36" t="inlineStr">
        <is>
          <t>Besi</t>
        </is>
      </c>
      <c r="H14" s="36" t="n">
        <v>2012</v>
      </c>
      <c r="I14" s="36" t="inlineStr">
        <is>
          <t>02.03.01.02.003</t>
        </is>
      </c>
      <c r="J14" s="141" t="n">
        <v>1</v>
      </c>
      <c r="K14" s="141" t="inlineStr">
        <is>
          <t>0003</t>
        </is>
      </c>
      <c r="L14" s="142" t="n">
        <v>120800000</v>
      </c>
      <c r="M14" s="36" t="n"/>
      <c r="N14" s="9" t="n"/>
      <c r="O14" s="9" t="inlineStr">
        <is>
          <t>DA 251 A</t>
        </is>
      </c>
      <c r="P14" s="7" t="n"/>
      <c r="Q14" s="9" t="inlineStr">
        <is>
          <t>Opearsiona'</t>
        </is>
      </c>
    </row>
    <row r="15" ht="47.25" customHeight="1" s="79">
      <c r="A15" s="7">
        <f>A14+1</f>
        <v/>
      </c>
      <c r="B15" s="576" t="inlineStr">
        <is>
          <t>Mini Bus (Penumpang 14 Orang ke bawah</t>
        </is>
      </c>
      <c r="C15" s="592" t="n"/>
      <c r="D15" s="576" t="inlineStr">
        <is>
          <t>TOYOTA / Rush 1.5 MT / Station Wagon</t>
        </is>
      </c>
      <c r="E15" s="576" t="inlineStr">
        <is>
          <t>MHFE2CJ3JFK)9835</t>
        </is>
      </c>
      <c r="F15" s="36" t="inlineStr">
        <is>
          <t>1500 cc</t>
        </is>
      </c>
      <c r="G15" s="36" t="inlineStr">
        <is>
          <t>Besi</t>
        </is>
      </c>
      <c r="H15" s="36" t="n">
        <v>2015</v>
      </c>
      <c r="I15" s="36" t="inlineStr">
        <is>
          <t>02.03.01.02.003</t>
        </is>
      </c>
      <c r="J15" s="141" t="n">
        <v>1</v>
      </c>
      <c r="K15" s="141" t="inlineStr">
        <is>
          <t>0004</t>
        </is>
      </c>
      <c r="L15" s="142" t="n">
        <v>225990000</v>
      </c>
      <c r="M15" s="36" t="n"/>
      <c r="N15" s="9" t="n"/>
      <c r="O15" s="30" t="inlineStr">
        <is>
          <t>DA 783 AI / DA 16 A / DA 25 A</t>
        </is>
      </c>
      <c r="P15" s="7" t="n"/>
      <c r="Q15" s="30" t="inlineStr">
        <is>
          <t>Kepala Badan</t>
        </is>
      </c>
    </row>
    <row r="16" ht="31.5" customHeight="1" s="79">
      <c r="A16" s="7">
        <f>A15+1</f>
        <v/>
      </c>
      <c r="B16" s="576" t="inlineStr">
        <is>
          <t>Mini Bus (Penumpang 14 Orang ke bawah</t>
        </is>
      </c>
      <c r="C16" s="592" t="n"/>
      <c r="D16" s="576" t="inlineStr">
        <is>
          <t>Suzuki/                   Ertiga GX</t>
        </is>
      </c>
      <c r="E16" s="576" t="n"/>
      <c r="F16" s="36" t="inlineStr">
        <is>
          <t>1400 CC</t>
        </is>
      </c>
      <c r="G16" s="36" t="inlineStr">
        <is>
          <t>Besi</t>
        </is>
      </c>
      <c r="H16" s="36" t="n"/>
      <c r="I16" s="36" t="inlineStr">
        <is>
          <t>02.03.01.02.003</t>
        </is>
      </c>
      <c r="J16" s="141" t="n">
        <v>1</v>
      </c>
      <c r="K16" s="141" t="inlineStr">
        <is>
          <t>0005</t>
        </is>
      </c>
      <c r="L16" s="142" t="n">
        <v>199204400</v>
      </c>
      <c r="M16" s="9" t="n"/>
      <c r="N16" s="9" t="n"/>
      <c r="O16" s="9" t="inlineStr">
        <is>
          <t>DA 1250 IJ</t>
        </is>
      </c>
      <c r="P16" s="7" t="n"/>
      <c r="Q16" s="9" t="inlineStr">
        <is>
          <t>Sekretaris</t>
        </is>
      </c>
    </row>
    <row r="17" ht="47.25" customHeight="1" s="79">
      <c r="A17" s="7">
        <f>A16+1</f>
        <v/>
      </c>
      <c r="B17" s="573" t="inlineStr">
        <is>
          <t>Sepeda Motor</t>
        </is>
      </c>
      <c r="C17" s="592" t="n"/>
      <c r="D17" s="576" t="inlineStr">
        <is>
          <t>Honda Supra Fit / NF 100 L SLD</t>
        </is>
      </c>
      <c r="E17" s="147" t="inlineStr">
        <is>
          <t>MHIHB11164K30552</t>
        </is>
      </c>
      <c r="F17" s="36" t="n">
        <v>100</v>
      </c>
      <c r="G17" s="36" t="inlineStr">
        <is>
          <t>Besi</t>
        </is>
      </c>
      <c r="H17" s="36" t="n">
        <v>2004</v>
      </c>
      <c r="I17" s="36" t="inlineStr">
        <is>
          <t>02.03.01.05.001</t>
        </is>
      </c>
      <c r="J17" s="141" t="n">
        <v>1</v>
      </c>
      <c r="K17" s="141" t="inlineStr">
        <is>
          <t>0001</t>
        </is>
      </c>
      <c r="L17" s="142" t="n">
        <v>11500000</v>
      </c>
      <c r="M17" s="147" t="n"/>
      <c r="N17" s="36" t="n"/>
      <c r="O17" s="36" t="inlineStr">
        <is>
          <t>Da 2820 IZ</t>
        </is>
      </c>
      <c r="P17" s="36" t="inlineStr">
        <is>
          <t>Dihapu</t>
        </is>
      </c>
      <c r="Q17" s="36" t="inlineStr">
        <is>
          <t>Operasional</t>
        </is>
      </c>
    </row>
    <row r="18" ht="47.25" customHeight="1" s="79">
      <c r="A18" s="7">
        <f>A17+1</f>
        <v/>
      </c>
      <c r="B18" s="567" t="inlineStr">
        <is>
          <t>Sepeda Motor</t>
        </is>
      </c>
      <c r="C18" s="592" t="n"/>
      <c r="D18" s="30" t="inlineStr">
        <is>
          <t>Honda Supra Fit / NF 100 SLD</t>
        </is>
      </c>
      <c r="E18" s="31" t="inlineStr">
        <is>
          <t>MH1HB421X6K0994</t>
        </is>
      </c>
      <c r="F18" s="7" t="n">
        <v>100</v>
      </c>
      <c r="G18" s="9" t="inlineStr">
        <is>
          <t>Besi Platik</t>
        </is>
      </c>
      <c r="H18" s="7" t="n">
        <v>2006</v>
      </c>
      <c r="I18" s="9" t="inlineStr">
        <is>
          <t>02.03.01.05.001</t>
        </is>
      </c>
      <c r="J18" s="11" t="n">
        <v>1</v>
      </c>
      <c r="K18" s="11" t="inlineStr">
        <is>
          <t>0002</t>
        </is>
      </c>
      <c r="L18" s="19" t="n">
        <v>12750000</v>
      </c>
      <c r="M18" s="31" t="inlineStr">
        <is>
          <t>MH1HB421X6K0994</t>
        </is>
      </c>
      <c r="N18" s="9" t="n"/>
      <c r="O18" s="36" t="inlineStr">
        <is>
          <t>DA 2215 IZ</t>
        </is>
      </c>
      <c r="P18" s="36" t="inlineStr">
        <is>
          <t>Dihapus</t>
        </is>
      </c>
      <c r="Q18" s="36" t="inlineStr">
        <is>
          <t>Operasional</t>
        </is>
      </c>
    </row>
    <row r="19" ht="47.25" customHeight="1" s="79">
      <c r="A19" s="7">
        <f>A18+1</f>
        <v/>
      </c>
      <c r="B19" s="567" t="inlineStr">
        <is>
          <t>Sepeda Motor</t>
        </is>
      </c>
      <c r="C19" s="592" t="n"/>
      <c r="D19" s="31" t="inlineStr">
        <is>
          <t>Suzuku Smash / FK 110 SDK6</t>
        </is>
      </c>
      <c r="E19" s="31" t="inlineStr">
        <is>
          <t>MH8BE4DFA6J-1731</t>
        </is>
      </c>
      <c r="F19" s="7" t="n">
        <v>110</v>
      </c>
      <c r="G19" s="9" t="inlineStr">
        <is>
          <t>Besi Platik</t>
        </is>
      </c>
      <c r="H19" s="7" t="n">
        <v>2006</v>
      </c>
      <c r="I19" s="9" t="inlineStr">
        <is>
          <t>02.03.01.05.001</t>
        </is>
      </c>
      <c r="J19" s="11" t="n">
        <v>1</v>
      </c>
      <c r="K19" s="11" t="inlineStr">
        <is>
          <t>0003</t>
        </is>
      </c>
      <c r="L19" s="19" t="n">
        <v>11525000</v>
      </c>
      <c r="M19" s="31" t="inlineStr">
        <is>
          <t>MH8BE4DFA6J-1731</t>
        </is>
      </c>
      <c r="N19" s="9" t="n"/>
      <c r="O19" s="36" t="inlineStr">
        <is>
          <t>DA 4056 IZ</t>
        </is>
      </c>
      <c r="P19" s="36" t="inlineStr">
        <is>
          <t>Dihapus</t>
        </is>
      </c>
      <c r="Q19" s="36" t="inlineStr">
        <is>
          <t>Opearsional</t>
        </is>
      </c>
    </row>
    <row r="20" ht="33.75" customHeight="1" s="79">
      <c r="A20" s="7">
        <f>A19+1</f>
        <v/>
      </c>
      <c r="B20" s="567" t="inlineStr">
        <is>
          <t>Sepeda Motor</t>
        </is>
      </c>
      <c r="C20" s="592" t="n"/>
      <c r="D20" s="31" t="inlineStr">
        <is>
          <t>Honda 125 / NF 125 SD</t>
        </is>
      </c>
      <c r="E20" s="31" t="inlineStr">
        <is>
          <t>MH1JB51186K87086</t>
        </is>
      </c>
      <c r="F20" s="7" t="n">
        <v>125</v>
      </c>
      <c r="G20" s="9" t="inlineStr">
        <is>
          <t>Besi</t>
        </is>
      </c>
      <c r="H20" s="7" t="n">
        <v>2006</v>
      </c>
      <c r="I20" s="9" t="inlineStr">
        <is>
          <t>02.03.01.05.001</t>
        </is>
      </c>
      <c r="J20" s="11" t="n">
        <v>1</v>
      </c>
      <c r="K20" s="11" t="inlineStr">
        <is>
          <t>0004</t>
        </is>
      </c>
      <c r="L20" s="19" t="n">
        <v>29800000</v>
      </c>
      <c r="M20" s="31" t="inlineStr">
        <is>
          <t>MH1JB51186K87086</t>
        </is>
      </c>
      <c r="N20" s="9" t="n"/>
      <c r="O20" s="9" t="inlineStr">
        <is>
          <t>DA 2140 IZ</t>
        </is>
      </c>
      <c r="P20" s="7" t="n"/>
      <c r="Q20" s="30" t="inlineStr">
        <is>
          <t>Kasubbid Bina Ideologi</t>
        </is>
      </c>
    </row>
    <row r="21" ht="31.5" customHeight="1" s="79">
      <c r="A21" s="7">
        <f>A20+1</f>
        <v/>
      </c>
      <c r="B21" s="567" t="inlineStr">
        <is>
          <t>Sepeda Motor</t>
        </is>
      </c>
      <c r="C21" s="592" t="n"/>
      <c r="D21" s="31" t="inlineStr">
        <is>
          <t>Honda 125 / NF 125 SD</t>
        </is>
      </c>
      <c r="E21" s="31" t="inlineStr">
        <is>
          <t>MH1JB51186K87086</t>
        </is>
      </c>
      <c r="F21" s="7" t="n">
        <v>125</v>
      </c>
      <c r="G21" s="9" t="inlineStr">
        <is>
          <t>Besi</t>
        </is>
      </c>
      <c r="H21" s="7" t="n">
        <v>2006</v>
      </c>
      <c r="I21" s="9" t="inlineStr">
        <is>
          <t>02.03.01.05.001</t>
        </is>
      </c>
      <c r="J21" s="11" t="n">
        <v>1</v>
      </c>
      <c r="K21" s="11" t="inlineStr">
        <is>
          <t>0005</t>
        </is>
      </c>
      <c r="L21" s="19" t="n">
        <v>14900000</v>
      </c>
      <c r="M21" s="31" t="inlineStr">
        <is>
          <t>MH1JB51186K87086</t>
        </is>
      </c>
      <c r="N21" s="9" t="n"/>
      <c r="O21" s="9" t="inlineStr">
        <is>
          <t>DA 443 NF</t>
        </is>
      </c>
      <c r="P21" s="30" t="inlineStr">
        <is>
          <t>Sdh dilelang 2019</t>
        </is>
      </c>
      <c r="Q21" s="9" t="inlineStr">
        <is>
          <t>Tdk ada BPKB</t>
        </is>
      </c>
    </row>
    <row r="22" ht="47.25" customHeight="1" s="79">
      <c r="A22" s="7">
        <f>A21+1</f>
        <v/>
      </c>
      <c r="B22" s="573" t="inlineStr">
        <is>
          <t>Sepeda Motor</t>
        </is>
      </c>
      <c r="C22" s="592" t="n"/>
      <c r="D22" s="576" t="inlineStr">
        <is>
          <t>Suzuki New Smash / FK 110  SDKS</t>
        </is>
      </c>
      <c r="E22" s="576" t="inlineStr">
        <is>
          <t>MH8BE4DFA97J-716</t>
        </is>
      </c>
      <c r="F22" s="36" t="n">
        <v>110</v>
      </c>
      <c r="G22" s="36" t="inlineStr">
        <is>
          <t>Besi</t>
        </is>
      </c>
      <c r="H22" s="36" t="n">
        <v>2009</v>
      </c>
      <c r="I22" s="36" t="inlineStr">
        <is>
          <t>02.03.01.05.001</t>
        </is>
      </c>
      <c r="J22" s="141" t="n">
        <v>1</v>
      </c>
      <c r="K22" s="141" t="inlineStr">
        <is>
          <t>0007</t>
        </is>
      </c>
      <c r="L22" s="142" t="n">
        <v>11595000</v>
      </c>
      <c r="M22" s="576" t="n"/>
      <c r="N22" s="9" t="n"/>
      <c r="O22" s="9" t="inlineStr">
        <is>
          <t>DA 4437 VA</t>
        </is>
      </c>
      <c r="P22" s="7" t="n"/>
      <c r="Q22" s="30" t="inlineStr">
        <is>
          <t>Kepala Badan</t>
        </is>
      </c>
    </row>
    <row r="23" ht="47.25" customHeight="1" s="79">
      <c r="A23" s="7">
        <f>A22+1</f>
        <v/>
      </c>
      <c r="B23" s="573" t="inlineStr">
        <is>
          <t>Sepeda Motor</t>
        </is>
      </c>
      <c r="C23" s="592" t="n"/>
      <c r="D23" s="576" t="inlineStr">
        <is>
          <t>Suzuki TITAN/ FW 110 D</t>
        </is>
      </c>
      <c r="E23" s="576" t="inlineStr">
        <is>
          <t>MH8BE4DTABJ-1288</t>
        </is>
      </c>
      <c r="F23" s="36" t="inlineStr">
        <is>
          <t>113 CC</t>
        </is>
      </c>
      <c r="G23" s="36" t="inlineStr">
        <is>
          <t>Besi</t>
        </is>
      </c>
      <c r="H23" s="36" t="n">
        <v>2012</v>
      </c>
      <c r="I23" s="36" t="inlineStr">
        <is>
          <t>02.03.01.05.001</t>
        </is>
      </c>
      <c r="J23" s="141" t="n">
        <v>1</v>
      </c>
      <c r="K23" s="141" t="inlineStr">
        <is>
          <t>0008</t>
        </is>
      </c>
      <c r="L23" s="142" t="n">
        <v>11059000</v>
      </c>
      <c r="M23" s="576" t="n"/>
      <c r="N23" s="9" t="n"/>
      <c r="O23" s="9" t="inlineStr">
        <is>
          <t>DA 4201 IZ</t>
        </is>
      </c>
      <c r="P23" s="7" t="n"/>
      <c r="Q23" s="30" t="inlineStr">
        <is>
          <t>Kasubbid Wasbang</t>
        </is>
      </c>
    </row>
    <row r="24" ht="47.25" customHeight="1" s="79">
      <c r="A24" s="7">
        <f>A23+1</f>
        <v/>
      </c>
      <c r="B24" s="573" t="inlineStr">
        <is>
          <t>Sepeda Motor</t>
        </is>
      </c>
      <c r="C24" s="592" t="n"/>
      <c r="D24" s="576" t="inlineStr">
        <is>
          <t>Suzuki Axelo / FL 125 RCD1</t>
        </is>
      </c>
      <c r="E24" s="576" t="inlineStr">
        <is>
          <t>MH8BF45SADJ-1764</t>
        </is>
      </c>
      <c r="F24" s="36" t="inlineStr">
        <is>
          <t>125 CC</t>
        </is>
      </c>
      <c r="G24" s="36" t="inlineStr">
        <is>
          <t>Besi</t>
        </is>
      </c>
      <c r="H24" s="36" t="n">
        <v>2013</v>
      </c>
      <c r="I24" s="36" t="inlineStr">
        <is>
          <t>02.03.01.05.001</t>
        </is>
      </c>
      <c r="J24" s="141" t="n">
        <v>1</v>
      </c>
      <c r="K24" s="141" t="inlineStr">
        <is>
          <t>0009</t>
        </is>
      </c>
      <c r="L24" s="142" t="n">
        <v>15243360</v>
      </c>
      <c r="M24" s="31" t="n"/>
      <c r="N24" s="9" t="n"/>
      <c r="O24" s="9" t="inlineStr">
        <is>
          <t>DA 4895 IZ</t>
        </is>
      </c>
      <c r="P24" s="7" t="n"/>
      <c r="Q24" s="30" t="inlineStr">
        <is>
          <t>Kasubbid Penanganan Konflik</t>
        </is>
      </c>
    </row>
    <row r="25" ht="47.25" customHeight="1" s="79">
      <c r="A25" s="7">
        <f>A24+1</f>
        <v/>
      </c>
      <c r="B25" s="573" t="inlineStr">
        <is>
          <t>Sepeda Motor</t>
        </is>
      </c>
      <c r="C25" s="592" t="n"/>
      <c r="D25" s="576" t="inlineStr">
        <is>
          <t>Suzuki Axelo / FL 125 RCD1764</t>
        </is>
      </c>
      <c r="E25" s="576" t="inlineStr">
        <is>
          <t>MH8BF45SADJ-1</t>
        </is>
      </c>
      <c r="F25" s="36" t="inlineStr">
        <is>
          <t>125 CC</t>
        </is>
      </c>
      <c r="G25" s="36" t="inlineStr">
        <is>
          <t>Besi</t>
        </is>
      </c>
      <c r="H25" s="36" t="n">
        <v>2013</v>
      </c>
      <c r="I25" s="36" t="inlineStr">
        <is>
          <t>02.03.01.05.001</t>
        </is>
      </c>
      <c r="J25" s="141" t="n">
        <v>1</v>
      </c>
      <c r="K25" s="141" t="inlineStr">
        <is>
          <t>0010</t>
        </is>
      </c>
      <c r="L25" s="142" t="n">
        <v>15243360</v>
      </c>
      <c r="M25" s="31" t="n"/>
      <c r="N25" s="9" t="n"/>
      <c r="O25" s="9" t="inlineStr">
        <is>
          <t>DA 4896 IZ</t>
        </is>
      </c>
      <c r="P25" s="7" t="n"/>
      <c r="Q25" s="30" t="inlineStr">
        <is>
          <t>Kabid Hansenibud</t>
        </is>
      </c>
    </row>
    <row r="26" ht="47.25" customHeight="1" s="79">
      <c r="A26" s="7">
        <f>A25+1</f>
        <v/>
      </c>
      <c r="B26" s="573" t="inlineStr">
        <is>
          <t>Sepeda Motor</t>
        </is>
      </c>
      <c r="C26" s="592" t="n"/>
      <c r="D26" s="576" t="inlineStr">
        <is>
          <t>Honda Blade / AFP12W21C08</t>
        </is>
      </c>
      <c r="E26" s="576" t="inlineStr">
        <is>
          <t>MH1JBM117FK08134</t>
        </is>
      </c>
      <c r="F26" s="36" t="inlineStr">
        <is>
          <t>125 CC</t>
        </is>
      </c>
      <c r="G26" s="36" t="inlineStr">
        <is>
          <t>Besi</t>
        </is>
      </c>
      <c r="H26" s="36" t="n">
        <v>2015</v>
      </c>
      <c r="I26" s="36" t="inlineStr">
        <is>
          <t>02.03.01.05.001</t>
        </is>
      </c>
      <c r="J26" s="141" t="n">
        <v>1</v>
      </c>
      <c r="K26" s="141" t="inlineStr">
        <is>
          <t>0011</t>
        </is>
      </c>
      <c r="L26" s="142" t="n">
        <v>16267961</v>
      </c>
      <c r="M26" s="31" t="n"/>
      <c r="N26" s="9" t="n"/>
      <c r="O26" s="9" t="inlineStr">
        <is>
          <t>DA 2123 NZ</t>
        </is>
      </c>
      <c r="P26" s="7" t="n"/>
      <c r="Q26" s="42" t="inlineStr">
        <is>
          <t>Kasubbid Agama Ekantyasrini</t>
        </is>
      </c>
    </row>
    <row r="27">
      <c r="A27" s="73" t="n"/>
      <c r="B27" s="74" t="n"/>
      <c r="C27" s="74" t="n"/>
      <c r="D27" s="98" t="n"/>
      <c r="E27" s="98" t="n"/>
      <c r="F27" s="77" t="n"/>
      <c r="G27" s="77" t="n"/>
      <c r="H27" s="73" t="n"/>
      <c r="I27" s="77" t="n"/>
      <c r="J27" s="78" t="n"/>
      <c r="K27" s="78" t="n"/>
      <c r="L27" s="99" t="n"/>
      <c r="M27" s="98" t="n"/>
      <c r="N27" s="77" t="n"/>
      <c r="O27" s="77" t="n"/>
      <c r="P27" s="73" t="n"/>
      <c r="Q27" s="76" t="n"/>
    </row>
    <row r="28">
      <c r="A28" s="221" t="n"/>
      <c r="B28" s="67" t="n"/>
      <c r="C28" s="67" t="n"/>
      <c r="D28" s="100" t="n"/>
      <c r="E28" s="100" t="n"/>
      <c r="F28" s="222" t="n"/>
      <c r="G28" s="222" t="n"/>
      <c r="H28" s="221" t="n"/>
      <c r="I28" s="222" t="n"/>
      <c r="J28" s="71" t="n"/>
      <c r="K28" s="71" t="n"/>
      <c r="L28" s="101" t="n"/>
      <c r="M28" s="100" t="n"/>
      <c r="N28" s="222" t="n"/>
      <c r="O28" s="222" t="n"/>
      <c r="P28" s="221" t="n"/>
      <c r="Q28" s="80" t="n"/>
    </row>
    <row r="29">
      <c r="A29" s="221" t="n"/>
      <c r="B29" s="67" t="n"/>
      <c r="C29" s="67" t="n"/>
      <c r="D29" s="100" t="n"/>
      <c r="E29" s="100" t="n"/>
      <c r="F29" s="222" t="n"/>
      <c r="G29" s="222" t="n"/>
      <c r="H29" s="221" t="n"/>
      <c r="I29" s="222" t="n"/>
      <c r="J29" s="71" t="n"/>
      <c r="K29" s="71" t="n"/>
      <c r="L29" s="101" t="n"/>
      <c r="M29" s="100" t="n"/>
      <c r="N29" s="222" t="n"/>
      <c r="O29" s="222" t="n"/>
      <c r="P29" s="221" t="n"/>
      <c r="Q29" s="80" t="n"/>
    </row>
    <row r="30">
      <c r="A30" s="221" t="n"/>
      <c r="B30" s="67" t="n"/>
      <c r="C30" s="67" t="n"/>
      <c r="D30" s="100" t="n"/>
      <c r="E30" s="100" t="n"/>
      <c r="F30" s="222" t="n"/>
      <c r="G30" s="222" t="n"/>
      <c r="H30" s="221" t="n"/>
      <c r="I30" s="222" t="n"/>
      <c r="J30" s="71" t="n"/>
      <c r="K30" s="71" t="n"/>
      <c r="L30" s="101" t="n"/>
      <c r="M30" s="100" t="n"/>
      <c r="N30" s="222" t="n"/>
      <c r="O30" s="222" t="n"/>
      <c r="P30" s="221" t="n"/>
      <c r="Q30" s="80" t="n"/>
    </row>
    <row r="31">
      <c r="A31" s="221" t="n"/>
      <c r="B31" s="67" t="n"/>
      <c r="C31" s="67" t="n"/>
      <c r="D31" s="100" t="n"/>
      <c r="E31" s="100" t="n"/>
      <c r="F31" s="222" t="n"/>
      <c r="G31" s="222" t="n"/>
      <c r="H31" s="221" t="n"/>
      <c r="I31" s="222" t="n"/>
      <c r="J31" s="71" t="n"/>
      <c r="K31" s="71" t="n"/>
      <c r="L31" s="101" t="n"/>
      <c r="M31" s="100" t="n"/>
      <c r="N31" s="222" t="n"/>
      <c r="O31" s="222" t="n"/>
      <c r="P31" s="221" t="n"/>
      <c r="Q31" s="80" t="n"/>
    </row>
    <row r="32">
      <c r="A32" s="221" t="n"/>
      <c r="B32" s="67" t="n"/>
      <c r="C32" s="67" t="n"/>
      <c r="D32" s="100" t="n"/>
      <c r="E32" s="100" t="n"/>
      <c r="F32" s="222" t="n"/>
      <c r="G32" s="222" t="n"/>
      <c r="H32" s="221" t="n"/>
      <c r="I32" s="222" t="n"/>
      <c r="J32" s="71" t="n"/>
      <c r="K32" s="71" t="n"/>
      <c r="L32" s="101" t="n"/>
      <c r="M32" s="100" t="n"/>
      <c r="N32" s="222" t="n"/>
      <c r="O32" s="222" t="n"/>
      <c r="P32" s="221" t="n"/>
      <c r="Q32" s="80" t="n"/>
    </row>
    <row r="33">
      <c r="A33" s="221" t="n"/>
      <c r="B33" s="67" t="n"/>
      <c r="C33" s="67" t="n"/>
      <c r="D33" s="100" t="n"/>
      <c r="E33" s="100" t="n"/>
      <c r="F33" s="222" t="n"/>
      <c r="G33" s="222" t="n"/>
      <c r="H33" s="221" t="n"/>
      <c r="I33" s="222" t="n"/>
      <c r="J33" s="71" t="n"/>
      <c r="K33" s="71" t="n"/>
      <c r="L33" s="101" t="n"/>
      <c r="M33" s="100" t="n"/>
      <c r="N33" s="222" t="n"/>
      <c r="O33" s="222" t="n"/>
      <c r="P33" s="221" t="n"/>
      <c r="Q33" s="80" t="n"/>
    </row>
    <row r="34">
      <c r="A34" s="221" t="n"/>
      <c r="B34" s="67" t="n"/>
      <c r="C34" s="67" t="n"/>
      <c r="D34" s="100" t="n"/>
      <c r="E34" s="100" t="n"/>
      <c r="F34" s="222" t="n"/>
      <c r="G34" s="222" t="n"/>
      <c r="H34" s="221" t="n"/>
      <c r="I34" s="222" t="n"/>
      <c r="J34" s="71" t="n"/>
      <c r="K34" s="71" t="n"/>
      <c r="L34" s="101" t="n"/>
      <c r="M34" s="100" t="n"/>
      <c r="N34" s="222" t="n"/>
      <c r="O34" s="222" t="n"/>
      <c r="P34" s="221" t="n"/>
      <c r="Q34" s="80" t="n"/>
    </row>
    <row r="35">
      <c r="A35" s="221" t="n"/>
      <c r="B35" s="67" t="n"/>
      <c r="C35" s="67" t="n"/>
      <c r="D35" s="100" t="n"/>
      <c r="E35" s="100" t="n"/>
      <c r="F35" s="222" t="n"/>
      <c r="G35" s="222" t="n"/>
      <c r="H35" s="221" t="n"/>
      <c r="I35" s="222" t="n"/>
      <c r="J35" s="71" t="n"/>
      <c r="K35" s="71" t="n"/>
      <c r="L35" s="101" t="n"/>
      <c r="M35" s="100" t="n"/>
      <c r="N35" s="222" t="n"/>
      <c r="O35" s="222" t="n"/>
      <c r="P35" s="221" t="n"/>
      <c r="Q35" s="80" t="n"/>
    </row>
    <row r="36">
      <c r="A36" s="538" t="inlineStr">
        <is>
          <t>No.</t>
        </is>
      </c>
      <c r="B36" s="538" t="inlineStr">
        <is>
          <t>Nama Barang</t>
        </is>
      </c>
      <c r="C36" s="589" t="n"/>
      <c r="D36" s="538" t="inlineStr">
        <is>
          <t>Merk/</t>
        </is>
      </c>
      <c r="E36" s="538" t="inlineStr">
        <is>
          <t>Merk/</t>
        </is>
      </c>
      <c r="F36" s="655" t="inlineStr">
        <is>
          <t>Ukuran</t>
        </is>
      </c>
      <c r="G36" s="655" t="inlineStr">
        <is>
          <t>Bahan</t>
        </is>
      </c>
      <c r="H36" s="538" t="inlineStr">
        <is>
          <t xml:space="preserve">Tahun </t>
        </is>
      </c>
      <c r="I36" s="538" t="n"/>
      <c r="J36" s="538" t="inlineStr">
        <is>
          <t xml:space="preserve">Jumlah </t>
        </is>
      </c>
      <c r="K36" s="589" t="n"/>
      <c r="L36" s="538" t="inlineStr">
        <is>
          <t xml:space="preserve">Harga </t>
        </is>
      </c>
      <c r="M36" s="544" t="inlineStr">
        <is>
          <t>Nomor</t>
        </is>
      </c>
      <c r="N36" s="591" t="n"/>
      <c r="O36" s="591" t="n"/>
      <c r="P36" s="591" t="n"/>
      <c r="Q36" s="592" t="n"/>
    </row>
    <row r="37">
      <c r="A37" s="543" t="inlineStr">
        <is>
          <t>Urut</t>
        </is>
      </c>
      <c r="B37" s="543" t="inlineStr">
        <is>
          <t>Jenis Barang</t>
        </is>
      </c>
      <c r="C37" s="593" t="n"/>
      <c r="D37" s="543" t="inlineStr">
        <is>
          <t>Model</t>
        </is>
      </c>
      <c r="E37" s="543" t="inlineStr">
        <is>
          <t>Type</t>
        </is>
      </c>
      <c r="F37" s="594" t="n"/>
      <c r="G37" s="594" t="n"/>
      <c r="H37" s="104" t="inlineStr">
        <is>
          <t>Pembuatan</t>
        </is>
      </c>
      <c r="I37" s="104" t="inlineStr">
        <is>
          <t xml:space="preserve">No/. Kode Barang </t>
        </is>
      </c>
      <c r="J37" s="104" t="inlineStr">
        <is>
          <t>Banyaknya</t>
        </is>
      </c>
      <c r="K37" s="104" t="inlineStr">
        <is>
          <t>Nomor</t>
        </is>
      </c>
      <c r="L37" s="104" t="inlineStr">
        <is>
          <t>Beli/</t>
        </is>
      </c>
      <c r="M37" s="655" t="inlineStr">
        <is>
          <t>Rangka</t>
        </is>
      </c>
      <c r="N37" s="655" t="inlineStr">
        <is>
          <t>Mesin</t>
        </is>
      </c>
      <c r="O37" s="655" t="inlineStr">
        <is>
          <t>Polisi</t>
        </is>
      </c>
      <c r="P37" s="655" t="inlineStr">
        <is>
          <t>BPKB</t>
        </is>
      </c>
      <c r="Q37" s="655" t="inlineStr">
        <is>
          <t>Pemegang</t>
        </is>
      </c>
    </row>
    <row r="38">
      <c r="A38" s="595" t="n"/>
      <c r="B38" s="596" t="n"/>
      <c r="C38" s="597" t="n"/>
      <c r="D38" s="595" t="n"/>
      <c r="E38" s="595" t="n"/>
      <c r="F38" s="595" t="n"/>
      <c r="G38" s="595" t="n"/>
      <c r="H38" s="105" t="inlineStr">
        <is>
          <t>Atau Pembelian</t>
        </is>
      </c>
      <c r="I38" s="105" t="n"/>
      <c r="J38" s="105" t="inlineStr">
        <is>
          <t>Barang</t>
        </is>
      </c>
      <c r="K38" s="105" t="inlineStr">
        <is>
          <t>Register x)</t>
        </is>
      </c>
      <c r="L38" s="105" t="inlineStr">
        <is>
          <t>Perolehan</t>
        </is>
      </c>
      <c r="M38" s="595" t="n"/>
      <c r="N38" s="595" t="n"/>
      <c r="O38" s="595" t="n"/>
      <c r="P38" s="595" t="n"/>
      <c r="Q38" s="595" t="n"/>
    </row>
    <row r="39">
      <c r="A39" s="47" t="n">
        <v>1</v>
      </c>
      <c r="B39" s="122" t="n">
        <v>2</v>
      </c>
      <c r="C39" s="589" t="n"/>
      <c r="D39" s="539" t="n">
        <v>3</v>
      </c>
      <c r="E39" s="539" t="n">
        <v>4</v>
      </c>
      <c r="F39" s="542" t="n">
        <v>5</v>
      </c>
      <c r="G39" s="542" t="n">
        <v>6</v>
      </c>
      <c r="H39" s="104" t="n">
        <v>7</v>
      </c>
      <c r="I39" s="104" t="n">
        <v>8</v>
      </c>
      <c r="J39" s="104" t="n">
        <v>9</v>
      </c>
      <c r="K39" s="104" t="n">
        <v>10</v>
      </c>
      <c r="L39" s="104" t="n">
        <v>11</v>
      </c>
      <c r="M39" s="104" t="n">
        <v>12</v>
      </c>
      <c r="N39" s="104" t="n">
        <v>13</v>
      </c>
      <c r="O39" s="104" t="n">
        <v>14</v>
      </c>
      <c r="P39" s="104" t="n">
        <v>15</v>
      </c>
      <c r="Q39" s="104" t="n">
        <v>16</v>
      </c>
    </row>
    <row r="40" ht="47.25" customHeight="1" s="79">
      <c r="A40" s="7">
        <f>A26+1</f>
        <v/>
      </c>
      <c r="B40" s="573" t="inlineStr">
        <is>
          <t>Sepeda Motor</t>
        </is>
      </c>
      <c r="C40" s="592" t="n"/>
      <c r="D40" s="576" t="inlineStr">
        <is>
          <t>Honda Blade / AFP12W21C08</t>
        </is>
      </c>
      <c r="E40" s="576" t="inlineStr">
        <is>
          <t>NH1JBM11XFK08132</t>
        </is>
      </c>
      <c r="F40" s="36" t="inlineStr">
        <is>
          <t>125 CC</t>
        </is>
      </c>
      <c r="G40" s="36" t="inlineStr">
        <is>
          <t>Besi</t>
        </is>
      </c>
      <c r="H40" s="36" t="n"/>
      <c r="I40" s="36" t="inlineStr">
        <is>
          <t>02.03.01.05.001</t>
        </is>
      </c>
      <c r="J40" s="141" t="n">
        <v>1</v>
      </c>
      <c r="K40" s="141" t="inlineStr">
        <is>
          <t>0012</t>
        </is>
      </c>
      <c r="L40" s="142">
        <f>65071844/4</f>
        <v/>
      </c>
      <c r="M40" s="31" t="n"/>
      <c r="N40" s="9" t="n"/>
      <c r="O40" s="9" t="inlineStr">
        <is>
          <t>DA 2124 NZ</t>
        </is>
      </c>
      <c r="P40" s="7" t="n"/>
      <c r="Q40" s="9" t="inlineStr">
        <is>
          <t>Kabid Politik</t>
        </is>
      </c>
    </row>
    <row r="41" ht="63" customHeight="1" s="79">
      <c r="A41" s="7">
        <f>A40+1</f>
        <v/>
      </c>
      <c r="B41" s="573" t="inlineStr">
        <is>
          <t>Sepeda Motor</t>
        </is>
      </c>
      <c r="C41" s="592" t="n"/>
      <c r="D41" s="576" t="inlineStr">
        <is>
          <t>Honda Blade / AFP12W21C08</t>
        </is>
      </c>
      <c r="E41" s="576" t="inlineStr">
        <is>
          <t>NH1JBM115FK08130</t>
        </is>
      </c>
      <c r="F41" s="36" t="inlineStr">
        <is>
          <t>125 CC</t>
        </is>
      </c>
      <c r="G41" s="36" t="inlineStr">
        <is>
          <t>Besi</t>
        </is>
      </c>
      <c r="H41" s="36" t="n"/>
      <c r="I41" s="36" t="inlineStr">
        <is>
          <t>02.03.01.05.001</t>
        </is>
      </c>
      <c r="J41" s="141" t="n">
        <v>1</v>
      </c>
      <c r="K41" s="141" t="inlineStr">
        <is>
          <t>0013</t>
        </is>
      </c>
      <c r="L41" s="142">
        <f>65071844/4</f>
        <v/>
      </c>
      <c r="M41" s="31" t="n"/>
      <c r="N41" s="9" t="n"/>
      <c r="O41" s="9" t="inlineStr">
        <is>
          <t>DA 2125 NZ</t>
        </is>
      </c>
      <c r="P41" s="7" t="n"/>
      <c r="Q41" s="30" t="inlineStr">
        <is>
          <t>Kasubbid Was Dini, Pora &amp; Lemb Asing</t>
        </is>
      </c>
    </row>
    <row r="42" ht="79.5" customHeight="1" s="79">
      <c r="A42" s="7">
        <f>A41+1</f>
        <v/>
      </c>
      <c r="B42" s="573" t="inlineStr">
        <is>
          <t>Sepeda Motor</t>
        </is>
      </c>
      <c r="C42" s="592" t="n"/>
      <c r="D42" s="576" t="inlineStr">
        <is>
          <t>Honda Blade / AFP12W21C08</t>
        </is>
      </c>
      <c r="E42" s="576" t="inlineStr">
        <is>
          <t>MH1JBM115FK08136</t>
        </is>
      </c>
      <c r="F42" s="36" t="inlineStr">
        <is>
          <t>125 CC</t>
        </is>
      </c>
      <c r="G42" s="36" t="inlineStr">
        <is>
          <t>Besi</t>
        </is>
      </c>
      <c r="H42" s="36" t="n"/>
      <c r="I42" s="36" t="inlineStr">
        <is>
          <t>02.03.01.05.001</t>
        </is>
      </c>
      <c r="J42" s="141" t="n">
        <v>1</v>
      </c>
      <c r="K42" s="141" t="inlineStr">
        <is>
          <t>0014</t>
        </is>
      </c>
      <c r="L42" s="142">
        <f>65071844/4</f>
        <v/>
      </c>
      <c r="M42" s="31" t="n"/>
      <c r="N42" s="9" t="n"/>
      <c r="O42" s="9" t="inlineStr">
        <is>
          <t>Da 2126 NZ</t>
        </is>
      </c>
      <c r="P42" s="7" t="n"/>
      <c r="Q42" s="30" t="inlineStr">
        <is>
          <t>Kasubbid Imple Kebijakan &amp; Pendidikan Politik</t>
        </is>
      </c>
    </row>
    <row r="43" ht="47.25" customHeight="1" s="79">
      <c r="A43" s="7">
        <f>A42+1</f>
        <v/>
      </c>
      <c r="B43" s="573" t="inlineStr">
        <is>
          <t>Sepeda Motor</t>
        </is>
      </c>
      <c r="C43" s="592" t="n"/>
      <c r="D43" s="576" t="inlineStr">
        <is>
          <t>Honda Supra X 125/ FI CW</t>
        </is>
      </c>
      <c r="E43" s="576" t="inlineStr">
        <is>
          <t>MH1JBP111GK40324</t>
        </is>
      </c>
      <c r="F43" s="36" t="inlineStr">
        <is>
          <t>125 CC</t>
        </is>
      </c>
      <c r="G43" s="36" t="inlineStr">
        <is>
          <t>Besi</t>
        </is>
      </c>
      <c r="H43" s="36" t="n"/>
      <c r="I43" s="36" t="inlineStr">
        <is>
          <t>02.03.01.05.001</t>
        </is>
      </c>
      <c r="J43" s="141" t="n">
        <v>1</v>
      </c>
      <c r="K43" s="141" t="inlineStr">
        <is>
          <t>0016</t>
        </is>
      </c>
      <c r="L43" s="142" t="n">
        <v>17268812</v>
      </c>
      <c r="M43" s="31" t="n"/>
      <c r="N43" s="9" t="n"/>
      <c r="O43" s="9" t="inlineStr">
        <is>
          <t>DA 2211 NZ</t>
        </is>
      </c>
      <c r="P43" s="7" t="n"/>
      <c r="Q43" s="30" t="inlineStr">
        <is>
          <t>Kasubbag Keuangan</t>
        </is>
      </c>
    </row>
    <row r="44" ht="47.25" customHeight="1" s="79">
      <c r="A44" s="7">
        <f>A43+1</f>
        <v/>
      </c>
      <c r="B44" s="573" t="inlineStr">
        <is>
          <t>Sepeda Motor</t>
        </is>
      </c>
      <c r="C44" s="592" t="n"/>
      <c r="D44" s="576" t="inlineStr">
        <is>
          <t>Honda Supra X 125/ FI CW</t>
        </is>
      </c>
      <c r="E44" s="576" t="inlineStr">
        <is>
          <t>MH1JBP111GK39617</t>
        </is>
      </c>
      <c r="F44" s="36" t="inlineStr">
        <is>
          <t>125 CC</t>
        </is>
      </c>
      <c r="G44" s="36" t="inlineStr">
        <is>
          <t>Besi</t>
        </is>
      </c>
      <c r="H44" s="36" t="n"/>
      <c r="I44" s="36" t="inlineStr">
        <is>
          <t>02.03.01.05.001</t>
        </is>
      </c>
      <c r="J44" s="141" t="n">
        <v>1</v>
      </c>
      <c r="K44" s="141" t="inlineStr">
        <is>
          <t>0016</t>
        </is>
      </c>
      <c r="L44" s="142" t="n">
        <v>17268812</v>
      </c>
      <c r="M44" s="31" t="n"/>
      <c r="N44" s="9" t="n"/>
      <c r="O44" s="9" t="inlineStr">
        <is>
          <t>DA 2212 NZ</t>
        </is>
      </c>
      <c r="P44" s="7" t="n"/>
      <c r="Q44" s="30" t="inlineStr">
        <is>
          <t>Kabid Bina Ideologi &amp; Wasbang</t>
        </is>
      </c>
    </row>
    <row r="45">
      <c r="O45" s="29" t="n"/>
    </row>
    <row r="46">
      <c r="C46" s="5" t="inlineStr">
        <is>
          <t>Mengetahui :</t>
        </is>
      </c>
      <c r="M46" s="23" t="inlineStr">
        <is>
          <t>Banjarmasin,        Juli 2021</t>
        </is>
      </c>
      <c r="N46" s="23" t="n"/>
      <c r="O46" s="23" t="n"/>
    </row>
    <row r="47">
      <c r="C47" s="5" t="n"/>
      <c r="M47" s="5" t="n"/>
      <c r="N47" s="5" t="n"/>
      <c r="O47" s="5" t="n"/>
    </row>
    <row r="48">
      <c r="C48" s="5" t="inlineStr">
        <is>
          <t>Kepala Bakesbangpol Kota Banjarmasin,</t>
        </is>
      </c>
      <c r="M48" s="5" t="inlineStr">
        <is>
          <t>Pengurus Barang,</t>
        </is>
      </c>
      <c r="N48" s="5" t="n"/>
      <c r="O48" s="5" t="n"/>
    </row>
    <row r="49">
      <c r="C49" s="5" t="n"/>
      <c r="M49" s="5" t="n"/>
      <c r="N49" s="5" t="n"/>
      <c r="O49" s="5" t="n"/>
    </row>
    <row r="50">
      <c r="C50" s="5" t="n"/>
      <c r="M50" s="5" t="n"/>
      <c r="N50" s="5" t="n"/>
      <c r="O50" s="5" t="n"/>
    </row>
    <row r="51">
      <c r="C51" s="5" t="n"/>
      <c r="M51" s="5" t="n"/>
      <c r="N51" s="5" t="n"/>
      <c r="O51" s="5" t="n"/>
    </row>
    <row r="52">
      <c r="C52" s="6" t="inlineStr">
        <is>
          <t>Dr. H. LUKMAN FADLUN, SH, MH</t>
        </is>
      </c>
      <c r="M52" s="6" t="inlineStr">
        <is>
          <t>TRISNAWATI M ULYO HAPSARI, SE</t>
        </is>
      </c>
      <c r="N52" s="6" t="n"/>
      <c r="O52" s="6" t="n"/>
    </row>
    <row r="53">
      <c r="C53" s="5" t="inlineStr">
        <is>
          <t>Pembina Utama Muda</t>
        </is>
      </c>
      <c r="M53" s="23">
        <f>KENDARAAN!M53</f>
        <v/>
      </c>
      <c r="N53" s="23" t="n"/>
      <c r="O53" s="23" t="n"/>
    </row>
    <row r="54">
      <c r="C54" s="23" t="inlineStr">
        <is>
          <t>NIP. 19691013 200003 1 004</t>
        </is>
      </c>
    </row>
    <row r="55">
      <c r="L55" s="24" t="n"/>
    </row>
    <row r="56">
      <c r="B56" s="21" t="n"/>
      <c r="L56" s="25" t="n"/>
    </row>
    <row r="57">
      <c r="B57" s="22" t="n"/>
    </row>
    <row r="58">
      <c r="B58" s="22" t="n"/>
    </row>
  </sheetData>
  <mergeCells count="54">
    <mergeCell ref="P10:P11"/>
    <mergeCell ref="B16:C16"/>
    <mergeCell ref="B25:C25"/>
    <mergeCell ref="B37:C38"/>
    <mergeCell ref="B10:C11"/>
    <mergeCell ref="B22:C22"/>
    <mergeCell ref="M9:Q9"/>
    <mergeCell ref="B18:C18"/>
    <mergeCell ref="E10:E11"/>
    <mergeCell ref="N37:N38"/>
    <mergeCell ref="A6:B6"/>
    <mergeCell ref="M10:M11"/>
    <mergeCell ref="B12:C12"/>
    <mergeCell ref="B39:C39"/>
    <mergeCell ref="J9:K9"/>
    <mergeCell ref="F9:F11"/>
    <mergeCell ref="Q10:Q11"/>
    <mergeCell ref="B21:C21"/>
    <mergeCell ref="G9:G11"/>
    <mergeCell ref="B43:C43"/>
    <mergeCell ref="B42:C42"/>
    <mergeCell ref="B23:C23"/>
    <mergeCell ref="A37:A38"/>
    <mergeCell ref="B14:C14"/>
    <mergeCell ref="B17:C17"/>
    <mergeCell ref="J36:K36"/>
    <mergeCell ref="A3:B3"/>
    <mergeCell ref="M37:M38"/>
    <mergeCell ref="G36:G38"/>
    <mergeCell ref="B13:C13"/>
    <mergeCell ref="N10:N11"/>
    <mergeCell ref="B44:C44"/>
    <mergeCell ref="B19:C19"/>
    <mergeCell ref="A5:B5"/>
    <mergeCell ref="D37:D38"/>
    <mergeCell ref="M36:Q36"/>
    <mergeCell ref="B40:C40"/>
    <mergeCell ref="A10:A11"/>
    <mergeCell ref="B9:C9"/>
    <mergeCell ref="P37:P38"/>
    <mergeCell ref="I10:I11"/>
    <mergeCell ref="A4:B4"/>
    <mergeCell ref="F36:F38"/>
    <mergeCell ref="B24:C24"/>
    <mergeCell ref="O10:O11"/>
    <mergeCell ref="D10:D11"/>
    <mergeCell ref="B15:C15"/>
    <mergeCell ref="B20:C20"/>
    <mergeCell ref="B36:C36"/>
    <mergeCell ref="E37:E38"/>
    <mergeCell ref="B26:C26"/>
    <mergeCell ref="B41:C41"/>
    <mergeCell ref="O37:O38"/>
    <mergeCell ref="Q37:Q38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4"/>
  <sheetViews>
    <sheetView view="pageBreakPreview" topLeftCell="A13" zoomScaleNormal="55" workbookViewId="0">
      <selection activeCell="L24" sqref="L24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t="inlineStr">
        <is>
          <t>Badan Kesatuan Bangsa dan Politik Kota Banjarmasin</t>
        </is>
      </c>
      <c r="G5" s="1" t="n"/>
      <c r="H5" s="29" t="n"/>
    </row>
    <row r="6" ht="18.75" customHeight="1" s="79">
      <c r="A6" s="545" t="inlineStr">
        <is>
          <t>Ruangan</t>
        </is>
      </c>
      <c r="C6" s="108" t="inlineStr">
        <is>
          <t>BARANG YANG MASIH HARUS DICARI</t>
        </is>
      </c>
      <c r="G6" s="1" t="n"/>
    </row>
    <row r="7">
      <c r="A7" s="108" t="n"/>
      <c r="B7" s="108" t="n"/>
    </row>
    <row r="8">
      <c r="A8" s="108" t="inlineStr">
        <is>
          <t xml:space="preserve">NO.KODE LOKASI : </t>
        </is>
      </c>
      <c r="B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</row>
    <row r="10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</row>
    <row r="12">
      <c r="A12" s="47" t="n">
        <v>1</v>
      </c>
      <c r="B12" s="47" t="n">
        <v>2</v>
      </c>
      <c r="C12" s="592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</row>
    <row r="13" ht="47.25" customHeight="1" s="79">
      <c r="A13" s="47" t="n">
        <v>1</v>
      </c>
      <c r="B13" s="31" t="inlineStr">
        <is>
          <t>Mesin Ketik Manual Standar (14-16)</t>
        </is>
      </c>
      <c r="C13" s="592" t="n"/>
      <c r="D13" s="121" t="inlineStr">
        <is>
          <t>Deluxe / Deluxe M200</t>
        </is>
      </c>
      <c r="E13" s="32" t="n"/>
      <c r="F13" s="32" t="n"/>
      <c r="G13" s="9" t="inlineStr">
        <is>
          <t>Besi</t>
        </is>
      </c>
      <c r="H13" s="9" t="n">
        <v>2009</v>
      </c>
      <c r="I13" s="9" t="inlineStr">
        <is>
          <t>02.06.01.01.002</t>
        </is>
      </c>
      <c r="J13" s="44" t="inlineStr">
        <is>
          <t>0001</t>
        </is>
      </c>
      <c r="K13" s="20" t="n">
        <v>850000</v>
      </c>
      <c r="L13" s="9" t="inlineStr">
        <is>
          <t>Baik</t>
        </is>
      </c>
      <c r="M13" s="32" t="n"/>
      <c r="N13" s="32" t="n"/>
      <c r="O13" s="32" t="n"/>
    </row>
    <row r="14" ht="31.5" customHeight="1" s="79">
      <c r="A14" s="47">
        <f>A13+1</f>
        <v/>
      </c>
      <c r="B14" s="31" t="inlineStr">
        <is>
          <t>Mesin Ketik Manual Standar (14-16)</t>
        </is>
      </c>
      <c r="C14" s="592" t="n"/>
      <c r="D14" s="121" t="inlineStr">
        <is>
          <t xml:space="preserve">ROYAL / Express </t>
        </is>
      </c>
      <c r="E14" s="32" t="n"/>
      <c r="F14" s="9" t="inlineStr">
        <is>
          <t>13 inchi</t>
        </is>
      </c>
      <c r="G14" s="9" t="inlineStr">
        <is>
          <t>Besi</t>
        </is>
      </c>
      <c r="H14" s="9" t="n">
        <v>2013</v>
      </c>
      <c r="I14" s="9" t="inlineStr">
        <is>
          <t>02.06.01.01.002</t>
        </is>
      </c>
      <c r="J14" s="44" t="inlineStr">
        <is>
          <t>0004</t>
        </is>
      </c>
      <c r="K14" s="20" t="n">
        <v>1800000</v>
      </c>
      <c r="L14" s="9" t="inlineStr">
        <is>
          <t>Baik</t>
        </is>
      </c>
      <c r="M14" s="32" t="n"/>
      <c r="N14" s="32" t="n"/>
      <c r="O14" s="32" t="n"/>
    </row>
    <row r="15" ht="63" customHeight="1" s="79">
      <c r="A15" s="47">
        <f>A14+1</f>
        <v/>
      </c>
      <c r="B15" s="31" t="inlineStr">
        <is>
          <t>Alat Penghancur Kertas</t>
        </is>
      </c>
      <c r="C15" s="592" t="n"/>
      <c r="D15" s="121" t="inlineStr">
        <is>
          <t>KRISBOW / 5340 PAPPER SHREDDER</t>
        </is>
      </c>
      <c r="E15" s="32" t="n"/>
      <c r="F15" s="9" t="n"/>
      <c r="G15" s="9" t="inlineStr">
        <is>
          <t>Besi</t>
        </is>
      </c>
      <c r="H15" s="9" t="n">
        <v>2019</v>
      </c>
      <c r="I15" s="9" t="inlineStr">
        <is>
          <t>02.06.01.05.005</t>
        </is>
      </c>
      <c r="J15" s="44" t="inlineStr">
        <is>
          <t>0001</t>
        </is>
      </c>
      <c r="K15" s="20" t="n">
        <v>1800000</v>
      </c>
      <c r="L15" s="9" t="inlineStr">
        <is>
          <t>Baik</t>
        </is>
      </c>
      <c r="M15" s="32" t="n"/>
      <c r="N15" s="32" t="n"/>
      <c r="O15" s="32" t="n"/>
    </row>
    <row r="16" ht="48" customHeight="1" s="79">
      <c r="A16" s="47">
        <f>A15+1</f>
        <v/>
      </c>
      <c r="B16" s="563" t="inlineStr">
        <is>
          <t>Papan Tulis</t>
        </is>
      </c>
      <c r="C16" s="592" t="n"/>
      <c r="D16" s="40" t="inlineStr">
        <is>
          <t>Papan Data Nominatif / Buatan Lokal</t>
        </is>
      </c>
      <c r="E16" s="109" t="n"/>
      <c r="F16" s="109" t="n"/>
      <c r="G16" s="42" t="inlineStr">
        <is>
          <t>Papan</t>
        </is>
      </c>
      <c r="H16" s="43" t="n">
        <v>2010</v>
      </c>
      <c r="I16" s="43" t="inlineStr">
        <is>
          <t>02.06.01.05.008</t>
        </is>
      </c>
      <c r="J16" s="44" t="inlineStr">
        <is>
          <t>0001</t>
        </is>
      </c>
      <c r="K16" s="63" t="n">
        <v>1350000</v>
      </c>
      <c r="L16" s="43" t="inlineStr">
        <is>
          <t>Baik</t>
        </is>
      </c>
      <c r="M16" s="43" t="n"/>
      <c r="N16" s="109" t="n"/>
      <c r="O16" s="109" t="n"/>
    </row>
    <row r="17" ht="31.5" customHeight="1" s="79">
      <c r="A17" s="47">
        <f>A16+1</f>
        <v/>
      </c>
      <c r="B17" s="563" t="inlineStr">
        <is>
          <t>Overhead Projektor</t>
        </is>
      </c>
      <c r="C17" s="592" t="n"/>
      <c r="D17" s="40" t="inlineStr">
        <is>
          <t>Toshiba / - Program / -</t>
        </is>
      </c>
      <c r="E17" s="109" t="n"/>
      <c r="F17" s="109" t="n"/>
      <c r="G17" s="42" t="inlineStr">
        <is>
          <t>Besi Plastik</t>
        </is>
      </c>
      <c r="H17" s="43" t="n">
        <v>2007</v>
      </c>
      <c r="I17" s="43" t="inlineStr">
        <is>
          <t>02.06.01.05.028</t>
        </is>
      </c>
      <c r="J17" s="44" t="inlineStr">
        <is>
          <t>0001</t>
        </is>
      </c>
      <c r="K17" s="63" t="n">
        <v>40850000</v>
      </c>
      <c r="L17" s="43" t="n"/>
      <c r="M17" s="43" t="inlineStr">
        <is>
          <t>Kurang Baik</t>
        </is>
      </c>
      <c r="N17" s="109" t="n"/>
      <c r="O17" s="109" t="n"/>
    </row>
    <row r="18" ht="63" customHeight="1" s="79">
      <c r="A18" s="47">
        <f>A17+1</f>
        <v/>
      </c>
      <c r="B18" s="567" t="inlineStr">
        <is>
          <t>Televisi</t>
        </is>
      </c>
      <c r="C18" s="592" t="n"/>
      <c r="D18" s="26" t="inlineStr">
        <is>
          <t>LG Pearl Black / LG 21FU RL-T3</t>
        </is>
      </c>
      <c r="E18" s="32" t="n"/>
      <c r="F18" s="32" t="n"/>
      <c r="G18" s="30" t="inlineStr">
        <is>
          <t>Besi Plastik</t>
        </is>
      </c>
      <c r="H18" s="9" t="n">
        <v>2009</v>
      </c>
      <c r="I18" s="9" t="inlineStr">
        <is>
          <t>02.06.02.06.003</t>
        </is>
      </c>
      <c r="J18" s="44" t="inlineStr">
        <is>
          <t>0001</t>
        </is>
      </c>
      <c r="K18" s="20" t="n">
        <v>2000000</v>
      </c>
      <c r="L18" s="9" t="inlineStr">
        <is>
          <t>Baik</t>
        </is>
      </c>
      <c r="M18" s="32" t="n"/>
      <c r="N18" s="27" t="n"/>
      <c r="O18" s="27" t="n"/>
    </row>
    <row r="19" ht="31.5" customHeight="1" s="79">
      <c r="A19" s="47">
        <f>A18+1</f>
        <v/>
      </c>
      <c r="B19" s="567" t="inlineStr">
        <is>
          <t>Televisi</t>
        </is>
      </c>
      <c r="C19" s="592" t="n"/>
      <c r="D19" s="26" t="inlineStr">
        <is>
          <t>Toshiba / 32PB2</t>
        </is>
      </c>
      <c r="E19" s="32" t="n"/>
      <c r="F19" s="9" t="inlineStr">
        <is>
          <t>32 inci</t>
        </is>
      </c>
      <c r="G19" s="30" t="inlineStr">
        <is>
          <t>Besi Plastik</t>
        </is>
      </c>
      <c r="H19" s="9" t="n">
        <v>2012</v>
      </c>
      <c r="I19" s="9" t="inlineStr">
        <is>
          <t>02.06.02.06.003</t>
        </is>
      </c>
      <c r="J19" s="44" t="inlineStr">
        <is>
          <t>0002</t>
        </is>
      </c>
      <c r="K19" s="20" t="n">
        <v>2890000</v>
      </c>
      <c r="L19" s="9" t="inlineStr">
        <is>
          <t>Baik</t>
        </is>
      </c>
      <c r="M19" s="32" t="n"/>
      <c r="N19" s="27" t="n"/>
      <c r="O19" s="27" t="n"/>
    </row>
    <row r="20" ht="36.75" customHeight="1" s="79">
      <c r="A20" s="157" t="n"/>
    </row>
    <row r="22">
      <c r="C22" s="5" t="inlineStr">
        <is>
          <t>Mengetahui :</t>
        </is>
      </c>
      <c r="L22" s="23" t="inlineStr">
        <is>
          <t>Banjarmasin,        Juli 2021</t>
        </is>
      </c>
    </row>
    <row r="23">
      <c r="C23" s="5" t="n"/>
      <c r="L23" s="5" t="n"/>
    </row>
    <row r="24">
      <c r="C24" s="5" t="inlineStr">
        <is>
          <t>Kepala Bakesbangpol Kota Banjarmasin,</t>
        </is>
      </c>
      <c r="L24" s="5" t="inlineStr">
        <is>
          <t>Pengurus Barang,</t>
        </is>
      </c>
    </row>
    <row r="25">
      <c r="C25" s="5" t="n"/>
      <c r="L25" s="5" t="n"/>
    </row>
    <row r="26">
      <c r="C26" s="5" t="n"/>
      <c r="F26" s="88" t="n"/>
      <c r="L26" s="5" t="n"/>
    </row>
    <row r="27">
      <c r="C27" s="5" t="n"/>
      <c r="L27" s="5" t="n"/>
    </row>
    <row r="28">
      <c r="C28" s="6" t="inlineStr">
        <is>
          <t>Dr. H. LUKMAN FADLUN, SH, MH</t>
        </is>
      </c>
      <c r="L28" s="6" t="inlineStr">
        <is>
          <t>TRISNAWATI M ULYO HAPSARI, SE</t>
        </is>
      </c>
    </row>
    <row r="29">
      <c r="C29" s="5" t="inlineStr">
        <is>
          <t>Pembina Utama Muda</t>
        </is>
      </c>
      <c r="L29" s="23">
        <f>'KENDARAAN BERDASARKAN KIB'!M53</f>
        <v/>
      </c>
    </row>
    <row r="30">
      <c r="C30" s="23" t="inlineStr">
        <is>
          <t>NIP. 19691013 200003 1 004</t>
        </is>
      </c>
    </row>
    <row r="31">
      <c r="K31" s="24" t="n"/>
    </row>
    <row r="32">
      <c r="B32" s="21" t="n"/>
      <c r="K32" s="25" t="n"/>
    </row>
    <row r="33">
      <c r="B33" s="22" t="n"/>
    </row>
    <row r="34">
      <c r="B34" s="22" t="n"/>
    </row>
  </sheetData>
  <mergeCells count="21">
    <mergeCell ref="B16:C16"/>
    <mergeCell ref="B10:C11"/>
    <mergeCell ref="B18:C18"/>
    <mergeCell ref="E10:E11"/>
    <mergeCell ref="A6:B6"/>
    <mergeCell ref="B12:C12"/>
    <mergeCell ref="F9:F11"/>
    <mergeCell ref="G9:G11"/>
    <mergeCell ref="L9:N9"/>
    <mergeCell ref="B14:C14"/>
    <mergeCell ref="B17:C17"/>
    <mergeCell ref="A3:B3"/>
    <mergeCell ref="B13:C13"/>
    <mergeCell ref="B19:C19"/>
    <mergeCell ref="A5:B5"/>
    <mergeCell ref="A10:A11"/>
    <mergeCell ref="B9:C9"/>
    <mergeCell ref="A4:B4"/>
    <mergeCell ref="O10:O11"/>
    <mergeCell ref="D10:D11"/>
    <mergeCell ref="B15:C15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8"/>
  <sheetViews>
    <sheetView view="pageBreakPreview" zoomScaleNormal="55" workbookViewId="0">
      <selection activeCell="H24" sqref="H24"/>
    </sheetView>
  </sheetViews>
  <sheetFormatPr baseColWidth="8" defaultRowHeight="15.75"/>
  <cols>
    <col width="7" customWidth="1" style="79" min="2" max="2"/>
    <col width="17.75" customWidth="1" style="79" min="3" max="3"/>
    <col width="10.875" customWidth="1" style="79" min="4" max="4"/>
    <col width="11.25" customWidth="1" style="79" min="5" max="5"/>
    <col width="11.5" customWidth="1" style="79" min="6" max="6"/>
    <col width="11.625" customWidth="1" style="79" min="7" max="7"/>
    <col width="15.5" customWidth="1" style="79" min="8" max="8"/>
    <col width="18.75" customWidth="1" style="79" min="9" max="9"/>
    <col width="15.375" customWidth="1" style="79" min="10" max="10"/>
    <col width="15.125" customWidth="1" style="79" min="11" max="11"/>
    <col width="11" customWidth="1" style="79" min="13" max="13"/>
    <col width="10.625" customWidth="1" style="79" min="14" max="14"/>
    <col width="9.625" customWidth="1" style="79" min="15" max="15"/>
    <col width="7" customWidth="1" style="79" min="258" max="258"/>
    <col width="17.75" customWidth="1" style="79" min="259" max="259"/>
    <col width="10.875" customWidth="1" style="79" min="260" max="260"/>
    <col width="11.25" customWidth="1" style="79" min="261" max="261"/>
    <col width="11.5" customWidth="1" style="79" min="262" max="262"/>
    <col width="11.625" customWidth="1" style="79" min="263" max="263"/>
    <col width="15.5" customWidth="1" style="79" min="264" max="264"/>
    <col width="18.75" customWidth="1" style="79" min="265" max="265"/>
    <col width="15.375" customWidth="1" style="79" min="266" max="266"/>
    <col width="15.125" customWidth="1" style="79" min="267" max="267"/>
    <col width="11" customWidth="1" style="79" min="269" max="269"/>
    <col width="10.625" customWidth="1" style="79" min="270" max="270"/>
    <col width="9.625" customWidth="1" style="79" min="271" max="271"/>
    <col width="7" customWidth="1" style="79" min="514" max="514"/>
    <col width="17.75" customWidth="1" style="79" min="515" max="515"/>
    <col width="10.875" customWidth="1" style="79" min="516" max="516"/>
    <col width="11.25" customWidth="1" style="79" min="517" max="517"/>
    <col width="11.5" customWidth="1" style="79" min="518" max="518"/>
    <col width="11.625" customWidth="1" style="79" min="519" max="519"/>
    <col width="15.5" customWidth="1" style="79" min="520" max="520"/>
    <col width="18.75" customWidth="1" style="79" min="521" max="521"/>
    <col width="15.375" customWidth="1" style="79" min="522" max="522"/>
    <col width="15.125" customWidth="1" style="79" min="523" max="523"/>
    <col width="11" customWidth="1" style="79" min="525" max="525"/>
    <col width="10.625" customWidth="1" style="79" min="526" max="526"/>
    <col width="9.625" customWidth="1" style="79" min="527" max="527"/>
    <col width="7" customWidth="1" style="79" min="770" max="770"/>
    <col width="17.75" customWidth="1" style="79" min="771" max="771"/>
    <col width="10.875" customWidth="1" style="79" min="772" max="772"/>
    <col width="11.25" customWidth="1" style="79" min="773" max="773"/>
    <col width="11.5" customWidth="1" style="79" min="774" max="774"/>
    <col width="11.625" customWidth="1" style="79" min="775" max="775"/>
    <col width="15.5" customWidth="1" style="79" min="776" max="776"/>
    <col width="18.75" customWidth="1" style="79" min="777" max="777"/>
    <col width="15.375" customWidth="1" style="79" min="778" max="778"/>
    <col width="15.125" customWidth="1" style="79" min="779" max="779"/>
    <col width="11" customWidth="1" style="79" min="781" max="781"/>
    <col width="10.625" customWidth="1" style="79" min="782" max="782"/>
    <col width="9.625" customWidth="1" style="79" min="783" max="783"/>
    <col width="7" customWidth="1" style="79" min="1026" max="1026"/>
    <col width="17.75" customWidth="1" style="79" min="1027" max="1027"/>
    <col width="10.875" customWidth="1" style="79" min="1028" max="1028"/>
    <col width="11.25" customWidth="1" style="79" min="1029" max="1029"/>
    <col width="11.5" customWidth="1" style="79" min="1030" max="1030"/>
    <col width="11.625" customWidth="1" style="79" min="1031" max="1031"/>
    <col width="15.5" customWidth="1" style="79" min="1032" max="1032"/>
    <col width="18.75" customWidth="1" style="79" min="1033" max="1033"/>
    <col width="15.375" customWidth="1" style="79" min="1034" max="1034"/>
    <col width="15.125" customWidth="1" style="79" min="1035" max="1035"/>
    <col width="11" customWidth="1" style="79" min="1037" max="1037"/>
    <col width="10.625" customWidth="1" style="79" min="1038" max="1038"/>
    <col width="9.625" customWidth="1" style="79" min="1039" max="1039"/>
    <col width="7" customWidth="1" style="79" min="1282" max="1282"/>
    <col width="17.75" customWidth="1" style="79" min="1283" max="1283"/>
    <col width="10.875" customWidth="1" style="79" min="1284" max="1284"/>
    <col width="11.25" customWidth="1" style="79" min="1285" max="1285"/>
    <col width="11.5" customWidth="1" style="79" min="1286" max="1286"/>
    <col width="11.625" customWidth="1" style="79" min="1287" max="1287"/>
    <col width="15.5" customWidth="1" style="79" min="1288" max="1288"/>
    <col width="18.75" customWidth="1" style="79" min="1289" max="1289"/>
    <col width="15.375" customWidth="1" style="79" min="1290" max="1290"/>
    <col width="15.125" customWidth="1" style="79" min="1291" max="1291"/>
    <col width="11" customWidth="1" style="79" min="1293" max="1293"/>
    <col width="10.625" customWidth="1" style="79" min="1294" max="1294"/>
    <col width="9.625" customWidth="1" style="79" min="1295" max="1295"/>
    <col width="7" customWidth="1" style="79" min="1538" max="1538"/>
    <col width="17.75" customWidth="1" style="79" min="1539" max="1539"/>
    <col width="10.875" customWidth="1" style="79" min="1540" max="1540"/>
    <col width="11.25" customWidth="1" style="79" min="1541" max="1541"/>
    <col width="11.5" customWidth="1" style="79" min="1542" max="1542"/>
    <col width="11.625" customWidth="1" style="79" min="1543" max="1543"/>
    <col width="15.5" customWidth="1" style="79" min="1544" max="1544"/>
    <col width="18.75" customWidth="1" style="79" min="1545" max="1545"/>
    <col width="15.375" customWidth="1" style="79" min="1546" max="1546"/>
    <col width="15.125" customWidth="1" style="79" min="1547" max="1547"/>
    <col width="11" customWidth="1" style="79" min="1549" max="1549"/>
    <col width="10.625" customWidth="1" style="79" min="1550" max="1550"/>
    <col width="9.625" customWidth="1" style="79" min="1551" max="1551"/>
    <col width="7" customWidth="1" style="79" min="1794" max="1794"/>
    <col width="17.75" customWidth="1" style="79" min="1795" max="1795"/>
    <col width="10.875" customWidth="1" style="79" min="1796" max="1796"/>
    <col width="11.25" customWidth="1" style="79" min="1797" max="1797"/>
    <col width="11.5" customWidth="1" style="79" min="1798" max="1798"/>
    <col width="11.625" customWidth="1" style="79" min="1799" max="1799"/>
    <col width="15.5" customWidth="1" style="79" min="1800" max="1800"/>
    <col width="18.75" customWidth="1" style="79" min="1801" max="1801"/>
    <col width="15.375" customWidth="1" style="79" min="1802" max="1802"/>
    <col width="15.125" customWidth="1" style="79" min="1803" max="1803"/>
    <col width="11" customWidth="1" style="79" min="1805" max="1805"/>
    <col width="10.625" customWidth="1" style="79" min="1806" max="1806"/>
    <col width="9.625" customWidth="1" style="79" min="1807" max="1807"/>
    <col width="7" customWidth="1" style="79" min="2050" max="2050"/>
    <col width="17.75" customWidth="1" style="79" min="2051" max="2051"/>
    <col width="10.875" customWidth="1" style="79" min="2052" max="2052"/>
    <col width="11.25" customWidth="1" style="79" min="2053" max="2053"/>
    <col width="11.5" customWidth="1" style="79" min="2054" max="2054"/>
    <col width="11.625" customWidth="1" style="79" min="2055" max="2055"/>
    <col width="15.5" customWidth="1" style="79" min="2056" max="2056"/>
    <col width="18.75" customWidth="1" style="79" min="2057" max="2057"/>
    <col width="15.375" customWidth="1" style="79" min="2058" max="2058"/>
    <col width="15.125" customWidth="1" style="79" min="2059" max="2059"/>
    <col width="11" customWidth="1" style="79" min="2061" max="2061"/>
    <col width="10.625" customWidth="1" style="79" min="2062" max="2062"/>
    <col width="9.625" customWidth="1" style="79" min="2063" max="2063"/>
    <col width="7" customWidth="1" style="79" min="2306" max="2306"/>
    <col width="17.75" customWidth="1" style="79" min="2307" max="2307"/>
    <col width="10.875" customWidth="1" style="79" min="2308" max="2308"/>
    <col width="11.25" customWidth="1" style="79" min="2309" max="2309"/>
    <col width="11.5" customWidth="1" style="79" min="2310" max="2310"/>
    <col width="11.625" customWidth="1" style="79" min="2311" max="2311"/>
    <col width="15.5" customWidth="1" style="79" min="2312" max="2312"/>
    <col width="18.75" customWidth="1" style="79" min="2313" max="2313"/>
    <col width="15.375" customWidth="1" style="79" min="2314" max="2314"/>
    <col width="15.125" customWidth="1" style="79" min="2315" max="2315"/>
    <col width="11" customWidth="1" style="79" min="2317" max="2317"/>
    <col width="10.625" customWidth="1" style="79" min="2318" max="2318"/>
    <col width="9.625" customWidth="1" style="79" min="2319" max="2319"/>
    <col width="7" customWidth="1" style="79" min="2562" max="2562"/>
    <col width="17.75" customWidth="1" style="79" min="2563" max="2563"/>
    <col width="10.875" customWidth="1" style="79" min="2564" max="2564"/>
    <col width="11.25" customWidth="1" style="79" min="2565" max="2565"/>
    <col width="11.5" customWidth="1" style="79" min="2566" max="2566"/>
    <col width="11.625" customWidth="1" style="79" min="2567" max="2567"/>
    <col width="15.5" customWidth="1" style="79" min="2568" max="2568"/>
    <col width="18.75" customWidth="1" style="79" min="2569" max="2569"/>
    <col width="15.375" customWidth="1" style="79" min="2570" max="2570"/>
    <col width="15.125" customWidth="1" style="79" min="2571" max="2571"/>
    <col width="11" customWidth="1" style="79" min="2573" max="2573"/>
    <col width="10.625" customWidth="1" style="79" min="2574" max="2574"/>
    <col width="9.625" customWidth="1" style="79" min="2575" max="2575"/>
    <col width="7" customWidth="1" style="79" min="2818" max="2818"/>
    <col width="17.75" customWidth="1" style="79" min="2819" max="2819"/>
    <col width="10.875" customWidth="1" style="79" min="2820" max="2820"/>
    <col width="11.25" customWidth="1" style="79" min="2821" max="2821"/>
    <col width="11.5" customWidth="1" style="79" min="2822" max="2822"/>
    <col width="11.625" customWidth="1" style="79" min="2823" max="2823"/>
    <col width="15.5" customWidth="1" style="79" min="2824" max="2824"/>
    <col width="18.75" customWidth="1" style="79" min="2825" max="2825"/>
    <col width="15.375" customWidth="1" style="79" min="2826" max="2826"/>
    <col width="15.125" customWidth="1" style="79" min="2827" max="2827"/>
    <col width="11" customWidth="1" style="79" min="2829" max="2829"/>
    <col width="10.625" customWidth="1" style="79" min="2830" max="2830"/>
    <col width="9.625" customWidth="1" style="79" min="2831" max="2831"/>
    <col width="7" customWidth="1" style="79" min="3074" max="3074"/>
    <col width="17.75" customWidth="1" style="79" min="3075" max="3075"/>
    <col width="10.875" customWidth="1" style="79" min="3076" max="3076"/>
    <col width="11.25" customWidth="1" style="79" min="3077" max="3077"/>
    <col width="11.5" customWidth="1" style="79" min="3078" max="3078"/>
    <col width="11.625" customWidth="1" style="79" min="3079" max="3079"/>
    <col width="15.5" customWidth="1" style="79" min="3080" max="3080"/>
    <col width="18.75" customWidth="1" style="79" min="3081" max="3081"/>
    <col width="15.375" customWidth="1" style="79" min="3082" max="3082"/>
    <col width="15.125" customWidth="1" style="79" min="3083" max="3083"/>
    <col width="11" customWidth="1" style="79" min="3085" max="3085"/>
    <col width="10.625" customWidth="1" style="79" min="3086" max="3086"/>
    <col width="9.625" customWidth="1" style="79" min="3087" max="3087"/>
    <col width="7" customWidth="1" style="79" min="3330" max="3330"/>
    <col width="17.75" customWidth="1" style="79" min="3331" max="3331"/>
    <col width="10.875" customWidth="1" style="79" min="3332" max="3332"/>
    <col width="11.25" customWidth="1" style="79" min="3333" max="3333"/>
    <col width="11.5" customWidth="1" style="79" min="3334" max="3334"/>
    <col width="11.625" customWidth="1" style="79" min="3335" max="3335"/>
    <col width="15.5" customWidth="1" style="79" min="3336" max="3336"/>
    <col width="18.75" customWidth="1" style="79" min="3337" max="3337"/>
    <col width="15.375" customWidth="1" style="79" min="3338" max="3338"/>
    <col width="15.125" customWidth="1" style="79" min="3339" max="3339"/>
    <col width="11" customWidth="1" style="79" min="3341" max="3341"/>
    <col width="10.625" customWidth="1" style="79" min="3342" max="3342"/>
    <col width="9.625" customWidth="1" style="79" min="3343" max="3343"/>
    <col width="7" customWidth="1" style="79" min="3586" max="3586"/>
    <col width="17.75" customWidth="1" style="79" min="3587" max="3587"/>
    <col width="10.875" customWidth="1" style="79" min="3588" max="3588"/>
    <col width="11.25" customWidth="1" style="79" min="3589" max="3589"/>
    <col width="11.5" customWidth="1" style="79" min="3590" max="3590"/>
    <col width="11.625" customWidth="1" style="79" min="3591" max="3591"/>
    <col width="15.5" customWidth="1" style="79" min="3592" max="3592"/>
    <col width="18.75" customWidth="1" style="79" min="3593" max="3593"/>
    <col width="15.375" customWidth="1" style="79" min="3594" max="3594"/>
    <col width="15.125" customWidth="1" style="79" min="3595" max="3595"/>
    <col width="11" customWidth="1" style="79" min="3597" max="3597"/>
    <col width="10.625" customWidth="1" style="79" min="3598" max="3598"/>
    <col width="9.625" customWidth="1" style="79" min="3599" max="3599"/>
    <col width="7" customWidth="1" style="79" min="3842" max="3842"/>
    <col width="17.75" customWidth="1" style="79" min="3843" max="3843"/>
    <col width="10.875" customWidth="1" style="79" min="3844" max="3844"/>
    <col width="11.25" customWidth="1" style="79" min="3845" max="3845"/>
    <col width="11.5" customWidth="1" style="79" min="3846" max="3846"/>
    <col width="11.625" customWidth="1" style="79" min="3847" max="3847"/>
    <col width="15.5" customWidth="1" style="79" min="3848" max="3848"/>
    <col width="18.75" customWidth="1" style="79" min="3849" max="3849"/>
    <col width="15.375" customWidth="1" style="79" min="3850" max="3850"/>
    <col width="15.125" customWidth="1" style="79" min="3851" max="3851"/>
    <col width="11" customWidth="1" style="79" min="3853" max="3853"/>
    <col width="10.625" customWidth="1" style="79" min="3854" max="3854"/>
    <col width="9.625" customWidth="1" style="79" min="3855" max="3855"/>
    <col width="7" customWidth="1" style="79" min="4098" max="4098"/>
    <col width="17.75" customWidth="1" style="79" min="4099" max="4099"/>
    <col width="10.875" customWidth="1" style="79" min="4100" max="4100"/>
    <col width="11.25" customWidth="1" style="79" min="4101" max="4101"/>
    <col width="11.5" customWidth="1" style="79" min="4102" max="4102"/>
    <col width="11.625" customWidth="1" style="79" min="4103" max="4103"/>
    <col width="15.5" customWidth="1" style="79" min="4104" max="4104"/>
    <col width="18.75" customWidth="1" style="79" min="4105" max="4105"/>
    <col width="15.375" customWidth="1" style="79" min="4106" max="4106"/>
    <col width="15.125" customWidth="1" style="79" min="4107" max="4107"/>
    <col width="11" customWidth="1" style="79" min="4109" max="4109"/>
    <col width="10.625" customWidth="1" style="79" min="4110" max="4110"/>
    <col width="9.625" customWidth="1" style="79" min="4111" max="4111"/>
    <col width="7" customWidth="1" style="79" min="4354" max="4354"/>
    <col width="17.75" customWidth="1" style="79" min="4355" max="4355"/>
    <col width="10.875" customWidth="1" style="79" min="4356" max="4356"/>
    <col width="11.25" customWidth="1" style="79" min="4357" max="4357"/>
    <col width="11.5" customWidth="1" style="79" min="4358" max="4358"/>
    <col width="11.625" customWidth="1" style="79" min="4359" max="4359"/>
    <col width="15.5" customWidth="1" style="79" min="4360" max="4360"/>
    <col width="18.75" customWidth="1" style="79" min="4361" max="4361"/>
    <col width="15.375" customWidth="1" style="79" min="4362" max="4362"/>
    <col width="15.125" customWidth="1" style="79" min="4363" max="4363"/>
    <col width="11" customWidth="1" style="79" min="4365" max="4365"/>
    <col width="10.625" customWidth="1" style="79" min="4366" max="4366"/>
    <col width="9.625" customWidth="1" style="79" min="4367" max="4367"/>
    <col width="7" customWidth="1" style="79" min="4610" max="4610"/>
    <col width="17.75" customWidth="1" style="79" min="4611" max="4611"/>
    <col width="10.875" customWidth="1" style="79" min="4612" max="4612"/>
    <col width="11.25" customWidth="1" style="79" min="4613" max="4613"/>
    <col width="11.5" customWidth="1" style="79" min="4614" max="4614"/>
    <col width="11.625" customWidth="1" style="79" min="4615" max="4615"/>
    <col width="15.5" customWidth="1" style="79" min="4616" max="4616"/>
    <col width="18.75" customWidth="1" style="79" min="4617" max="4617"/>
    <col width="15.375" customWidth="1" style="79" min="4618" max="4618"/>
    <col width="15.125" customWidth="1" style="79" min="4619" max="4619"/>
    <col width="11" customWidth="1" style="79" min="4621" max="4621"/>
    <col width="10.625" customWidth="1" style="79" min="4622" max="4622"/>
    <col width="9.625" customWidth="1" style="79" min="4623" max="4623"/>
    <col width="7" customWidth="1" style="79" min="4866" max="4866"/>
    <col width="17.75" customWidth="1" style="79" min="4867" max="4867"/>
    <col width="10.875" customWidth="1" style="79" min="4868" max="4868"/>
    <col width="11.25" customWidth="1" style="79" min="4869" max="4869"/>
    <col width="11.5" customWidth="1" style="79" min="4870" max="4870"/>
    <col width="11.625" customWidth="1" style="79" min="4871" max="4871"/>
    <col width="15.5" customWidth="1" style="79" min="4872" max="4872"/>
    <col width="18.75" customWidth="1" style="79" min="4873" max="4873"/>
    <col width="15.375" customWidth="1" style="79" min="4874" max="4874"/>
    <col width="15.125" customWidth="1" style="79" min="4875" max="4875"/>
    <col width="11" customWidth="1" style="79" min="4877" max="4877"/>
    <col width="10.625" customWidth="1" style="79" min="4878" max="4878"/>
    <col width="9.625" customWidth="1" style="79" min="4879" max="4879"/>
    <col width="7" customWidth="1" style="79" min="5122" max="5122"/>
    <col width="17.75" customWidth="1" style="79" min="5123" max="5123"/>
    <col width="10.875" customWidth="1" style="79" min="5124" max="5124"/>
    <col width="11.25" customWidth="1" style="79" min="5125" max="5125"/>
    <col width="11.5" customWidth="1" style="79" min="5126" max="5126"/>
    <col width="11.625" customWidth="1" style="79" min="5127" max="5127"/>
    <col width="15.5" customWidth="1" style="79" min="5128" max="5128"/>
    <col width="18.75" customWidth="1" style="79" min="5129" max="5129"/>
    <col width="15.375" customWidth="1" style="79" min="5130" max="5130"/>
    <col width="15.125" customWidth="1" style="79" min="5131" max="5131"/>
    <col width="11" customWidth="1" style="79" min="5133" max="5133"/>
    <col width="10.625" customWidth="1" style="79" min="5134" max="5134"/>
    <col width="9.625" customWidth="1" style="79" min="5135" max="5135"/>
    <col width="7" customWidth="1" style="79" min="5378" max="5378"/>
    <col width="17.75" customWidth="1" style="79" min="5379" max="5379"/>
    <col width="10.875" customWidth="1" style="79" min="5380" max="5380"/>
    <col width="11.25" customWidth="1" style="79" min="5381" max="5381"/>
    <col width="11.5" customWidth="1" style="79" min="5382" max="5382"/>
    <col width="11.625" customWidth="1" style="79" min="5383" max="5383"/>
    <col width="15.5" customWidth="1" style="79" min="5384" max="5384"/>
    <col width="18.75" customWidth="1" style="79" min="5385" max="5385"/>
    <col width="15.375" customWidth="1" style="79" min="5386" max="5386"/>
    <col width="15.125" customWidth="1" style="79" min="5387" max="5387"/>
    <col width="11" customWidth="1" style="79" min="5389" max="5389"/>
    <col width="10.625" customWidth="1" style="79" min="5390" max="5390"/>
    <col width="9.625" customWidth="1" style="79" min="5391" max="5391"/>
    <col width="7" customWidth="1" style="79" min="5634" max="5634"/>
    <col width="17.75" customWidth="1" style="79" min="5635" max="5635"/>
    <col width="10.875" customWidth="1" style="79" min="5636" max="5636"/>
    <col width="11.25" customWidth="1" style="79" min="5637" max="5637"/>
    <col width="11.5" customWidth="1" style="79" min="5638" max="5638"/>
    <col width="11.625" customWidth="1" style="79" min="5639" max="5639"/>
    <col width="15.5" customWidth="1" style="79" min="5640" max="5640"/>
    <col width="18.75" customWidth="1" style="79" min="5641" max="5641"/>
    <col width="15.375" customWidth="1" style="79" min="5642" max="5642"/>
    <col width="15.125" customWidth="1" style="79" min="5643" max="5643"/>
    <col width="11" customWidth="1" style="79" min="5645" max="5645"/>
    <col width="10.625" customWidth="1" style="79" min="5646" max="5646"/>
    <col width="9.625" customWidth="1" style="79" min="5647" max="5647"/>
    <col width="7" customWidth="1" style="79" min="5890" max="5890"/>
    <col width="17.75" customWidth="1" style="79" min="5891" max="5891"/>
    <col width="10.875" customWidth="1" style="79" min="5892" max="5892"/>
    <col width="11.25" customWidth="1" style="79" min="5893" max="5893"/>
    <col width="11.5" customWidth="1" style="79" min="5894" max="5894"/>
    <col width="11.625" customWidth="1" style="79" min="5895" max="5895"/>
    <col width="15.5" customWidth="1" style="79" min="5896" max="5896"/>
    <col width="18.75" customWidth="1" style="79" min="5897" max="5897"/>
    <col width="15.375" customWidth="1" style="79" min="5898" max="5898"/>
    <col width="15.125" customWidth="1" style="79" min="5899" max="5899"/>
    <col width="11" customWidth="1" style="79" min="5901" max="5901"/>
    <col width="10.625" customWidth="1" style="79" min="5902" max="5902"/>
    <col width="9.625" customWidth="1" style="79" min="5903" max="5903"/>
    <col width="7" customWidth="1" style="79" min="6146" max="6146"/>
    <col width="17.75" customWidth="1" style="79" min="6147" max="6147"/>
    <col width="10.875" customWidth="1" style="79" min="6148" max="6148"/>
    <col width="11.25" customWidth="1" style="79" min="6149" max="6149"/>
    <col width="11.5" customWidth="1" style="79" min="6150" max="6150"/>
    <col width="11.625" customWidth="1" style="79" min="6151" max="6151"/>
    <col width="15.5" customWidth="1" style="79" min="6152" max="6152"/>
    <col width="18.75" customWidth="1" style="79" min="6153" max="6153"/>
    <col width="15.375" customWidth="1" style="79" min="6154" max="6154"/>
    <col width="15.125" customWidth="1" style="79" min="6155" max="6155"/>
    <col width="11" customWidth="1" style="79" min="6157" max="6157"/>
    <col width="10.625" customWidth="1" style="79" min="6158" max="6158"/>
    <col width="9.625" customWidth="1" style="79" min="6159" max="6159"/>
    <col width="7" customWidth="1" style="79" min="6402" max="6402"/>
    <col width="17.75" customWidth="1" style="79" min="6403" max="6403"/>
    <col width="10.875" customWidth="1" style="79" min="6404" max="6404"/>
    <col width="11.25" customWidth="1" style="79" min="6405" max="6405"/>
    <col width="11.5" customWidth="1" style="79" min="6406" max="6406"/>
    <col width="11.625" customWidth="1" style="79" min="6407" max="6407"/>
    <col width="15.5" customWidth="1" style="79" min="6408" max="6408"/>
    <col width="18.75" customWidth="1" style="79" min="6409" max="6409"/>
    <col width="15.375" customWidth="1" style="79" min="6410" max="6410"/>
    <col width="15.125" customWidth="1" style="79" min="6411" max="6411"/>
    <col width="11" customWidth="1" style="79" min="6413" max="6413"/>
    <col width="10.625" customWidth="1" style="79" min="6414" max="6414"/>
    <col width="9.625" customWidth="1" style="79" min="6415" max="6415"/>
    <col width="7" customWidth="1" style="79" min="6658" max="6658"/>
    <col width="17.75" customWidth="1" style="79" min="6659" max="6659"/>
    <col width="10.875" customWidth="1" style="79" min="6660" max="6660"/>
    <col width="11.25" customWidth="1" style="79" min="6661" max="6661"/>
    <col width="11.5" customWidth="1" style="79" min="6662" max="6662"/>
    <col width="11.625" customWidth="1" style="79" min="6663" max="6663"/>
    <col width="15.5" customWidth="1" style="79" min="6664" max="6664"/>
    <col width="18.75" customWidth="1" style="79" min="6665" max="6665"/>
    <col width="15.375" customWidth="1" style="79" min="6666" max="6666"/>
    <col width="15.125" customWidth="1" style="79" min="6667" max="6667"/>
    <col width="11" customWidth="1" style="79" min="6669" max="6669"/>
    <col width="10.625" customWidth="1" style="79" min="6670" max="6670"/>
    <col width="9.625" customWidth="1" style="79" min="6671" max="6671"/>
    <col width="7" customWidth="1" style="79" min="6914" max="6914"/>
    <col width="17.75" customWidth="1" style="79" min="6915" max="6915"/>
    <col width="10.875" customWidth="1" style="79" min="6916" max="6916"/>
    <col width="11.25" customWidth="1" style="79" min="6917" max="6917"/>
    <col width="11.5" customWidth="1" style="79" min="6918" max="6918"/>
    <col width="11.625" customWidth="1" style="79" min="6919" max="6919"/>
    <col width="15.5" customWidth="1" style="79" min="6920" max="6920"/>
    <col width="18.75" customWidth="1" style="79" min="6921" max="6921"/>
    <col width="15.375" customWidth="1" style="79" min="6922" max="6922"/>
    <col width="15.125" customWidth="1" style="79" min="6923" max="6923"/>
    <col width="11" customWidth="1" style="79" min="6925" max="6925"/>
    <col width="10.625" customWidth="1" style="79" min="6926" max="6926"/>
    <col width="9.625" customWidth="1" style="79" min="6927" max="6927"/>
    <col width="7" customWidth="1" style="79" min="7170" max="7170"/>
    <col width="17.75" customWidth="1" style="79" min="7171" max="7171"/>
    <col width="10.875" customWidth="1" style="79" min="7172" max="7172"/>
    <col width="11.25" customWidth="1" style="79" min="7173" max="7173"/>
    <col width="11.5" customWidth="1" style="79" min="7174" max="7174"/>
    <col width="11.625" customWidth="1" style="79" min="7175" max="7175"/>
    <col width="15.5" customWidth="1" style="79" min="7176" max="7176"/>
    <col width="18.75" customWidth="1" style="79" min="7177" max="7177"/>
    <col width="15.375" customWidth="1" style="79" min="7178" max="7178"/>
    <col width="15.125" customWidth="1" style="79" min="7179" max="7179"/>
    <col width="11" customWidth="1" style="79" min="7181" max="7181"/>
    <col width="10.625" customWidth="1" style="79" min="7182" max="7182"/>
    <col width="9.625" customWidth="1" style="79" min="7183" max="7183"/>
    <col width="7" customWidth="1" style="79" min="7426" max="7426"/>
    <col width="17.75" customWidth="1" style="79" min="7427" max="7427"/>
    <col width="10.875" customWidth="1" style="79" min="7428" max="7428"/>
    <col width="11.25" customWidth="1" style="79" min="7429" max="7429"/>
    <col width="11.5" customWidth="1" style="79" min="7430" max="7430"/>
    <col width="11.625" customWidth="1" style="79" min="7431" max="7431"/>
    <col width="15.5" customWidth="1" style="79" min="7432" max="7432"/>
    <col width="18.75" customWidth="1" style="79" min="7433" max="7433"/>
    <col width="15.375" customWidth="1" style="79" min="7434" max="7434"/>
    <col width="15.125" customWidth="1" style="79" min="7435" max="7435"/>
    <col width="11" customWidth="1" style="79" min="7437" max="7437"/>
    <col width="10.625" customWidth="1" style="79" min="7438" max="7438"/>
    <col width="9.625" customWidth="1" style="79" min="7439" max="7439"/>
    <col width="7" customWidth="1" style="79" min="7682" max="7682"/>
    <col width="17.75" customWidth="1" style="79" min="7683" max="7683"/>
    <col width="10.875" customWidth="1" style="79" min="7684" max="7684"/>
    <col width="11.25" customWidth="1" style="79" min="7685" max="7685"/>
    <col width="11.5" customWidth="1" style="79" min="7686" max="7686"/>
    <col width="11.625" customWidth="1" style="79" min="7687" max="7687"/>
    <col width="15.5" customWidth="1" style="79" min="7688" max="7688"/>
    <col width="18.75" customWidth="1" style="79" min="7689" max="7689"/>
    <col width="15.375" customWidth="1" style="79" min="7690" max="7690"/>
    <col width="15.125" customWidth="1" style="79" min="7691" max="7691"/>
    <col width="11" customWidth="1" style="79" min="7693" max="7693"/>
    <col width="10.625" customWidth="1" style="79" min="7694" max="7694"/>
    <col width="9.625" customWidth="1" style="79" min="7695" max="7695"/>
    <col width="7" customWidth="1" style="79" min="7938" max="7938"/>
    <col width="17.75" customWidth="1" style="79" min="7939" max="7939"/>
    <col width="10.875" customWidth="1" style="79" min="7940" max="7940"/>
    <col width="11.25" customWidth="1" style="79" min="7941" max="7941"/>
    <col width="11.5" customWidth="1" style="79" min="7942" max="7942"/>
    <col width="11.625" customWidth="1" style="79" min="7943" max="7943"/>
    <col width="15.5" customWidth="1" style="79" min="7944" max="7944"/>
    <col width="18.75" customWidth="1" style="79" min="7945" max="7945"/>
    <col width="15.375" customWidth="1" style="79" min="7946" max="7946"/>
    <col width="15.125" customWidth="1" style="79" min="7947" max="7947"/>
    <col width="11" customWidth="1" style="79" min="7949" max="7949"/>
    <col width="10.625" customWidth="1" style="79" min="7950" max="7950"/>
    <col width="9.625" customWidth="1" style="79" min="7951" max="7951"/>
    <col width="7" customWidth="1" style="79" min="8194" max="8194"/>
    <col width="17.75" customWidth="1" style="79" min="8195" max="8195"/>
    <col width="10.875" customWidth="1" style="79" min="8196" max="8196"/>
    <col width="11.25" customWidth="1" style="79" min="8197" max="8197"/>
    <col width="11.5" customWidth="1" style="79" min="8198" max="8198"/>
    <col width="11.625" customWidth="1" style="79" min="8199" max="8199"/>
    <col width="15.5" customWidth="1" style="79" min="8200" max="8200"/>
    <col width="18.75" customWidth="1" style="79" min="8201" max="8201"/>
    <col width="15.375" customWidth="1" style="79" min="8202" max="8202"/>
    <col width="15.125" customWidth="1" style="79" min="8203" max="8203"/>
    <col width="11" customWidth="1" style="79" min="8205" max="8205"/>
    <col width="10.625" customWidth="1" style="79" min="8206" max="8206"/>
    <col width="9.625" customWidth="1" style="79" min="8207" max="8207"/>
    <col width="7" customWidth="1" style="79" min="8450" max="8450"/>
    <col width="17.75" customWidth="1" style="79" min="8451" max="8451"/>
    <col width="10.875" customWidth="1" style="79" min="8452" max="8452"/>
    <col width="11.25" customWidth="1" style="79" min="8453" max="8453"/>
    <col width="11.5" customWidth="1" style="79" min="8454" max="8454"/>
    <col width="11.625" customWidth="1" style="79" min="8455" max="8455"/>
    <col width="15.5" customWidth="1" style="79" min="8456" max="8456"/>
    <col width="18.75" customWidth="1" style="79" min="8457" max="8457"/>
    <col width="15.375" customWidth="1" style="79" min="8458" max="8458"/>
    <col width="15.125" customWidth="1" style="79" min="8459" max="8459"/>
    <col width="11" customWidth="1" style="79" min="8461" max="8461"/>
    <col width="10.625" customWidth="1" style="79" min="8462" max="8462"/>
    <col width="9.625" customWidth="1" style="79" min="8463" max="8463"/>
    <col width="7" customWidth="1" style="79" min="8706" max="8706"/>
    <col width="17.75" customWidth="1" style="79" min="8707" max="8707"/>
    <col width="10.875" customWidth="1" style="79" min="8708" max="8708"/>
    <col width="11.25" customWidth="1" style="79" min="8709" max="8709"/>
    <col width="11.5" customWidth="1" style="79" min="8710" max="8710"/>
    <col width="11.625" customWidth="1" style="79" min="8711" max="8711"/>
    <col width="15.5" customWidth="1" style="79" min="8712" max="8712"/>
    <col width="18.75" customWidth="1" style="79" min="8713" max="8713"/>
    <col width="15.375" customWidth="1" style="79" min="8714" max="8714"/>
    <col width="15.125" customWidth="1" style="79" min="8715" max="8715"/>
    <col width="11" customWidth="1" style="79" min="8717" max="8717"/>
    <col width="10.625" customWidth="1" style="79" min="8718" max="8718"/>
    <col width="9.625" customWidth="1" style="79" min="8719" max="8719"/>
    <col width="7" customWidth="1" style="79" min="8962" max="8962"/>
    <col width="17.75" customWidth="1" style="79" min="8963" max="8963"/>
    <col width="10.875" customWidth="1" style="79" min="8964" max="8964"/>
    <col width="11.25" customWidth="1" style="79" min="8965" max="8965"/>
    <col width="11.5" customWidth="1" style="79" min="8966" max="8966"/>
    <col width="11.625" customWidth="1" style="79" min="8967" max="8967"/>
    <col width="15.5" customWidth="1" style="79" min="8968" max="8968"/>
    <col width="18.75" customWidth="1" style="79" min="8969" max="8969"/>
    <col width="15.375" customWidth="1" style="79" min="8970" max="8970"/>
    <col width="15.125" customWidth="1" style="79" min="8971" max="8971"/>
    <col width="11" customWidth="1" style="79" min="8973" max="8973"/>
    <col width="10.625" customWidth="1" style="79" min="8974" max="8974"/>
    <col width="9.625" customWidth="1" style="79" min="8975" max="8975"/>
    <col width="7" customWidth="1" style="79" min="9218" max="9218"/>
    <col width="17.75" customWidth="1" style="79" min="9219" max="9219"/>
    <col width="10.875" customWidth="1" style="79" min="9220" max="9220"/>
    <col width="11.25" customWidth="1" style="79" min="9221" max="9221"/>
    <col width="11.5" customWidth="1" style="79" min="9222" max="9222"/>
    <col width="11.625" customWidth="1" style="79" min="9223" max="9223"/>
    <col width="15.5" customWidth="1" style="79" min="9224" max="9224"/>
    <col width="18.75" customWidth="1" style="79" min="9225" max="9225"/>
    <col width="15.375" customWidth="1" style="79" min="9226" max="9226"/>
    <col width="15.125" customWidth="1" style="79" min="9227" max="9227"/>
    <col width="11" customWidth="1" style="79" min="9229" max="9229"/>
    <col width="10.625" customWidth="1" style="79" min="9230" max="9230"/>
    <col width="9.625" customWidth="1" style="79" min="9231" max="9231"/>
    <col width="7" customWidth="1" style="79" min="9474" max="9474"/>
    <col width="17.75" customWidth="1" style="79" min="9475" max="9475"/>
    <col width="10.875" customWidth="1" style="79" min="9476" max="9476"/>
    <col width="11.25" customWidth="1" style="79" min="9477" max="9477"/>
    <col width="11.5" customWidth="1" style="79" min="9478" max="9478"/>
    <col width="11.625" customWidth="1" style="79" min="9479" max="9479"/>
    <col width="15.5" customWidth="1" style="79" min="9480" max="9480"/>
    <col width="18.75" customWidth="1" style="79" min="9481" max="9481"/>
    <col width="15.375" customWidth="1" style="79" min="9482" max="9482"/>
    <col width="15.125" customWidth="1" style="79" min="9483" max="9483"/>
    <col width="11" customWidth="1" style="79" min="9485" max="9485"/>
    <col width="10.625" customWidth="1" style="79" min="9486" max="9486"/>
    <col width="9.625" customWidth="1" style="79" min="9487" max="9487"/>
    <col width="7" customWidth="1" style="79" min="9730" max="9730"/>
    <col width="17.75" customWidth="1" style="79" min="9731" max="9731"/>
    <col width="10.875" customWidth="1" style="79" min="9732" max="9732"/>
    <col width="11.25" customWidth="1" style="79" min="9733" max="9733"/>
    <col width="11.5" customWidth="1" style="79" min="9734" max="9734"/>
    <col width="11.625" customWidth="1" style="79" min="9735" max="9735"/>
    <col width="15.5" customWidth="1" style="79" min="9736" max="9736"/>
    <col width="18.75" customWidth="1" style="79" min="9737" max="9737"/>
    <col width="15.375" customWidth="1" style="79" min="9738" max="9738"/>
    <col width="15.125" customWidth="1" style="79" min="9739" max="9739"/>
    <col width="11" customWidth="1" style="79" min="9741" max="9741"/>
    <col width="10.625" customWidth="1" style="79" min="9742" max="9742"/>
    <col width="9.625" customWidth="1" style="79" min="9743" max="9743"/>
    <col width="7" customWidth="1" style="79" min="9986" max="9986"/>
    <col width="17.75" customWidth="1" style="79" min="9987" max="9987"/>
    <col width="10.875" customWidth="1" style="79" min="9988" max="9988"/>
    <col width="11.25" customWidth="1" style="79" min="9989" max="9989"/>
    <col width="11.5" customWidth="1" style="79" min="9990" max="9990"/>
    <col width="11.625" customWidth="1" style="79" min="9991" max="9991"/>
    <col width="15.5" customWidth="1" style="79" min="9992" max="9992"/>
    <col width="18.75" customWidth="1" style="79" min="9993" max="9993"/>
    <col width="15.375" customWidth="1" style="79" min="9994" max="9994"/>
    <col width="15.125" customWidth="1" style="79" min="9995" max="9995"/>
    <col width="11" customWidth="1" style="79" min="9997" max="9997"/>
    <col width="10.625" customWidth="1" style="79" min="9998" max="9998"/>
    <col width="9.625" customWidth="1" style="79" min="9999" max="9999"/>
    <col width="7" customWidth="1" style="79" min="10242" max="10242"/>
    <col width="17.75" customWidth="1" style="79" min="10243" max="10243"/>
    <col width="10.875" customWidth="1" style="79" min="10244" max="10244"/>
    <col width="11.25" customWidth="1" style="79" min="10245" max="10245"/>
    <col width="11.5" customWidth="1" style="79" min="10246" max="10246"/>
    <col width="11.625" customWidth="1" style="79" min="10247" max="10247"/>
    <col width="15.5" customWidth="1" style="79" min="10248" max="10248"/>
    <col width="18.75" customWidth="1" style="79" min="10249" max="10249"/>
    <col width="15.375" customWidth="1" style="79" min="10250" max="10250"/>
    <col width="15.125" customWidth="1" style="79" min="10251" max="10251"/>
    <col width="11" customWidth="1" style="79" min="10253" max="10253"/>
    <col width="10.625" customWidth="1" style="79" min="10254" max="10254"/>
    <col width="9.625" customWidth="1" style="79" min="10255" max="10255"/>
    <col width="7" customWidth="1" style="79" min="10498" max="10498"/>
    <col width="17.75" customWidth="1" style="79" min="10499" max="10499"/>
    <col width="10.875" customWidth="1" style="79" min="10500" max="10500"/>
    <col width="11.25" customWidth="1" style="79" min="10501" max="10501"/>
    <col width="11.5" customWidth="1" style="79" min="10502" max="10502"/>
    <col width="11.625" customWidth="1" style="79" min="10503" max="10503"/>
    <col width="15.5" customWidth="1" style="79" min="10504" max="10504"/>
    <col width="18.75" customWidth="1" style="79" min="10505" max="10505"/>
    <col width="15.375" customWidth="1" style="79" min="10506" max="10506"/>
    <col width="15.125" customWidth="1" style="79" min="10507" max="10507"/>
    <col width="11" customWidth="1" style="79" min="10509" max="10509"/>
    <col width="10.625" customWidth="1" style="79" min="10510" max="10510"/>
    <col width="9.625" customWidth="1" style="79" min="10511" max="10511"/>
    <col width="7" customWidth="1" style="79" min="10754" max="10754"/>
    <col width="17.75" customWidth="1" style="79" min="10755" max="10755"/>
    <col width="10.875" customWidth="1" style="79" min="10756" max="10756"/>
    <col width="11.25" customWidth="1" style="79" min="10757" max="10757"/>
    <col width="11.5" customWidth="1" style="79" min="10758" max="10758"/>
    <col width="11.625" customWidth="1" style="79" min="10759" max="10759"/>
    <col width="15.5" customWidth="1" style="79" min="10760" max="10760"/>
    <col width="18.75" customWidth="1" style="79" min="10761" max="10761"/>
    <col width="15.375" customWidth="1" style="79" min="10762" max="10762"/>
    <col width="15.125" customWidth="1" style="79" min="10763" max="10763"/>
    <col width="11" customWidth="1" style="79" min="10765" max="10765"/>
    <col width="10.625" customWidth="1" style="79" min="10766" max="10766"/>
    <col width="9.625" customWidth="1" style="79" min="10767" max="10767"/>
    <col width="7" customWidth="1" style="79" min="11010" max="11010"/>
    <col width="17.75" customWidth="1" style="79" min="11011" max="11011"/>
    <col width="10.875" customWidth="1" style="79" min="11012" max="11012"/>
    <col width="11.25" customWidth="1" style="79" min="11013" max="11013"/>
    <col width="11.5" customWidth="1" style="79" min="11014" max="11014"/>
    <col width="11.625" customWidth="1" style="79" min="11015" max="11015"/>
    <col width="15.5" customWidth="1" style="79" min="11016" max="11016"/>
    <col width="18.75" customWidth="1" style="79" min="11017" max="11017"/>
    <col width="15.375" customWidth="1" style="79" min="11018" max="11018"/>
    <col width="15.125" customWidth="1" style="79" min="11019" max="11019"/>
    <col width="11" customWidth="1" style="79" min="11021" max="11021"/>
    <col width="10.625" customWidth="1" style="79" min="11022" max="11022"/>
    <col width="9.625" customWidth="1" style="79" min="11023" max="11023"/>
    <col width="7" customWidth="1" style="79" min="11266" max="11266"/>
    <col width="17.75" customWidth="1" style="79" min="11267" max="11267"/>
    <col width="10.875" customWidth="1" style="79" min="11268" max="11268"/>
    <col width="11.25" customWidth="1" style="79" min="11269" max="11269"/>
    <col width="11.5" customWidth="1" style="79" min="11270" max="11270"/>
    <col width="11.625" customWidth="1" style="79" min="11271" max="11271"/>
    <col width="15.5" customWidth="1" style="79" min="11272" max="11272"/>
    <col width="18.75" customWidth="1" style="79" min="11273" max="11273"/>
    <col width="15.375" customWidth="1" style="79" min="11274" max="11274"/>
    <col width="15.125" customWidth="1" style="79" min="11275" max="11275"/>
    <col width="11" customWidth="1" style="79" min="11277" max="11277"/>
    <col width="10.625" customWidth="1" style="79" min="11278" max="11278"/>
    <col width="9.625" customWidth="1" style="79" min="11279" max="11279"/>
    <col width="7" customWidth="1" style="79" min="11522" max="11522"/>
    <col width="17.75" customWidth="1" style="79" min="11523" max="11523"/>
    <col width="10.875" customWidth="1" style="79" min="11524" max="11524"/>
    <col width="11.25" customWidth="1" style="79" min="11525" max="11525"/>
    <col width="11.5" customWidth="1" style="79" min="11526" max="11526"/>
    <col width="11.625" customWidth="1" style="79" min="11527" max="11527"/>
    <col width="15.5" customWidth="1" style="79" min="11528" max="11528"/>
    <col width="18.75" customWidth="1" style="79" min="11529" max="11529"/>
    <col width="15.375" customWidth="1" style="79" min="11530" max="11530"/>
    <col width="15.125" customWidth="1" style="79" min="11531" max="11531"/>
    <col width="11" customWidth="1" style="79" min="11533" max="11533"/>
    <col width="10.625" customWidth="1" style="79" min="11534" max="11534"/>
    <col width="9.625" customWidth="1" style="79" min="11535" max="11535"/>
    <col width="7" customWidth="1" style="79" min="11778" max="11778"/>
    <col width="17.75" customWidth="1" style="79" min="11779" max="11779"/>
    <col width="10.875" customWidth="1" style="79" min="11780" max="11780"/>
    <col width="11.25" customWidth="1" style="79" min="11781" max="11781"/>
    <col width="11.5" customWidth="1" style="79" min="11782" max="11782"/>
    <col width="11.625" customWidth="1" style="79" min="11783" max="11783"/>
    <col width="15.5" customWidth="1" style="79" min="11784" max="11784"/>
    <col width="18.75" customWidth="1" style="79" min="11785" max="11785"/>
    <col width="15.375" customWidth="1" style="79" min="11786" max="11786"/>
    <col width="15.125" customWidth="1" style="79" min="11787" max="11787"/>
    <col width="11" customWidth="1" style="79" min="11789" max="11789"/>
    <col width="10.625" customWidth="1" style="79" min="11790" max="11790"/>
    <col width="9.625" customWidth="1" style="79" min="11791" max="11791"/>
    <col width="7" customWidth="1" style="79" min="12034" max="12034"/>
    <col width="17.75" customWidth="1" style="79" min="12035" max="12035"/>
    <col width="10.875" customWidth="1" style="79" min="12036" max="12036"/>
    <col width="11.25" customWidth="1" style="79" min="12037" max="12037"/>
    <col width="11.5" customWidth="1" style="79" min="12038" max="12038"/>
    <col width="11.625" customWidth="1" style="79" min="12039" max="12039"/>
    <col width="15.5" customWidth="1" style="79" min="12040" max="12040"/>
    <col width="18.75" customWidth="1" style="79" min="12041" max="12041"/>
    <col width="15.375" customWidth="1" style="79" min="12042" max="12042"/>
    <col width="15.125" customWidth="1" style="79" min="12043" max="12043"/>
    <col width="11" customWidth="1" style="79" min="12045" max="12045"/>
    <col width="10.625" customWidth="1" style="79" min="12046" max="12046"/>
    <col width="9.625" customWidth="1" style="79" min="12047" max="12047"/>
    <col width="7" customWidth="1" style="79" min="12290" max="12290"/>
    <col width="17.75" customWidth="1" style="79" min="12291" max="12291"/>
    <col width="10.875" customWidth="1" style="79" min="12292" max="12292"/>
    <col width="11.25" customWidth="1" style="79" min="12293" max="12293"/>
    <col width="11.5" customWidth="1" style="79" min="12294" max="12294"/>
    <col width="11.625" customWidth="1" style="79" min="12295" max="12295"/>
    <col width="15.5" customWidth="1" style="79" min="12296" max="12296"/>
    <col width="18.75" customWidth="1" style="79" min="12297" max="12297"/>
    <col width="15.375" customWidth="1" style="79" min="12298" max="12298"/>
    <col width="15.125" customWidth="1" style="79" min="12299" max="12299"/>
    <col width="11" customWidth="1" style="79" min="12301" max="12301"/>
    <col width="10.625" customWidth="1" style="79" min="12302" max="12302"/>
    <col width="9.625" customWidth="1" style="79" min="12303" max="12303"/>
    <col width="7" customWidth="1" style="79" min="12546" max="12546"/>
    <col width="17.75" customWidth="1" style="79" min="12547" max="12547"/>
    <col width="10.875" customWidth="1" style="79" min="12548" max="12548"/>
    <col width="11.25" customWidth="1" style="79" min="12549" max="12549"/>
    <col width="11.5" customWidth="1" style="79" min="12550" max="12550"/>
    <col width="11.625" customWidth="1" style="79" min="12551" max="12551"/>
    <col width="15.5" customWidth="1" style="79" min="12552" max="12552"/>
    <col width="18.75" customWidth="1" style="79" min="12553" max="12553"/>
    <col width="15.375" customWidth="1" style="79" min="12554" max="12554"/>
    <col width="15.125" customWidth="1" style="79" min="12555" max="12555"/>
    <col width="11" customWidth="1" style="79" min="12557" max="12557"/>
    <col width="10.625" customWidth="1" style="79" min="12558" max="12558"/>
    <col width="9.625" customWidth="1" style="79" min="12559" max="12559"/>
    <col width="7" customWidth="1" style="79" min="12802" max="12802"/>
    <col width="17.75" customWidth="1" style="79" min="12803" max="12803"/>
    <col width="10.875" customWidth="1" style="79" min="12804" max="12804"/>
    <col width="11.25" customWidth="1" style="79" min="12805" max="12805"/>
    <col width="11.5" customWidth="1" style="79" min="12806" max="12806"/>
    <col width="11.625" customWidth="1" style="79" min="12807" max="12807"/>
    <col width="15.5" customWidth="1" style="79" min="12808" max="12808"/>
    <col width="18.75" customWidth="1" style="79" min="12809" max="12809"/>
    <col width="15.375" customWidth="1" style="79" min="12810" max="12810"/>
    <col width="15.125" customWidth="1" style="79" min="12811" max="12811"/>
    <col width="11" customWidth="1" style="79" min="12813" max="12813"/>
    <col width="10.625" customWidth="1" style="79" min="12814" max="12814"/>
    <col width="9.625" customWidth="1" style="79" min="12815" max="12815"/>
    <col width="7" customWidth="1" style="79" min="13058" max="13058"/>
    <col width="17.75" customWidth="1" style="79" min="13059" max="13059"/>
    <col width="10.875" customWidth="1" style="79" min="13060" max="13060"/>
    <col width="11.25" customWidth="1" style="79" min="13061" max="13061"/>
    <col width="11.5" customWidth="1" style="79" min="13062" max="13062"/>
    <col width="11.625" customWidth="1" style="79" min="13063" max="13063"/>
    <col width="15.5" customWidth="1" style="79" min="13064" max="13064"/>
    <col width="18.75" customWidth="1" style="79" min="13065" max="13065"/>
    <col width="15.375" customWidth="1" style="79" min="13066" max="13066"/>
    <col width="15.125" customWidth="1" style="79" min="13067" max="13067"/>
    <col width="11" customWidth="1" style="79" min="13069" max="13069"/>
    <col width="10.625" customWidth="1" style="79" min="13070" max="13070"/>
    <col width="9.625" customWidth="1" style="79" min="13071" max="13071"/>
    <col width="7" customWidth="1" style="79" min="13314" max="13314"/>
    <col width="17.75" customWidth="1" style="79" min="13315" max="13315"/>
    <col width="10.875" customWidth="1" style="79" min="13316" max="13316"/>
    <col width="11.25" customWidth="1" style="79" min="13317" max="13317"/>
    <col width="11.5" customWidth="1" style="79" min="13318" max="13318"/>
    <col width="11.625" customWidth="1" style="79" min="13319" max="13319"/>
    <col width="15.5" customWidth="1" style="79" min="13320" max="13320"/>
    <col width="18.75" customWidth="1" style="79" min="13321" max="13321"/>
    <col width="15.375" customWidth="1" style="79" min="13322" max="13322"/>
    <col width="15.125" customWidth="1" style="79" min="13323" max="13323"/>
    <col width="11" customWidth="1" style="79" min="13325" max="13325"/>
    <col width="10.625" customWidth="1" style="79" min="13326" max="13326"/>
    <col width="9.625" customWidth="1" style="79" min="13327" max="13327"/>
    <col width="7" customWidth="1" style="79" min="13570" max="13570"/>
    <col width="17.75" customWidth="1" style="79" min="13571" max="13571"/>
    <col width="10.875" customWidth="1" style="79" min="13572" max="13572"/>
    <col width="11.25" customWidth="1" style="79" min="13573" max="13573"/>
    <col width="11.5" customWidth="1" style="79" min="13574" max="13574"/>
    <col width="11.625" customWidth="1" style="79" min="13575" max="13575"/>
    <col width="15.5" customWidth="1" style="79" min="13576" max="13576"/>
    <col width="18.75" customWidth="1" style="79" min="13577" max="13577"/>
    <col width="15.375" customWidth="1" style="79" min="13578" max="13578"/>
    <col width="15.125" customWidth="1" style="79" min="13579" max="13579"/>
    <col width="11" customWidth="1" style="79" min="13581" max="13581"/>
    <col width="10.625" customWidth="1" style="79" min="13582" max="13582"/>
    <col width="9.625" customWidth="1" style="79" min="13583" max="13583"/>
    <col width="7" customWidth="1" style="79" min="13826" max="13826"/>
    <col width="17.75" customWidth="1" style="79" min="13827" max="13827"/>
    <col width="10.875" customWidth="1" style="79" min="13828" max="13828"/>
    <col width="11.25" customWidth="1" style="79" min="13829" max="13829"/>
    <col width="11.5" customWidth="1" style="79" min="13830" max="13830"/>
    <col width="11.625" customWidth="1" style="79" min="13831" max="13831"/>
    <col width="15.5" customWidth="1" style="79" min="13832" max="13832"/>
    <col width="18.75" customWidth="1" style="79" min="13833" max="13833"/>
    <col width="15.375" customWidth="1" style="79" min="13834" max="13834"/>
    <col width="15.125" customWidth="1" style="79" min="13835" max="13835"/>
    <col width="11" customWidth="1" style="79" min="13837" max="13837"/>
    <col width="10.625" customWidth="1" style="79" min="13838" max="13838"/>
    <col width="9.625" customWidth="1" style="79" min="13839" max="13839"/>
    <col width="7" customWidth="1" style="79" min="14082" max="14082"/>
    <col width="17.75" customWidth="1" style="79" min="14083" max="14083"/>
    <col width="10.875" customWidth="1" style="79" min="14084" max="14084"/>
    <col width="11.25" customWidth="1" style="79" min="14085" max="14085"/>
    <col width="11.5" customWidth="1" style="79" min="14086" max="14086"/>
    <col width="11.625" customWidth="1" style="79" min="14087" max="14087"/>
    <col width="15.5" customWidth="1" style="79" min="14088" max="14088"/>
    <col width="18.75" customWidth="1" style="79" min="14089" max="14089"/>
    <col width="15.375" customWidth="1" style="79" min="14090" max="14090"/>
    <col width="15.125" customWidth="1" style="79" min="14091" max="14091"/>
    <col width="11" customWidth="1" style="79" min="14093" max="14093"/>
    <col width="10.625" customWidth="1" style="79" min="14094" max="14094"/>
    <col width="9.625" customWidth="1" style="79" min="14095" max="14095"/>
    <col width="7" customWidth="1" style="79" min="14338" max="14338"/>
    <col width="17.75" customWidth="1" style="79" min="14339" max="14339"/>
    <col width="10.875" customWidth="1" style="79" min="14340" max="14340"/>
    <col width="11.25" customWidth="1" style="79" min="14341" max="14341"/>
    <col width="11.5" customWidth="1" style="79" min="14342" max="14342"/>
    <col width="11.625" customWidth="1" style="79" min="14343" max="14343"/>
    <col width="15.5" customWidth="1" style="79" min="14344" max="14344"/>
    <col width="18.75" customWidth="1" style="79" min="14345" max="14345"/>
    <col width="15.375" customWidth="1" style="79" min="14346" max="14346"/>
    <col width="15.125" customWidth="1" style="79" min="14347" max="14347"/>
    <col width="11" customWidth="1" style="79" min="14349" max="14349"/>
    <col width="10.625" customWidth="1" style="79" min="14350" max="14350"/>
    <col width="9.625" customWidth="1" style="79" min="14351" max="14351"/>
    <col width="7" customWidth="1" style="79" min="14594" max="14594"/>
    <col width="17.75" customWidth="1" style="79" min="14595" max="14595"/>
    <col width="10.875" customWidth="1" style="79" min="14596" max="14596"/>
    <col width="11.25" customWidth="1" style="79" min="14597" max="14597"/>
    <col width="11.5" customWidth="1" style="79" min="14598" max="14598"/>
    <col width="11.625" customWidth="1" style="79" min="14599" max="14599"/>
    <col width="15.5" customWidth="1" style="79" min="14600" max="14600"/>
    <col width="18.75" customWidth="1" style="79" min="14601" max="14601"/>
    <col width="15.375" customWidth="1" style="79" min="14602" max="14602"/>
    <col width="15.125" customWidth="1" style="79" min="14603" max="14603"/>
    <col width="11" customWidth="1" style="79" min="14605" max="14605"/>
    <col width="10.625" customWidth="1" style="79" min="14606" max="14606"/>
    <col width="9.625" customWidth="1" style="79" min="14607" max="14607"/>
    <col width="7" customWidth="1" style="79" min="14850" max="14850"/>
    <col width="17.75" customWidth="1" style="79" min="14851" max="14851"/>
    <col width="10.875" customWidth="1" style="79" min="14852" max="14852"/>
    <col width="11.25" customWidth="1" style="79" min="14853" max="14853"/>
    <col width="11.5" customWidth="1" style="79" min="14854" max="14854"/>
    <col width="11.625" customWidth="1" style="79" min="14855" max="14855"/>
    <col width="15.5" customWidth="1" style="79" min="14856" max="14856"/>
    <col width="18.75" customWidth="1" style="79" min="14857" max="14857"/>
    <col width="15.375" customWidth="1" style="79" min="14858" max="14858"/>
    <col width="15.125" customWidth="1" style="79" min="14859" max="14859"/>
    <col width="11" customWidth="1" style="79" min="14861" max="14861"/>
    <col width="10.625" customWidth="1" style="79" min="14862" max="14862"/>
    <col width="9.625" customWidth="1" style="79" min="14863" max="14863"/>
    <col width="7" customWidth="1" style="79" min="15106" max="15106"/>
    <col width="17.75" customWidth="1" style="79" min="15107" max="15107"/>
    <col width="10.875" customWidth="1" style="79" min="15108" max="15108"/>
    <col width="11.25" customWidth="1" style="79" min="15109" max="15109"/>
    <col width="11.5" customWidth="1" style="79" min="15110" max="15110"/>
    <col width="11.625" customWidth="1" style="79" min="15111" max="15111"/>
    <col width="15.5" customWidth="1" style="79" min="15112" max="15112"/>
    <col width="18.75" customWidth="1" style="79" min="15113" max="15113"/>
    <col width="15.375" customWidth="1" style="79" min="15114" max="15114"/>
    <col width="15.125" customWidth="1" style="79" min="15115" max="15115"/>
    <col width="11" customWidth="1" style="79" min="15117" max="15117"/>
    <col width="10.625" customWidth="1" style="79" min="15118" max="15118"/>
    <col width="9.625" customWidth="1" style="79" min="15119" max="15119"/>
    <col width="7" customWidth="1" style="79" min="15362" max="15362"/>
    <col width="17.75" customWidth="1" style="79" min="15363" max="15363"/>
    <col width="10.875" customWidth="1" style="79" min="15364" max="15364"/>
    <col width="11.25" customWidth="1" style="79" min="15365" max="15365"/>
    <col width="11.5" customWidth="1" style="79" min="15366" max="15366"/>
    <col width="11.625" customWidth="1" style="79" min="15367" max="15367"/>
    <col width="15.5" customWidth="1" style="79" min="15368" max="15368"/>
    <col width="18.75" customWidth="1" style="79" min="15369" max="15369"/>
    <col width="15.375" customWidth="1" style="79" min="15370" max="15370"/>
    <col width="15.125" customWidth="1" style="79" min="15371" max="15371"/>
    <col width="11" customWidth="1" style="79" min="15373" max="15373"/>
    <col width="10.625" customWidth="1" style="79" min="15374" max="15374"/>
    <col width="9.625" customWidth="1" style="79" min="15375" max="15375"/>
    <col width="7" customWidth="1" style="79" min="15618" max="15618"/>
    <col width="17.75" customWidth="1" style="79" min="15619" max="15619"/>
    <col width="10.875" customWidth="1" style="79" min="15620" max="15620"/>
    <col width="11.25" customWidth="1" style="79" min="15621" max="15621"/>
    <col width="11.5" customWidth="1" style="79" min="15622" max="15622"/>
    <col width="11.625" customWidth="1" style="79" min="15623" max="15623"/>
    <col width="15.5" customWidth="1" style="79" min="15624" max="15624"/>
    <col width="18.75" customWidth="1" style="79" min="15625" max="15625"/>
    <col width="15.375" customWidth="1" style="79" min="15626" max="15626"/>
    <col width="15.125" customWidth="1" style="79" min="15627" max="15627"/>
    <col width="11" customWidth="1" style="79" min="15629" max="15629"/>
    <col width="10.625" customWidth="1" style="79" min="15630" max="15630"/>
    <col width="9.625" customWidth="1" style="79" min="15631" max="15631"/>
    <col width="7" customWidth="1" style="79" min="15874" max="15874"/>
    <col width="17.75" customWidth="1" style="79" min="15875" max="15875"/>
    <col width="10.875" customWidth="1" style="79" min="15876" max="15876"/>
    <col width="11.25" customWidth="1" style="79" min="15877" max="15877"/>
    <col width="11.5" customWidth="1" style="79" min="15878" max="15878"/>
    <col width="11.625" customWidth="1" style="79" min="15879" max="15879"/>
    <col width="15.5" customWidth="1" style="79" min="15880" max="15880"/>
    <col width="18.75" customWidth="1" style="79" min="15881" max="15881"/>
    <col width="15.375" customWidth="1" style="79" min="15882" max="15882"/>
    <col width="15.125" customWidth="1" style="79" min="15883" max="15883"/>
    <col width="11" customWidth="1" style="79" min="15885" max="15885"/>
    <col width="10.625" customWidth="1" style="79" min="15886" max="15886"/>
    <col width="9.625" customWidth="1" style="79" min="15887" max="15887"/>
    <col width="7" customWidth="1" style="79" min="16130" max="16130"/>
    <col width="17.75" customWidth="1" style="79" min="16131" max="16131"/>
    <col width="10.875" customWidth="1" style="79" min="16132" max="16132"/>
    <col width="11.25" customWidth="1" style="79" min="16133" max="16133"/>
    <col width="11.5" customWidth="1" style="79" min="16134" max="16134"/>
    <col width="11.625" customWidth="1" style="79" min="16135" max="16135"/>
    <col width="15.5" customWidth="1" style="79" min="16136" max="16136"/>
    <col width="18.75" customWidth="1" style="79" min="16137" max="16137"/>
    <col width="15.375" customWidth="1" style="79" min="16138" max="16138"/>
    <col width="15.125" customWidth="1" style="79" min="16139" max="16139"/>
    <col width="11" customWidth="1" style="79" min="16141" max="16141"/>
    <col width="10.625" customWidth="1" style="79" min="16142" max="16142"/>
    <col width="9.625" customWidth="1" style="79" min="16143" max="16143"/>
  </cols>
  <sheetData>
    <row r="1" ht="18.75" customHeight="1" s="79">
      <c r="G1" s="1" t="inlineStr">
        <is>
          <t>KARTU INVENTARIS RUANGAN</t>
        </is>
      </c>
      <c r="N1" t="inlineStr">
        <is>
          <t>MODEL INV. 6</t>
        </is>
      </c>
    </row>
    <row r="2" ht="18.75" customHeight="1" s="79">
      <c r="G2" s="1" t="n"/>
    </row>
    <row r="3" ht="18.75" customHeight="1" s="79">
      <c r="A3" s="545" t="inlineStr">
        <is>
          <t>Kab/Kota</t>
        </is>
      </c>
      <c r="C3" t="inlineStr">
        <is>
          <t>Kota Banjarmasin</t>
        </is>
      </c>
      <c r="G3" s="1" t="n"/>
    </row>
    <row r="4" ht="18.75" customHeight="1" s="79">
      <c r="A4" s="545" t="inlineStr">
        <is>
          <t>Propinsi</t>
        </is>
      </c>
      <c r="C4" t="inlineStr">
        <is>
          <t>Kalimantan Selatan</t>
        </is>
      </c>
      <c r="G4" s="1" t="n"/>
    </row>
    <row r="5" ht="18.75" customHeight="1" s="79">
      <c r="A5" s="545" t="inlineStr">
        <is>
          <t>Satuan Kerja</t>
        </is>
      </c>
      <c r="C5" t="inlineStr">
        <is>
          <t>Badan Kesatuan Bangsa dan Politik Kota Banjarmasin</t>
        </is>
      </c>
      <c r="G5" s="1" t="n"/>
      <c r="H5" s="29" t="n"/>
    </row>
    <row r="6" ht="18.75" customHeight="1" s="79">
      <c r="A6" s="545" t="inlineStr">
        <is>
          <t>Ruangan</t>
        </is>
      </c>
      <c r="C6" s="108" t="inlineStr">
        <is>
          <t>BARANG MUTASI</t>
        </is>
      </c>
      <c r="G6" s="1" t="n"/>
    </row>
    <row r="7">
      <c r="A7" s="108" t="n"/>
      <c r="B7" s="108" t="n"/>
    </row>
    <row r="8">
      <c r="A8" s="108" t="inlineStr">
        <is>
          <t xml:space="preserve">NO.KODE LOKASI : </t>
        </is>
      </c>
      <c r="B8" s="108" t="n"/>
    </row>
    <row r="9" ht="24.75" customHeight="1" s="79">
      <c r="A9" s="538" t="inlineStr">
        <is>
          <t>No.</t>
        </is>
      </c>
      <c r="B9" s="538" t="inlineStr">
        <is>
          <t>Nama Barang</t>
        </is>
      </c>
      <c r="C9" s="589" t="n"/>
      <c r="D9" s="538" t="inlineStr">
        <is>
          <t>Merk/</t>
        </is>
      </c>
      <c r="E9" s="538" t="inlineStr">
        <is>
          <t>No. Seri</t>
        </is>
      </c>
      <c r="F9" s="655" t="inlineStr">
        <is>
          <t>Ukuran</t>
        </is>
      </c>
      <c r="G9" s="655" t="inlineStr">
        <is>
          <t>Bahan</t>
        </is>
      </c>
      <c r="H9" s="538" t="inlineStr">
        <is>
          <t xml:space="preserve">Tahun </t>
        </is>
      </c>
      <c r="I9" s="538" t="n"/>
      <c r="J9" s="538" t="inlineStr">
        <is>
          <t xml:space="preserve">Jumlah </t>
        </is>
      </c>
      <c r="K9" s="538" t="inlineStr">
        <is>
          <t xml:space="preserve">Harga </t>
        </is>
      </c>
      <c r="L9" s="544" t="inlineStr">
        <is>
          <t xml:space="preserve">Keadaan Barang </t>
        </is>
      </c>
      <c r="M9" s="591" t="n"/>
      <c r="N9" s="592" t="n"/>
      <c r="O9" s="538" t="inlineStr">
        <is>
          <t>Keterangan</t>
        </is>
      </c>
    </row>
    <row r="10">
      <c r="A10" s="543" t="inlineStr">
        <is>
          <t>Urut</t>
        </is>
      </c>
      <c r="B10" s="543" t="inlineStr">
        <is>
          <t>Jenis Barang</t>
        </is>
      </c>
      <c r="C10" s="593" t="n"/>
      <c r="D10" s="543" t="inlineStr">
        <is>
          <t>Model</t>
        </is>
      </c>
      <c r="E10" s="543" t="inlineStr">
        <is>
          <t>Pabrik</t>
        </is>
      </c>
      <c r="F10" s="594" t="n"/>
      <c r="G10" s="594" t="n"/>
      <c r="H10" s="104" t="inlineStr">
        <is>
          <t>Pembuatan</t>
        </is>
      </c>
      <c r="I10" s="104" t="inlineStr">
        <is>
          <t xml:space="preserve">No/. Kode Barang </t>
        </is>
      </c>
      <c r="J10" s="104" t="inlineStr">
        <is>
          <t>Barang</t>
        </is>
      </c>
      <c r="K10" s="104" t="inlineStr">
        <is>
          <t>Beli/</t>
        </is>
      </c>
      <c r="L10" s="104" t="inlineStr">
        <is>
          <t>Baik</t>
        </is>
      </c>
      <c r="M10" s="104" t="inlineStr">
        <is>
          <t>Kurang Baik</t>
        </is>
      </c>
      <c r="N10" s="104" t="inlineStr">
        <is>
          <t>Rusak Berat</t>
        </is>
      </c>
      <c r="O10" s="540" t="inlineStr">
        <is>
          <t>Mutasi dll</t>
        </is>
      </c>
    </row>
    <row r="11">
      <c r="A11" s="595" t="n"/>
      <c r="B11" s="596" t="n"/>
      <c r="C11" s="597" t="n"/>
      <c r="D11" s="595" t="n"/>
      <c r="E11" s="595" t="n"/>
      <c r="F11" s="595" t="n"/>
      <c r="G11" s="595" t="n"/>
      <c r="H11" s="105" t="inlineStr">
        <is>
          <t>Atau Pembelian</t>
        </is>
      </c>
      <c r="I11" s="105" t="n"/>
      <c r="J11" s="105" t="inlineStr">
        <is>
          <t>Register x)</t>
        </is>
      </c>
      <c r="K11" s="105" t="inlineStr">
        <is>
          <t>Perolehan</t>
        </is>
      </c>
      <c r="L11" s="105" t="inlineStr">
        <is>
          <t>(B)</t>
        </is>
      </c>
      <c r="M11" s="105" t="inlineStr">
        <is>
          <t>(KB)</t>
        </is>
      </c>
      <c r="N11" s="105" t="inlineStr">
        <is>
          <t>(RB)</t>
        </is>
      </c>
      <c r="O11" s="595" t="n"/>
    </row>
    <row r="12">
      <c r="A12" s="47" t="n">
        <v>1</v>
      </c>
      <c r="B12" s="122" t="n">
        <v>2</v>
      </c>
      <c r="C12" s="589" t="n"/>
      <c r="D12" s="539" t="n">
        <v>3</v>
      </c>
      <c r="E12" s="539" t="n">
        <v>4</v>
      </c>
      <c r="F12" s="542" t="n">
        <v>5</v>
      </c>
      <c r="G12" s="542" t="n">
        <v>6</v>
      </c>
      <c r="H12" s="104" t="n">
        <v>7</v>
      </c>
      <c r="I12" s="104" t="n">
        <v>8</v>
      </c>
      <c r="J12" s="104" t="n">
        <v>9</v>
      </c>
      <c r="K12" s="104" t="n">
        <v>10</v>
      </c>
      <c r="L12" s="104" t="n">
        <v>11</v>
      </c>
      <c r="M12" s="104" t="n">
        <v>12</v>
      </c>
      <c r="N12" s="104" t="n">
        <v>13</v>
      </c>
      <c r="O12" s="539" t="n">
        <v>14</v>
      </c>
    </row>
    <row r="13" ht="47.25" customHeight="1" s="79">
      <c r="A13" s="47" t="n">
        <v>1</v>
      </c>
      <c r="B13" s="659" t="inlineStr">
        <is>
          <t>Lemari Kayu</t>
        </is>
      </c>
      <c r="C13" s="592" t="n"/>
      <c r="D13" s="119" t="inlineStr">
        <is>
          <t>Buatan Lokal / kayu kaca</t>
        </is>
      </c>
      <c r="E13" s="12" t="n"/>
      <c r="F13" s="12" t="n"/>
      <c r="G13" s="119" t="inlineStr">
        <is>
          <t>Buatan Lokal / kayu kaca</t>
        </is>
      </c>
      <c r="H13" s="9" t="n">
        <v>2000</v>
      </c>
      <c r="I13" s="152" t="inlineStr">
        <is>
          <t>02.06.01.04.014</t>
        </is>
      </c>
      <c r="J13" s="44" t="inlineStr">
        <is>
          <t>0011</t>
        </is>
      </c>
      <c r="K13" s="20" t="n">
        <v>350000</v>
      </c>
      <c r="L13" s="9" t="inlineStr">
        <is>
          <t>Baik</t>
        </is>
      </c>
      <c r="M13" s="32" t="n"/>
      <c r="N13" s="12" t="n"/>
      <c r="O13" s="10" t="inlineStr">
        <is>
          <t>Mutasi Ke Bagian Kesra</t>
        </is>
      </c>
    </row>
    <row r="14" ht="94.5" customHeight="1" s="79">
      <c r="A14" s="47">
        <f>A13+1</f>
        <v/>
      </c>
      <c r="B14" s="552" t="inlineStr">
        <is>
          <t>Alat Pembantu Pemadam Kebakaran</t>
        </is>
      </c>
      <c r="C14" s="592" t="n"/>
      <c r="D14" s="40" t="inlineStr">
        <is>
          <t>FIREFORT- POWDER FP.40/ Tabung Pemadam Kebakaran</t>
        </is>
      </c>
      <c r="E14" s="41" t="n"/>
      <c r="F14" s="41" t="n"/>
      <c r="G14" s="42" t="inlineStr">
        <is>
          <t>Besi</t>
        </is>
      </c>
      <c r="H14" s="43" t="n">
        <v>2012</v>
      </c>
      <c r="I14" s="43" t="inlineStr">
        <is>
          <t>02.06.02.07.016</t>
        </is>
      </c>
      <c r="J14" s="44" t="inlineStr">
        <is>
          <t>0001</t>
        </is>
      </c>
      <c r="K14" s="63" t="n">
        <v>895000</v>
      </c>
      <c r="L14" s="43" t="inlineStr">
        <is>
          <t>Baik</t>
        </is>
      </c>
      <c r="M14" s="43" t="n"/>
      <c r="N14" s="41" t="n"/>
      <c r="O14" s="40" t="inlineStr">
        <is>
          <t>Milik Bagian Umum Setda</t>
        </is>
      </c>
    </row>
    <row r="15">
      <c r="A15" s="157" t="n"/>
      <c r="B15" s="158" t="n"/>
      <c r="C15" s="158" t="n"/>
      <c r="D15" s="159" t="n"/>
      <c r="E15" s="125" t="n"/>
      <c r="F15" s="125" t="n"/>
      <c r="G15" s="160" t="n"/>
      <c r="H15" s="94" t="n"/>
      <c r="I15" s="94" t="n"/>
      <c r="J15" s="126" t="n"/>
      <c r="K15" s="134" t="n"/>
      <c r="L15" s="94" t="n"/>
      <c r="M15" s="94" t="n"/>
      <c r="N15" s="125" t="n"/>
      <c r="O15" s="125" t="n"/>
    </row>
    <row r="16">
      <c r="C16" s="5" t="inlineStr">
        <is>
          <t>Mengetahui :</t>
        </is>
      </c>
      <c r="L16" s="23" t="inlineStr">
        <is>
          <t>Banjarmasin,        Desember 2025</t>
        </is>
      </c>
    </row>
    <row r="17" ht="6.75" customHeight="1" s="79">
      <c r="C17" s="5" t="n"/>
      <c r="L17" s="5" t="n"/>
    </row>
    <row r="18">
      <c r="C18" s="5" t="inlineStr">
        <is>
          <t>Kepala Bakesbangpol Kota Banjarmasin,</t>
        </is>
      </c>
      <c r="L18" s="5" t="inlineStr">
        <is>
          <t>Pengurus Barang,</t>
        </is>
      </c>
    </row>
    <row r="19">
      <c r="C19" s="5" t="n"/>
      <c r="L19" s="5" t="n"/>
    </row>
    <row r="20">
      <c r="C20" s="5" t="n"/>
      <c r="F20" s="88" t="n"/>
      <c r="L20" s="5" t="n"/>
    </row>
    <row r="21">
      <c r="C21" s="5" t="n"/>
      <c r="L21" s="5" t="n"/>
    </row>
    <row r="22">
      <c r="C22" s="6" t="inlineStr">
        <is>
          <t>Dr. H. LUKMAN FADLUN, SH, MH</t>
        </is>
      </c>
      <c r="L22" s="6" t="inlineStr">
        <is>
          <t>TRISNAWATI M ULYO HAPSARI, SE</t>
        </is>
      </c>
    </row>
    <row r="23">
      <c r="C23" s="5" t="inlineStr">
        <is>
          <t>Pembina Utama Muda</t>
        </is>
      </c>
      <c r="L23" s="23">
        <f>'BARANG YANG MASIH HARUS DICARI'!L29</f>
        <v/>
      </c>
    </row>
    <row r="24">
      <c r="C24" s="23" t="inlineStr">
        <is>
          <t>NIP. 19691013 200003 1 004</t>
        </is>
      </c>
    </row>
    <row r="25">
      <c r="K25" s="24" t="n"/>
    </row>
    <row r="26">
      <c r="B26" s="21" t="n"/>
      <c r="K26" s="25" t="n"/>
    </row>
    <row r="27">
      <c r="B27" s="22" t="n"/>
    </row>
    <row r="28">
      <c r="B28" s="22" t="n"/>
    </row>
  </sheetData>
  <mergeCells count="16">
    <mergeCell ref="B13:C13"/>
    <mergeCell ref="A4:B4"/>
    <mergeCell ref="F9:F11"/>
    <mergeCell ref="O10:O11"/>
    <mergeCell ref="G9:G11"/>
    <mergeCell ref="D10:D11"/>
    <mergeCell ref="A5:B5"/>
    <mergeCell ref="L9:N9"/>
    <mergeCell ref="B10:C11"/>
    <mergeCell ref="B14:C14"/>
    <mergeCell ref="B9:C9"/>
    <mergeCell ref="A10:A11"/>
    <mergeCell ref="E10:E11"/>
    <mergeCell ref="A3:B3"/>
    <mergeCell ref="A6:B6"/>
    <mergeCell ref="B12:C12"/>
  </mergeCells>
  <printOptions horizontalCentered="1"/>
  <pageMargins left="0.1181102362204725" right="0.3543307086614174" top="0.1968503937007874" bottom="0.1574803149606299" header="0" footer="0"/>
  <pageSetup orientation="landscape" paperSize="14" scale="65" horizontalDpi="180" verticalDpi="180"/>
  <headerFooter alignWithMargins="0">
    <oddHeader/>
    <oddFooter>&amp;L&amp;9 &amp;F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Barang</t>
        </is>
      </c>
      <c r="C1" t="inlineStr">
        <is>
          <t>Merek/Model</t>
        </is>
      </c>
      <c r="D1" t="inlineStr">
        <is>
          <t>Tahun</t>
        </is>
      </c>
      <c r="E1" t="inlineStr">
        <is>
          <t>Harga</t>
        </is>
      </c>
      <c r="F1" t="inlineStr">
        <is>
          <t>Keterangan</t>
        </is>
      </c>
    </row>
    <row r="2">
      <c r="A2" t="n">
        <v>1</v>
      </c>
      <c r="B2" t="inlineStr">
        <is>
          <t>2</t>
        </is>
      </c>
      <c r="C2" t="inlineStr">
        <is>
          <t>7</t>
        </is>
      </c>
      <c r="D2" t="inlineStr">
        <is>
          <t>16</t>
        </is>
      </c>
      <c r="E2" t="n">
        <v>13</v>
      </c>
      <c r="F2" t="inlineStr">
        <is>
          <t>Barang baru dari BMD 2026 yang belum ada di KIR</t>
        </is>
      </c>
    </row>
    <row r="3">
      <c r="A3" t="n">
        <v>2</v>
      </c>
      <c r="B3" t="inlineStr">
        <is>
          <t>Mini Bus ( Penumpang 14 Orang Kebawah )</t>
        </is>
      </c>
      <c r="C3" t="inlineStr">
        <is>
          <t>Merk: Suzuki Tipe: 48602</t>
        </is>
      </c>
      <c r="D3" t="inlineStr">
        <is>
          <t>2012</t>
        </is>
      </c>
      <c r="E3" t="n">
        <v>169086308</v>
      </c>
      <c r="F3" t="inlineStr">
        <is>
          <t>Barang baru dari BMD 2026 yang belum ada di KIR</t>
        </is>
      </c>
    </row>
    <row r="4">
      <c r="A4" t="n">
        <v>3</v>
      </c>
      <c r="B4" t="inlineStr">
        <is>
          <t>Mini Bus ( Penumpang 14 Orang Kebawah )</t>
        </is>
      </c>
      <c r="C4" t="inlineStr">
        <is>
          <t>Merk: TOYOTA Tipe: 48604</t>
        </is>
      </c>
      <c r="D4" t="inlineStr">
        <is>
          <t>2012</t>
        </is>
      </c>
      <c r="E4" t="n">
        <v>166673497</v>
      </c>
      <c r="F4" t="inlineStr">
        <is>
          <t>Barang baru dari BMD 2026 yang belum ada di KIR</t>
        </is>
      </c>
    </row>
    <row r="5">
      <c r="A5" t="n">
        <v>4</v>
      </c>
      <c r="B5" t="inlineStr">
        <is>
          <t>Mini Bus ( Penumpang 14 Orang Kebawah )</t>
        </is>
      </c>
      <c r="C5" t="inlineStr">
        <is>
          <t>Merk: Suzuki Tipe: 48603</t>
        </is>
      </c>
      <c r="D5" t="inlineStr">
        <is>
          <t>2015</t>
        </is>
      </c>
      <c r="E5" t="n">
        <v>199204400</v>
      </c>
      <c r="F5" t="inlineStr">
        <is>
          <t>Barang baru dari BMD 2026 yang belum ada di KIR</t>
        </is>
      </c>
    </row>
    <row r="6">
      <c r="A6" t="n">
        <v>5</v>
      </c>
      <c r="B6" t="inlineStr">
        <is>
          <t>Sepeda Motor</t>
        </is>
      </c>
      <c r="C6" t="inlineStr">
        <is>
          <t>Merk: Honda 125 Tipe: 48606</t>
        </is>
      </c>
      <c r="D6" t="inlineStr">
        <is>
          <t>2006</t>
        </is>
      </c>
      <c r="E6" t="n">
        <v>14900000</v>
      </c>
      <c r="F6" t="inlineStr">
        <is>
          <t>Barang baru dari BMD 2026 yang belum ada di KIR</t>
        </is>
      </c>
    </row>
    <row r="7">
      <c r="A7" t="n">
        <v>6</v>
      </c>
      <c r="B7" t="inlineStr">
        <is>
          <t>Sepeda Motor</t>
        </is>
      </c>
      <c r="C7" t="inlineStr">
        <is>
          <t>Merk: Suzuki New Smash Tipe: 48607</t>
        </is>
      </c>
      <c r="D7" t="inlineStr">
        <is>
          <t>2009</t>
        </is>
      </c>
      <c r="E7" t="n">
        <v>11595000</v>
      </c>
      <c r="F7" t="inlineStr">
        <is>
          <t>Barang baru dari BMD 2026 yang belum ada di KIR</t>
        </is>
      </c>
    </row>
    <row r="8">
      <c r="A8" t="n">
        <v>7</v>
      </c>
      <c r="B8" t="inlineStr">
        <is>
          <t>Sepeda Motor</t>
        </is>
      </c>
      <c r="C8" t="inlineStr">
        <is>
          <t>Merk: Suzuki TITAN Tipe: 48608</t>
        </is>
      </c>
      <c r="D8" t="inlineStr">
        <is>
          <t>2012</t>
        </is>
      </c>
      <c r="E8" t="n">
        <v>11059000</v>
      </c>
      <c r="F8" t="inlineStr">
        <is>
          <t>Barang baru dari BMD 2026 yang belum ada di KIR</t>
        </is>
      </c>
    </row>
    <row r="9">
      <c r="A9" t="n">
        <v>8</v>
      </c>
      <c r="B9" t="inlineStr">
        <is>
          <t>Sepeda Motor</t>
        </is>
      </c>
      <c r="C9" t="inlineStr">
        <is>
          <t>Merk: Suzuki AXELO Tipe: 48609</t>
        </is>
      </c>
      <c r="D9" t="inlineStr">
        <is>
          <t>2013</t>
        </is>
      </c>
      <c r="E9" t="n">
        <v>15243360</v>
      </c>
      <c r="F9" t="inlineStr">
        <is>
          <t>Barang baru dari BMD 2026 yang belum ada di KIR</t>
        </is>
      </c>
    </row>
    <row r="10">
      <c r="A10" t="n">
        <v>9</v>
      </c>
      <c r="B10" t="inlineStr">
        <is>
          <t>Sepeda Motor</t>
        </is>
      </c>
      <c r="C10" t="inlineStr">
        <is>
          <t>Merk: Suzuki AXELO Tipe: 48610</t>
        </is>
      </c>
      <c r="D10" t="inlineStr">
        <is>
          <t>2013</t>
        </is>
      </c>
      <c r="E10" t="n">
        <v>15243360</v>
      </c>
      <c r="F10" t="inlineStr">
        <is>
          <t>Barang baru dari BMD 2026 yang belum ada di KIR</t>
        </is>
      </c>
    </row>
    <row r="11">
      <c r="A11" t="n">
        <v>10</v>
      </c>
      <c r="B11" t="inlineStr">
        <is>
          <t>Sepeda Motor</t>
        </is>
      </c>
      <c r="C11" t="inlineStr">
        <is>
          <t>Merk: Honda Blade Tipe: 48611</t>
        </is>
      </c>
      <c r="D11" t="inlineStr">
        <is>
          <t>2015</t>
        </is>
      </c>
      <c r="E11" t="n">
        <v>16267961</v>
      </c>
      <c r="F11" t="inlineStr">
        <is>
          <t>Barang baru dari BMD 2026 yang belum ada di KIR</t>
        </is>
      </c>
    </row>
    <row r="12">
      <c r="A12" t="n">
        <v>11</v>
      </c>
      <c r="B12" t="inlineStr">
        <is>
          <t>Sepeda Motor</t>
        </is>
      </c>
      <c r="C12" t="inlineStr">
        <is>
          <t>Merk: Honda Blade Tipe: 48612</t>
        </is>
      </c>
      <c r="D12" t="inlineStr">
        <is>
          <t>2015</t>
        </is>
      </c>
      <c r="E12" t="n">
        <v>16267961</v>
      </c>
      <c r="F12" t="inlineStr">
        <is>
          <t>Barang baru dari BMD 2026 yang belum ada di KIR</t>
        </is>
      </c>
    </row>
    <row r="13">
      <c r="A13" t="n">
        <v>12</v>
      </c>
      <c r="B13" t="inlineStr">
        <is>
          <t>Sepeda Motor</t>
        </is>
      </c>
      <c r="C13" t="inlineStr">
        <is>
          <t>Merk: Honda Blade Tipe: 48613</t>
        </is>
      </c>
      <c r="D13" t="inlineStr">
        <is>
          <t>2015</t>
        </is>
      </c>
      <c r="E13" t="n">
        <v>16267961</v>
      </c>
      <c r="F13" t="inlineStr">
        <is>
          <t>Barang baru dari BMD 2026 yang belum ada di KIR</t>
        </is>
      </c>
    </row>
    <row r="14">
      <c r="A14" t="n">
        <v>13</v>
      </c>
      <c r="B14" t="inlineStr">
        <is>
          <t>Sepeda Motor</t>
        </is>
      </c>
      <c r="C14" t="inlineStr">
        <is>
          <t>Merk: Honda Blade Tipe: 48614</t>
        </is>
      </c>
      <c r="D14" t="inlineStr">
        <is>
          <t>2015</t>
        </is>
      </c>
      <c r="E14" t="n">
        <v>16267961</v>
      </c>
      <c r="F14" t="inlineStr">
        <is>
          <t>Barang baru dari BMD 2026 yang belum ada di KIR</t>
        </is>
      </c>
    </row>
    <row r="15">
      <c r="A15" t="n">
        <v>14</v>
      </c>
      <c r="B15" t="inlineStr">
        <is>
          <t>Sepeda Motor</t>
        </is>
      </c>
      <c r="C15" t="inlineStr">
        <is>
          <t>Merk: Honda Supra X 125 Tipe: 48725</t>
        </is>
      </c>
      <c r="D15" t="inlineStr">
        <is>
          <t>2016</t>
        </is>
      </c>
      <c r="E15" t="n">
        <v>17268812</v>
      </c>
      <c r="F15" t="inlineStr">
        <is>
          <t>Barang baru dari BMD 2026 yang belum ada di KIR</t>
        </is>
      </c>
    </row>
    <row r="16">
      <c r="A16" t="n">
        <v>15</v>
      </c>
      <c r="B16" t="inlineStr">
        <is>
          <t>Sepeda Motor</t>
        </is>
      </c>
      <c r="C16" t="inlineStr">
        <is>
          <t>Merk: Honda Supra X 125 Tipe: 48726</t>
        </is>
      </c>
      <c r="D16" t="inlineStr">
        <is>
          <t>2016</t>
        </is>
      </c>
      <c r="E16" t="n">
        <v>17268812</v>
      </c>
      <c r="F16" t="inlineStr">
        <is>
          <t>Barang baru dari BMD 2026 yang belum ada di KIR</t>
        </is>
      </c>
    </row>
    <row r="17">
      <c r="A17" t="n">
        <v>16</v>
      </c>
      <c r="B17" t="inlineStr">
        <is>
          <t>Sepeda Motor</t>
        </is>
      </c>
      <c r="C17" t="inlineStr">
        <is>
          <t>Merk: Viar Tipe: 48849</t>
        </is>
      </c>
      <c r="D17" t="inlineStr">
        <is>
          <t>2023</t>
        </is>
      </c>
      <c r="E17" t="n">
        <v>27500000</v>
      </c>
      <c r="F17" t="inlineStr">
        <is>
          <t>Barang baru dari BMD 2026 yang belum ada di KIR</t>
        </is>
      </c>
    </row>
    <row r="18">
      <c r="A18" t="n">
        <v>17</v>
      </c>
      <c r="B18" t="inlineStr">
        <is>
          <t>Lemari Besi/Metal</t>
        </is>
      </c>
      <c r="C18" t="inlineStr">
        <is>
          <t>Merk: Platinum - Alba Tipe: 48615</t>
        </is>
      </c>
      <c r="D18" t="inlineStr">
        <is>
          <t>1992</t>
        </is>
      </c>
      <c r="E18" t="n">
        <v>1225000</v>
      </c>
      <c r="F18" t="inlineStr">
        <is>
          <t>Barang baru dari BMD 2026 yang belum ada di KIR</t>
        </is>
      </c>
    </row>
    <row r="19">
      <c r="A19" t="n">
        <v>18</v>
      </c>
      <c r="B19" t="inlineStr">
        <is>
          <t>Lemari Besi/Metal</t>
        </is>
      </c>
      <c r="C19" t="inlineStr">
        <is>
          <t>Merk: Brother Tipe: 48616</t>
        </is>
      </c>
      <c r="D19" t="inlineStr">
        <is>
          <t>1992</t>
        </is>
      </c>
      <c r="E19" t="n">
        <v>1225000</v>
      </c>
      <c r="F19" t="inlineStr">
        <is>
          <t>Barang baru dari BMD 2026 yang belum ada di KIR</t>
        </is>
      </c>
    </row>
    <row r="20">
      <c r="A20" t="n">
        <v>19</v>
      </c>
      <c r="B20" t="inlineStr">
        <is>
          <t>Lemari Besi/Metal</t>
        </is>
      </c>
      <c r="C20" t="inlineStr">
        <is>
          <t>Merk: Brother Tipe: 48617</t>
        </is>
      </c>
      <c r="D20" t="inlineStr">
        <is>
          <t>1994</t>
        </is>
      </c>
      <c r="E20" t="n">
        <v>1225000</v>
      </c>
      <c r="F20" t="inlineStr">
        <is>
          <t>Barang baru dari BMD 2026 yang belum ada di KIR</t>
        </is>
      </c>
    </row>
    <row r="21">
      <c r="A21" t="n">
        <v>20</v>
      </c>
      <c r="B21" t="inlineStr">
        <is>
          <t>Lemari Besi/Metal</t>
        </is>
      </c>
      <c r="C21" t="inlineStr">
        <is>
          <t>Merk: Lion Tipe: 48618</t>
        </is>
      </c>
      <c r="D21" t="inlineStr">
        <is>
          <t>2000</t>
        </is>
      </c>
      <c r="E21" t="n">
        <v>5190000</v>
      </c>
      <c r="F21" t="inlineStr">
        <is>
          <t>Barang baru dari BMD 2026 yang belum ada di KIR</t>
        </is>
      </c>
    </row>
    <row r="22">
      <c r="A22" t="n">
        <v>21</v>
      </c>
      <c r="B22" t="inlineStr">
        <is>
          <t>Lemari Besi/Metal</t>
        </is>
      </c>
      <c r="C22" t="inlineStr">
        <is>
          <t>Merk: Brother Tipe: 48619</t>
        </is>
      </c>
      <c r="D22" t="inlineStr">
        <is>
          <t>2008</t>
        </is>
      </c>
      <c r="E22" t="n">
        <v>1730000</v>
      </c>
      <c r="F22" t="inlineStr">
        <is>
          <t>Barang baru dari BMD 2026 yang belum ada di KIR</t>
        </is>
      </c>
    </row>
    <row r="23">
      <c r="A23" t="n">
        <v>22</v>
      </c>
      <c r="B23" t="inlineStr">
        <is>
          <t>Lemari Besi/Metal</t>
        </is>
      </c>
      <c r="C23" t="inlineStr">
        <is>
          <t>Merk: Brother Tipe: 48620</t>
        </is>
      </c>
      <c r="D23" t="inlineStr">
        <is>
          <t>2008</t>
        </is>
      </c>
      <c r="E23" t="n">
        <v>1730000</v>
      </c>
      <c r="F23" t="inlineStr">
        <is>
          <t>Barang baru dari BMD 2026 yang belum ada di KIR</t>
        </is>
      </c>
    </row>
    <row r="24">
      <c r="A24" t="n">
        <v>23</v>
      </c>
      <c r="B24" t="inlineStr">
        <is>
          <t>Lemari Besi/Metal</t>
        </is>
      </c>
      <c r="C24" t="inlineStr">
        <is>
          <t>Merk: Lion Tipe: 48621</t>
        </is>
      </c>
      <c r="D24" t="inlineStr">
        <is>
          <t>2009</t>
        </is>
      </c>
      <c r="E24" t="n">
        <v>2500000</v>
      </c>
      <c r="F24" t="inlineStr">
        <is>
          <t>Barang baru dari BMD 2026 yang belum ada di KIR</t>
        </is>
      </c>
    </row>
    <row r="25">
      <c r="A25" t="n">
        <v>24</v>
      </c>
      <c r="B25" t="inlineStr">
        <is>
          <t>Lemari Besi/Metal</t>
        </is>
      </c>
      <c r="C25" t="inlineStr">
        <is>
          <t>Merk: KRISBROW Tipe: 48622</t>
        </is>
      </c>
      <c r="D25" t="inlineStr">
        <is>
          <t>2012</t>
        </is>
      </c>
      <c r="E25" t="n">
        <v>3400000</v>
      </c>
      <c r="F25" t="inlineStr">
        <is>
          <t>Barang baru dari BMD 2026 yang belum ada di KIR</t>
        </is>
      </c>
    </row>
    <row r="26">
      <c r="A26" t="n">
        <v>25</v>
      </c>
      <c r="B26" t="inlineStr">
        <is>
          <t>Lemari Besi/Metal</t>
        </is>
      </c>
      <c r="C26" t="inlineStr">
        <is>
          <t>Merk: KRISBROW Tipe: 48623</t>
        </is>
      </c>
      <c r="D26" t="inlineStr">
        <is>
          <t>2012</t>
        </is>
      </c>
      <c r="E26" t="n">
        <v>3400000</v>
      </c>
      <c r="F26" t="inlineStr">
        <is>
          <t>Barang baru dari BMD 2026 yang belum ada di KIR</t>
        </is>
      </c>
    </row>
    <row r="27">
      <c r="A27" t="n">
        <v>26</v>
      </c>
      <c r="B27" t="inlineStr">
        <is>
          <t>Lemari Besi/Metal</t>
        </is>
      </c>
      <c r="C27" t="inlineStr">
        <is>
          <t>Merk: LION Tipe: 48624</t>
        </is>
      </c>
      <c r="D27" t="inlineStr">
        <is>
          <t>2013</t>
        </is>
      </c>
      <c r="E27" t="n">
        <v>2820699</v>
      </c>
      <c r="F27" t="inlineStr">
        <is>
          <t>Barang baru dari BMD 2026 yang belum ada di KIR</t>
        </is>
      </c>
    </row>
    <row r="28">
      <c r="A28" t="n">
        <v>27</v>
      </c>
      <c r="B28" t="inlineStr">
        <is>
          <t>Lemari Besi/Metal</t>
        </is>
      </c>
      <c r="C28" t="inlineStr">
        <is>
          <t>Merk: LION Tipe: 48625</t>
        </is>
      </c>
      <c r="D28" t="inlineStr">
        <is>
          <t>2013</t>
        </is>
      </c>
      <c r="E28" t="n">
        <v>2820699</v>
      </c>
      <c r="F28" t="inlineStr">
        <is>
          <t>Barang baru dari BMD 2026 yang belum ada di KIR</t>
        </is>
      </c>
    </row>
    <row r="29">
      <c r="A29" t="n">
        <v>28</v>
      </c>
      <c r="B29" t="inlineStr">
        <is>
          <t>Lemari Besi/Metal</t>
        </is>
      </c>
      <c r="C29" t="inlineStr">
        <is>
          <t>Merk: BROTHER Tipe: 48626</t>
        </is>
      </c>
      <c r="D29" t="inlineStr">
        <is>
          <t>2014</t>
        </is>
      </c>
      <c r="E29" t="n">
        <v>3669674</v>
      </c>
      <c r="F29" t="inlineStr">
        <is>
          <t>Barang baru dari BMD 2026 yang belum ada di KIR</t>
        </is>
      </c>
    </row>
    <row r="30">
      <c r="A30" t="n">
        <v>29</v>
      </c>
      <c r="B30" t="inlineStr">
        <is>
          <t>Lemari Besi/Metal</t>
        </is>
      </c>
      <c r="C30" t="inlineStr">
        <is>
          <t>Merk: BROTHER Tipe: 48627</t>
        </is>
      </c>
      <c r="D30" t="inlineStr">
        <is>
          <t>2014</t>
        </is>
      </c>
      <c r="E30" t="n">
        <v>3669674</v>
      </c>
      <c r="F30" t="inlineStr">
        <is>
          <t>Barang baru dari BMD 2026 yang belum ada di KIR</t>
        </is>
      </c>
    </row>
    <row r="31">
      <c r="A31" t="n">
        <v>30</v>
      </c>
      <c r="B31" t="inlineStr">
        <is>
          <t>Lemari Besi/Metal</t>
        </is>
      </c>
      <c r="C31" t="inlineStr">
        <is>
          <t>Merk: BROTHER Tipe: 48628</t>
        </is>
      </c>
      <c r="D31" t="inlineStr">
        <is>
          <t>2014</t>
        </is>
      </c>
      <c r="E31" t="n">
        <v>3669674</v>
      </c>
      <c r="F31" t="inlineStr">
        <is>
          <t>Barang baru dari BMD 2026 yang belum ada di KIR</t>
        </is>
      </c>
    </row>
    <row r="32">
      <c r="A32" t="n">
        <v>31</v>
      </c>
      <c r="B32" t="inlineStr">
        <is>
          <t>Lemari Kayu</t>
        </is>
      </c>
      <c r="C32" t="inlineStr">
        <is>
          <t>Merk: Buatan Lokal Tipe: 48646</t>
        </is>
      </c>
      <c r="D32" t="inlineStr">
        <is>
          <t>2000</t>
        </is>
      </c>
      <c r="E32" t="n">
        <v>350000</v>
      </c>
      <c r="F32" t="inlineStr">
        <is>
          <t>Barang baru dari BMD 2026 yang belum ada di KIR</t>
        </is>
      </c>
    </row>
    <row r="33">
      <c r="A33" t="n">
        <v>32</v>
      </c>
      <c r="B33" t="inlineStr">
        <is>
          <t>Lemari Kayu</t>
        </is>
      </c>
      <c r="C33" t="inlineStr">
        <is>
          <t>Merk: Brother Tipe: 0</t>
        </is>
      </c>
      <c r="D33" t="inlineStr">
        <is>
          <t>2006</t>
        </is>
      </c>
      <c r="E33" t="n">
        <v>250000</v>
      </c>
      <c r="F33" t="inlineStr">
        <is>
          <t>Barang baru dari BMD 2026 yang belum ada di KIR</t>
        </is>
      </c>
    </row>
    <row r="34">
      <c r="A34" t="n">
        <v>33</v>
      </c>
      <c r="B34" t="inlineStr">
        <is>
          <t>Lemari Kayu</t>
        </is>
      </c>
      <c r="C34" t="inlineStr">
        <is>
          <t>Merk: Big Panel Tipe: 48643</t>
        </is>
      </c>
      <c r="D34" t="inlineStr">
        <is>
          <t>2010</t>
        </is>
      </c>
      <c r="E34" t="n">
        <v>396000</v>
      </c>
      <c r="F34" t="inlineStr">
        <is>
          <t>Barang baru dari BMD 2026 yang belum ada di KIR</t>
        </is>
      </c>
    </row>
    <row r="35">
      <c r="A35" t="n">
        <v>34</v>
      </c>
      <c r="B35" t="inlineStr">
        <is>
          <t>Lemari Kayu</t>
        </is>
      </c>
      <c r="C35" t="inlineStr">
        <is>
          <t>Merk: Buatan Lokal Tipe: 48644</t>
        </is>
      </c>
      <c r="D35" t="inlineStr">
        <is>
          <t>2010</t>
        </is>
      </c>
      <c r="E35" t="n">
        <v>900000</v>
      </c>
      <c r="F35" t="inlineStr">
        <is>
          <t>Barang baru dari BMD 2026 yang belum ada di KIR</t>
        </is>
      </c>
    </row>
    <row r="36">
      <c r="A36" t="n">
        <v>35</v>
      </c>
      <c r="B36" t="inlineStr">
        <is>
          <t>Lemari Kayu</t>
        </is>
      </c>
      <c r="C36" t="inlineStr">
        <is>
          <t>Merk: SAGA RB 2800 Tipe: 48645</t>
        </is>
      </c>
      <c r="D36" t="inlineStr">
        <is>
          <t>2011</t>
        </is>
      </c>
      <c r="E36" t="n">
        <v>892500</v>
      </c>
      <c r="F36" t="inlineStr">
        <is>
          <t>Barang baru dari BMD 2026 yang belum ada di KIR</t>
        </is>
      </c>
    </row>
    <row r="37">
      <c r="A37" t="n">
        <v>36</v>
      </c>
      <c r="B37" t="inlineStr">
        <is>
          <t>Lemari Kayu</t>
        </is>
      </c>
      <c r="C37" t="inlineStr">
        <is>
          <t>Merk: Lokal Tipe: 48808</t>
        </is>
      </c>
      <c r="D37" t="inlineStr">
        <is>
          <t>2020</t>
        </is>
      </c>
      <c r="E37" t="n">
        <v>84403000</v>
      </c>
      <c r="F37" t="inlineStr">
        <is>
          <t>Barang baru dari BMD 2026 yang belum ada di KIR</t>
        </is>
      </c>
    </row>
    <row r="38">
      <c r="A38" t="n">
        <v>37</v>
      </c>
      <c r="B38" t="inlineStr">
        <is>
          <t>Lemari Kayu</t>
        </is>
      </c>
      <c r="C38" t="inlineStr">
        <is>
          <t>Merk: Lokal Tipe: 48809</t>
        </is>
      </c>
      <c r="D38" t="inlineStr">
        <is>
          <t>2020</t>
        </is>
      </c>
      <c r="E38" t="n">
        <v>3959900</v>
      </c>
      <c r="F38" t="inlineStr">
        <is>
          <t>Barang baru dari BMD 2026 yang belum ada di KIR</t>
        </is>
      </c>
    </row>
    <row r="39">
      <c r="A39" t="n">
        <v>38</v>
      </c>
      <c r="B39" t="inlineStr">
        <is>
          <t>Filing Cabinet Besi</t>
        </is>
      </c>
      <c r="C39" t="inlineStr">
        <is>
          <t>Merk: Brother Tipe: 48629</t>
        </is>
      </c>
      <c r="D39" t="inlineStr">
        <is>
          <t>2006</t>
        </is>
      </c>
      <c r="E39" t="n">
        <v>1220000</v>
      </c>
      <c r="F39" t="inlineStr">
        <is>
          <t>Barang baru dari BMD 2026 yang belum ada di KIR</t>
        </is>
      </c>
    </row>
    <row r="40">
      <c r="A40" t="n">
        <v>39</v>
      </c>
      <c r="B40" t="inlineStr">
        <is>
          <t>Filing Cabinet Besi</t>
        </is>
      </c>
      <c r="C40" t="inlineStr">
        <is>
          <t>Merk: Brother Tipe: 48630</t>
        </is>
      </c>
      <c r="D40" t="inlineStr">
        <is>
          <t>2006</t>
        </is>
      </c>
      <c r="E40" t="n">
        <v>1220000</v>
      </c>
      <c r="F40" t="inlineStr">
        <is>
          <t>Barang baru dari BMD 2026 yang belum ada di KIR</t>
        </is>
      </c>
    </row>
    <row r="41">
      <c r="A41" t="n">
        <v>40</v>
      </c>
      <c r="B41" t="inlineStr">
        <is>
          <t>Filing Cabinet Besi</t>
        </is>
      </c>
      <c r="C41" t="inlineStr">
        <is>
          <t>Merk: Brother Tipe: 48632</t>
        </is>
      </c>
      <c r="D41" t="inlineStr">
        <is>
          <t>2006</t>
        </is>
      </c>
      <c r="E41" t="n">
        <v>1220000</v>
      </c>
      <c r="F41" t="inlineStr">
        <is>
          <t>Barang baru dari BMD 2026 yang belum ada di KIR</t>
        </is>
      </c>
    </row>
    <row r="42">
      <c r="A42" t="n">
        <v>41</v>
      </c>
      <c r="B42" t="inlineStr">
        <is>
          <t>Filing Cabinet Besi</t>
        </is>
      </c>
      <c r="C42" t="inlineStr">
        <is>
          <t>Merk: Brother Tipe: 48631</t>
        </is>
      </c>
      <c r="D42" t="inlineStr">
        <is>
          <t>2008</t>
        </is>
      </c>
      <c r="E42" t="n">
        <v>1220000</v>
      </c>
      <c r="F42" t="inlineStr">
        <is>
          <t>Barang baru dari BMD 2026 yang belum ada di KIR</t>
        </is>
      </c>
    </row>
    <row r="43">
      <c r="A43" t="n">
        <v>42</v>
      </c>
      <c r="B43" t="inlineStr">
        <is>
          <t>Filing Cabinet Besi</t>
        </is>
      </c>
      <c r="C43" t="inlineStr">
        <is>
          <t>Merk: Secure Line Tipe: 48633</t>
        </is>
      </c>
      <c r="D43" t="inlineStr">
        <is>
          <t>2013</t>
        </is>
      </c>
      <c r="E43" t="n">
        <v>2880334</v>
      </c>
      <c r="F43" t="inlineStr">
        <is>
          <t>Barang baru dari BMD 2026 yang belum ada di KIR</t>
        </is>
      </c>
    </row>
    <row r="44">
      <c r="A44" t="n">
        <v>43</v>
      </c>
      <c r="B44" t="inlineStr">
        <is>
          <t>Filing Cabinet Besi</t>
        </is>
      </c>
      <c r="C44" t="inlineStr">
        <is>
          <t>Merk: Secure Line Tipe: 48634</t>
        </is>
      </c>
      <c r="D44" t="inlineStr">
        <is>
          <t>2013</t>
        </is>
      </c>
      <c r="E44" t="n">
        <v>2880334</v>
      </c>
      <c r="F44" t="inlineStr">
        <is>
          <t>Barang baru dari BMD 2026 yang belum ada di KIR</t>
        </is>
      </c>
    </row>
    <row r="45">
      <c r="A45" t="n">
        <v>44</v>
      </c>
      <c r="B45" t="inlineStr">
        <is>
          <t>Filing Cabinet Besi</t>
        </is>
      </c>
      <c r="C45" t="inlineStr">
        <is>
          <t>Merk: Secure Line Tipe: 48635</t>
        </is>
      </c>
      <c r="D45" t="inlineStr">
        <is>
          <t>2013</t>
        </is>
      </c>
      <c r="E45" t="n">
        <v>2880334</v>
      </c>
      <c r="F45" t="inlineStr">
        <is>
          <t>Barang baru dari BMD 2026 yang belum ada di KIR</t>
        </is>
      </c>
    </row>
    <row r="46">
      <c r="A46" t="n">
        <v>45</v>
      </c>
      <c r="B46" t="inlineStr">
        <is>
          <t>Filing Cabinet Besi</t>
        </is>
      </c>
      <c r="C46" t="inlineStr">
        <is>
          <t>Merk: BROTHER Tipe: 48636</t>
        </is>
      </c>
      <c r="D46" t="inlineStr">
        <is>
          <t>2014</t>
        </is>
      </c>
      <c r="E46" t="n">
        <v>3292653</v>
      </c>
      <c r="F46" t="inlineStr">
        <is>
          <t>Barang baru dari BMD 2026 yang belum ada di KIR</t>
        </is>
      </c>
    </row>
    <row r="47">
      <c r="A47" t="n">
        <v>46</v>
      </c>
      <c r="B47" t="inlineStr">
        <is>
          <t>Filing Cabinet Besi</t>
        </is>
      </c>
      <c r="C47" t="inlineStr">
        <is>
          <t>Merk: BROTHER Tipe: 48637</t>
        </is>
      </c>
      <c r="D47" t="inlineStr">
        <is>
          <t>2014</t>
        </is>
      </c>
      <c r="E47" t="n">
        <v>3292653</v>
      </c>
      <c r="F47" t="inlineStr">
        <is>
          <t>Barang baru dari BMD 2026 yang belum ada di KIR</t>
        </is>
      </c>
    </row>
    <row r="48">
      <c r="A48" t="n">
        <v>47</v>
      </c>
      <c r="B48" t="inlineStr">
        <is>
          <t>Filing Cabinet Besi</t>
        </is>
      </c>
      <c r="C48" t="inlineStr">
        <is>
          <t>Merk: BROTHER Tipe: 48638</t>
        </is>
      </c>
      <c r="D48" t="inlineStr">
        <is>
          <t>2014</t>
        </is>
      </c>
      <c r="E48" t="n">
        <v>3292653</v>
      </c>
      <c r="F48" t="inlineStr">
        <is>
          <t>Barang baru dari BMD 2026 yang belum ada di KIR</t>
        </is>
      </c>
    </row>
    <row r="49">
      <c r="A49" t="n">
        <v>48</v>
      </c>
      <c r="B49" t="inlineStr">
        <is>
          <t>Filing Cabinet Besi</t>
        </is>
      </c>
      <c r="C49" t="inlineStr">
        <is>
          <t>Merk: BROTHER Tipe: 48639</t>
        </is>
      </c>
      <c r="D49" t="inlineStr">
        <is>
          <t>2014</t>
        </is>
      </c>
      <c r="E49" t="n">
        <v>3292652</v>
      </c>
      <c r="F49" t="inlineStr">
        <is>
          <t>Barang baru dari BMD 2026 yang belum ada di KIR</t>
        </is>
      </c>
    </row>
    <row r="50">
      <c r="A50" t="n">
        <v>49</v>
      </c>
      <c r="B50" t="inlineStr">
        <is>
          <t>Filing Cabinet Besi</t>
        </is>
      </c>
      <c r="C50" t="inlineStr">
        <is>
          <t>Merk: BROTHER Tipe: 48640</t>
        </is>
      </c>
      <c r="D50" t="inlineStr">
        <is>
          <t>2014</t>
        </is>
      </c>
      <c r="E50" t="n">
        <v>3292652</v>
      </c>
      <c r="F50" t="inlineStr">
        <is>
          <t>Barang baru dari BMD 2026 yang belum ada di KIR</t>
        </is>
      </c>
    </row>
    <row r="51">
      <c r="A51" t="n">
        <v>50</v>
      </c>
      <c r="B51" t="inlineStr">
        <is>
          <t>Filing Cabinet Besi</t>
        </is>
      </c>
      <c r="C51" t="inlineStr">
        <is>
          <t>Merk: BROTHER Tipe: 48736</t>
        </is>
      </c>
      <c r="D51" t="inlineStr">
        <is>
          <t>2017</t>
        </is>
      </c>
      <c r="E51" t="n">
        <v>2081297</v>
      </c>
      <c r="F51" t="inlineStr">
        <is>
          <t>Barang baru dari BMD 2026 yang belum ada di KIR</t>
        </is>
      </c>
    </row>
    <row r="52">
      <c r="A52" t="n">
        <v>51</v>
      </c>
      <c r="B52" t="inlineStr">
        <is>
          <t>Filing Cabinet Besi</t>
        </is>
      </c>
      <c r="C52" t="inlineStr">
        <is>
          <t>Merk: BROTHER Tipe: 48750</t>
        </is>
      </c>
      <c r="D52" t="inlineStr">
        <is>
          <t>2018</t>
        </is>
      </c>
      <c r="E52" t="n">
        <v>2095323</v>
      </c>
      <c r="F52" t="inlineStr">
        <is>
          <t>Barang baru dari BMD 2026 yang belum ada di KIR</t>
        </is>
      </c>
    </row>
    <row r="53">
      <c r="A53" t="n">
        <v>52</v>
      </c>
      <c r="B53" t="inlineStr">
        <is>
          <t>Filing Cabinet Besi</t>
        </is>
      </c>
      <c r="C53" t="inlineStr">
        <is>
          <t>Merk: BROTHER Tipe: 48751</t>
        </is>
      </c>
      <c r="D53" t="inlineStr">
        <is>
          <t>2018</t>
        </is>
      </c>
      <c r="E53" t="n">
        <v>2095323</v>
      </c>
      <c r="F53" t="inlineStr">
        <is>
          <t>Barang baru dari BMD 2026 yang belum ada di KIR</t>
        </is>
      </c>
    </row>
    <row r="54">
      <c r="A54" t="n">
        <v>53</v>
      </c>
      <c r="B54" t="inlineStr">
        <is>
          <t>Lemari Kaca</t>
        </is>
      </c>
      <c r="C54" t="inlineStr">
        <is>
          <t>Merk: Brother Tipe: 48641</t>
        </is>
      </c>
      <c r="D54" t="inlineStr">
        <is>
          <t>2006</t>
        </is>
      </c>
      <c r="E54" t="n">
        <v>1820000</v>
      </c>
      <c r="F54" t="inlineStr">
        <is>
          <t>Barang baru dari BMD 2026 yang belum ada di KIR</t>
        </is>
      </c>
    </row>
    <row r="55">
      <c r="A55" t="n">
        <v>54</v>
      </c>
      <c r="B55" t="inlineStr">
        <is>
          <t>Lemari Kaca</t>
        </is>
      </c>
      <c r="C55" t="inlineStr">
        <is>
          <t>Merk: Brother Tipe: 48642</t>
        </is>
      </c>
      <c r="D55" t="inlineStr">
        <is>
          <t>2014</t>
        </is>
      </c>
      <c r="E55" t="n">
        <v>3050000</v>
      </c>
      <c r="F55" t="inlineStr">
        <is>
          <t>Barang baru dari BMD 2026 yang belum ada di KIR</t>
        </is>
      </c>
    </row>
    <row r="56">
      <c r="A56" t="n">
        <v>55</v>
      </c>
      <c r="B56" t="inlineStr">
        <is>
          <t>Alat Penyimpanan Perlengkapan Kantor Lain-Lain</t>
        </is>
      </c>
      <c r="C56" t="inlineStr">
        <is>
          <t>Merk: Brother Tipe: B-308</t>
        </is>
      </c>
      <c r="D56" t="inlineStr">
        <is>
          <t>2024</t>
        </is>
      </c>
      <c r="E56" t="n">
        <v>4950000</v>
      </c>
      <c r="F56" t="inlineStr">
        <is>
          <t>Barang baru dari BMD 2026 yang belum ada di KIR</t>
        </is>
      </c>
    </row>
    <row r="57">
      <c r="A57" t="n">
        <v>56</v>
      </c>
      <c r="B57" t="inlineStr">
        <is>
          <t>Alat Penghancur Kertas</t>
        </is>
      </c>
      <c r="C57" t="inlineStr">
        <is>
          <t>Merk: KRISBOW Tipe: 48776</t>
        </is>
      </c>
      <c r="D57" t="inlineStr">
        <is>
          <t>2019</t>
        </is>
      </c>
      <c r="E57" t="n">
        <v>805337</v>
      </c>
      <c r="F57" t="inlineStr">
        <is>
          <t>Barang baru dari BMD 2026 yang belum ada di KIR</t>
        </is>
      </c>
    </row>
    <row r="58">
      <c r="A58" t="n">
        <v>57</v>
      </c>
      <c r="B58" t="inlineStr">
        <is>
          <t>Mesin Absensi</t>
        </is>
      </c>
      <c r="C58" t="inlineStr">
        <is>
          <t>Merk: MBIO Tipe: 48772</t>
        </is>
      </c>
      <c r="D58" t="inlineStr">
        <is>
          <t>2019</t>
        </is>
      </c>
      <c r="E58" t="n">
        <v>4630687</v>
      </c>
      <c r="F58" t="inlineStr">
        <is>
          <t>Barang baru dari BMD 2026 yang belum ada di KIR</t>
        </is>
      </c>
    </row>
    <row r="59">
      <c r="A59" t="n">
        <v>58</v>
      </c>
      <c r="B59" t="inlineStr">
        <is>
          <t>Overhead Projector</t>
        </is>
      </c>
      <c r="C59" t="inlineStr">
        <is>
          <t>Merk: Thosiba / Program Tipe: 48649</t>
        </is>
      </c>
      <c r="D59" t="inlineStr">
        <is>
          <t>2007</t>
        </is>
      </c>
      <c r="E59" t="n">
        <v>40850000</v>
      </c>
      <c r="F59" t="inlineStr">
        <is>
          <t>Barang baru dari BMD 2026 yang belum ada di KIR</t>
        </is>
      </c>
    </row>
    <row r="60">
      <c r="A60" t="n">
        <v>59</v>
      </c>
      <c r="B60" t="inlineStr">
        <is>
          <t>LCD Projector/Infocus</t>
        </is>
      </c>
      <c r="C60" t="inlineStr">
        <is>
          <t>Merk: Acer Tipe: 48843</t>
        </is>
      </c>
      <c r="D60" t="inlineStr">
        <is>
          <t>2023</t>
        </is>
      </c>
      <c r="E60" t="n">
        <v>9500000</v>
      </c>
      <c r="F60" t="inlineStr">
        <is>
          <t>Barang baru dari BMD 2026 yang belum ada di KIR</t>
        </is>
      </c>
    </row>
    <row r="61">
      <c r="A61" t="n">
        <v>60</v>
      </c>
      <c r="B61" t="inlineStr">
        <is>
          <t>LCD Projector/Infocus</t>
        </is>
      </c>
      <c r="C61" t="inlineStr">
        <is>
          <t>Merk: Acer Tipe: 48844</t>
        </is>
      </c>
      <c r="D61" t="inlineStr">
        <is>
          <t>2023</t>
        </is>
      </c>
      <c r="E61" t="n">
        <v>9500000</v>
      </c>
      <c r="F61" t="inlineStr">
        <is>
          <t>Barang baru dari BMD 2026 yang belum ada di KIR</t>
        </is>
      </c>
    </row>
    <row r="62">
      <c r="A62" t="n">
        <v>61</v>
      </c>
      <c r="B62" t="inlineStr">
        <is>
          <t>Papan Tulis</t>
        </is>
      </c>
      <c r="C62" t="inlineStr">
        <is>
          <t>Merk: Papan Data Pengumuman Tipe: 48648</t>
        </is>
      </c>
      <c r="D62" t="inlineStr">
        <is>
          <t>2010</t>
        </is>
      </c>
      <c r="E62" t="n">
        <v>1350000</v>
      </c>
      <c r="F62" t="inlineStr">
        <is>
          <t>Barang baru dari BMD 2026 yang belum ada di KIR</t>
        </is>
      </c>
    </row>
    <row r="63">
      <c r="A63" t="n">
        <v>62</v>
      </c>
      <c r="B63" t="inlineStr">
        <is>
          <t>Kursi Besi/Metal</t>
        </is>
      </c>
      <c r="C63" t="inlineStr">
        <is>
          <t xml:space="preserve"> Tipe: 0</t>
        </is>
      </c>
      <c r="D63" t="inlineStr">
        <is>
          <t>1997</t>
        </is>
      </c>
      <c r="E63" t="n">
        <v>148648.5</v>
      </c>
      <c r="F63" t="inlineStr">
        <is>
          <t>Barang baru dari BMD 2026 yang belum ada di KIR</t>
        </is>
      </c>
    </row>
    <row r="64">
      <c r="A64" t="n">
        <v>63</v>
      </c>
      <c r="B64" t="inlineStr">
        <is>
          <t>Kursi Besi/Metal</t>
        </is>
      </c>
      <c r="C64" t="inlineStr">
        <is>
          <t xml:space="preserve"> Tipe: 0</t>
        </is>
      </c>
      <c r="D64" t="inlineStr">
        <is>
          <t>1997</t>
        </is>
      </c>
      <c r="E64" t="n">
        <v>148648.5</v>
      </c>
      <c r="F64" t="inlineStr">
        <is>
          <t>Barang baru dari BMD 2026 yang belum ada di KIR</t>
        </is>
      </c>
    </row>
    <row r="65">
      <c r="A65" t="n">
        <v>64</v>
      </c>
      <c r="B65" t="inlineStr">
        <is>
          <t>Kursi Besi/Metal</t>
        </is>
      </c>
      <c r="C65" t="inlineStr">
        <is>
          <t xml:space="preserve"> Tipe: 0</t>
        </is>
      </c>
      <c r="D65" t="inlineStr">
        <is>
          <t>1997</t>
        </is>
      </c>
      <c r="E65" t="n">
        <v>148648.5</v>
      </c>
      <c r="F65" t="inlineStr">
        <is>
          <t>Barang baru dari BMD 2026 yang belum ada di KIR</t>
        </is>
      </c>
    </row>
    <row r="66">
      <c r="A66" t="n">
        <v>65</v>
      </c>
      <c r="B66" t="inlineStr">
        <is>
          <t>Kursi Besi/Metal</t>
        </is>
      </c>
      <c r="C66" t="inlineStr">
        <is>
          <t xml:space="preserve"> Tipe: 0</t>
        </is>
      </c>
      <c r="D66" t="inlineStr">
        <is>
          <t>1997</t>
        </is>
      </c>
      <c r="E66" t="n">
        <v>148648.5</v>
      </c>
      <c r="F66" t="inlineStr">
        <is>
          <t>Barang baru dari BMD 2026 yang belum ada di KIR</t>
        </is>
      </c>
    </row>
    <row r="67">
      <c r="A67" t="n">
        <v>66</v>
      </c>
      <c r="B67" t="inlineStr">
        <is>
          <t>Kursi Besi/Metal</t>
        </is>
      </c>
      <c r="C67" t="inlineStr">
        <is>
          <t xml:space="preserve"> Tipe: 0</t>
        </is>
      </c>
      <c r="D67" t="inlineStr">
        <is>
          <t>1997</t>
        </is>
      </c>
      <c r="E67" t="n">
        <v>148648.5</v>
      </c>
      <c r="F67" t="inlineStr">
        <is>
          <t>Barang baru dari BMD 2026 yang belum ada di KIR</t>
        </is>
      </c>
    </row>
    <row r="68">
      <c r="A68" t="n">
        <v>67</v>
      </c>
      <c r="B68" t="inlineStr">
        <is>
          <t>Kursi Besi/Metal</t>
        </is>
      </c>
      <c r="C68" t="inlineStr">
        <is>
          <t xml:space="preserve"> Tipe: 0</t>
        </is>
      </c>
      <c r="D68" t="inlineStr">
        <is>
          <t>1997</t>
        </is>
      </c>
      <c r="E68" t="n">
        <v>148648.5</v>
      </c>
      <c r="F68" t="inlineStr">
        <is>
          <t>Barang baru dari BMD 2026 yang belum ada di KIR</t>
        </is>
      </c>
    </row>
    <row r="69">
      <c r="A69" t="n">
        <v>68</v>
      </c>
      <c r="B69" t="inlineStr">
        <is>
          <t>Kursi Besi/Metal</t>
        </is>
      </c>
      <c r="C69" t="inlineStr">
        <is>
          <t xml:space="preserve"> Tipe: 0</t>
        </is>
      </c>
      <c r="D69" t="inlineStr">
        <is>
          <t>1997</t>
        </is>
      </c>
      <c r="E69" t="n">
        <v>148648.5</v>
      </c>
      <c r="F69" t="inlineStr">
        <is>
          <t>Barang baru dari BMD 2026 yang belum ada di KIR</t>
        </is>
      </c>
    </row>
    <row r="70">
      <c r="A70" t="n">
        <v>69</v>
      </c>
      <c r="B70" t="inlineStr">
        <is>
          <t>Kursi Besi/Metal</t>
        </is>
      </c>
      <c r="C70" t="inlineStr">
        <is>
          <t xml:space="preserve"> Tipe: 0</t>
        </is>
      </c>
      <c r="D70" t="inlineStr">
        <is>
          <t>1997</t>
        </is>
      </c>
      <c r="E70" t="n">
        <v>148648.5</v>
      </c>
      <c r="F70" t="inlineStr">
        <is>
          <t>Barang baru dari BMD 2026 yang belum ada di KIR</t>
        </is>
      </c>
    </row>
    <row r="71">
      <c r="A71" t="n">
        <v>70</v>
      </c>
      <c r="B71" t="inlineStr">
        <is>
          <t>Meja Rapat</t>
        </is>
      </c>
      <c r="C71" t="inlineStr">
        <is>
          <t>Merk: Indachi Tipe: 48650</t>
        </is>
      </c>
      <c r="D71" t="inlineStr">
        <is>
          <t>2014</t>
        </is>
      </c>
      <c r="E71" t="n">
        <v>7439153</v>
      </c>
      <c r="F71" t="inlineStr">
        <is>
          <t>Barang baru dari BMD 2026 yang belum ada di KIR</t>
        </is>
      </c>
    </row>
    <row r="72">
      <c r="A72" t="n">
        <v>71</v>
      </c>
      <c r="B72" t="inlineStr">
        <is>
          <t>Meja Resepsionis</t>
        </is>
      </c>
      <c r="C72" t="inlineStr">
        <is>
          <t>Merk: Lokal Tipe: 48807</t>
        </is>
      </c>
      <c r="D72" t="inlineStr">
        <is>
          <t>2020</t>
        </is>
      </c>
      <c r="E72" t="n">
        <v>24337500</v>
      </c>
      <c r="F72" t="inlineStr">
        <is>
          <t>Barang baru dari BMD 2026 yang belum ada di KIR</t>
        </is>
      </c>
    </row>
    <row r="73">
      <c r="A73" t="n">
        <v>72</v>
      </c>
      <c r="B73" t="inlineStr">
        <is>
          <t>Meja Panjang</t>
        </is>
      </c>
      <c r="C73" t="inlineStr">
        <is>
          <t>Merk: Lokal Tipe: 48810</t>
        </is>
      </c>
      <c r="D73" t="inlineStr">
        <is>
          <t>2020</t>
        </is>
      </c>
      <c r="E73" t="n">
        <v>5860800</v>
      </c>
      <c r="F73" t="inlineStr">
        <is>
          <t>Barang baru dari BMD 2026 yang belum ada di KIR</t>
        </is>
      </c>
    </row>
    <row r="74">
      <c r="A74" t="n">
        <v>73</v>
      </c>
      <c r="B74" t="inlineStr">
        <is>
          <t>Kursi Rapat</t>
        </is>
      </c>
      <c r="C74" t="inlineStr">
        <is>
          <t>Merk: Chitose Tipe: 48652</t>
        </is>
      </c>
      <c r="D74" t="inlineStr">
        <is>
          <t>2009</t>
        </is>
      </c>
      <c r="E74" t="n">
        <v>350000</v>
      </c>
      <c r="F74" t="inlineStr">
        <is>
          <t>Barang baru dari BMD 2026 yang belum ada di KIR</t>
        </is>
      </c>
    </row>
    <row r="75">
      <c r="A75" t="n">
        <v>74</v>
      </c>
      <c r="B75" t="inlineStr">
        <is>
          <t>Kursi Rapat</t>
        </is>
      </c>
      <c r="C75" t="inlineStr">
        <is>
          <t>Merk: Chitose Tipe: 48653</t>
        </is>
      </c>
      <c r="D75" t="inlineStr">
        <is>
          <t>2009</t>
        </is>
      </c>
      <c r="E75" t="n">
        <v>350000</v>
      </c>
      <c r="F75" t="inlineStr">
        <is>
          <t>Barang baru dari BMD 2026 yang belum ada di KIR</t>
        </is>
      </c>
    </row>
    <row r="76">
      <c r="A76" t="n">
        <v>75</v>
      </c>
      <c r="B76" t="inlineStr">
        <is>
          <t>Kursi Rapat</t>
        </is>
      </c>
      <c r="C76" t="inlineStr">
        <is>
          <t>Merk: Chitose Tipe: 48654</t>
        </is>
      </c>
      <c r="D76" t="inlineStr">
        <is>
          <t>2009</t>
        </is>
      </c>
      <c r="E76" t="n">
        <v>350000</v>
      </c>
      <c r="F76" t="inlineStr">
        <is>
          <t>Barang baru dari BMD 2026 yang belum ada di KIR</t>
        </is>
      </c>
    </row>
    <row r="77">
      <c r="A77" t="n">
        <v>76</v>
      </c>
      <c r="B77" t="inlineStr">
        <is>
          <t>Kursi Rapat</t>
        </is>
      </c>
      <c r="C77" t="inlineStr">
        <is>
          <t>Merk: Indachi Tipe: 48657</t>
        </is>
      </c>
      <c r="D77" t="inlineStr">
        <is>
          <t>2014</t>
        </is>
      </c>
      <c r="E77" t="n">
        <v>743915</v>
      </c>
      <c r="F77" t="inlineStr">
        <is>
          <t>Barang baru dari BMD 2026 yang belum ada di KIR</t>
        </is>
      </c>
    </row>
    <row r="78">
      <c r="A78" t="n">
        <v>77</v>
      </c>
      <c r="B78" t="inlineStr">
        <is>
          <t>Kursi Rapat</t>
        </is>
      </c>
      <c r="C78" t="inlineStr">
        <is>
          <t>Merk: Indachi Tipe: 48658</t>
        </is>
      </c>
      <c r="D78" t="inlineStr">
        <is>
          <t>2014</t>
        </is>
      </c>
      <c r="E78" t="n">
        <v>743915</v>
      </c>
      <c r="F78" t="inlineStr">
        <is>
          <t>Barang baru dari BMD 2026 yang belum ada di KIR</t>
        </is>
      </c>
    </row>
    <row r="79">
      <c r="A79" t="n">
        <v>78</v>
      </c>
      <c r="B79" t="inlineStr">
        <is>
          <t>Kursi Rapat</t>
        </is>
      </c>
      <c r="C79" t="inlineStr">
        <is>
          <t>Merk: Indachi Tipe: 48659</t>
        </is>
      </c>
      <c r="D79" t="inlineStr">
        <is>
          <t>2014</t>
        </is>
      </c>
      <c r="E79" t="n">
        <v>743917</v>
      </c>
      <c r="F79" t="inlineStr">
        <is>
          <t>Barang baru dari BMD 2026 yang belum ada di KIR</t>
        </is>
      </c>
    </row>
    <row r="80">
      <c r="A80" t="n">
        <v>79</v>
      </c>
      <c r="B80" t="inlineStr">
        <is>
          <t>Kursi Tamu</t>
        </is>
      </c>
      <c r="C80" t="inlineStr">
        <is>
          <t>Merk: Lokal Tipe: 48811</t>
        </is>
      </c>
      <c r="D80" t="inlineStr">
        <is>
          <t>2020</t>
        </is>
      </c>
      <c r="E80" t="n">
        <v>15628800</v>
      </c>
      <c r="F80" t="inlineStr">
        <is>
          <t>Barang baru dari BMD 2026 yang belum ada di KIR</t>
        </is>
      </c>
    </row>
    <row r="81">
      <c r="A81" t="n">
        <v>80</v>
      </c>
      <c r="B81" t="inlineStr">
        <is>
          <t>Kursi Putar</t>
        </is>
      </c>
      <c r="C81" t="inlineStr">
        <is>
          <t>Merk: Isabel 325 T Tipe: 48660</t>
        </is>
      </c>
      <c r="D81" t="inlineStr">
        <is>
          <t>2010</t>
        </is>
      </c>
      <c r="E81" t="n">
        <v>320000</v>
      </c>
      <c r="F81" t="inlineStr">
        <is>
          <t>Barang baru dari BMD 2026 yang belum ada di KIR</t>
        </is>
      </c>
    </row>
    <row r="82">
      <c r="A82" t="n">
        <v>81</v>
      </c>
      <c r="B82" t="inlineStr">
        <is>
          <t>Kursi Putar</t>
        </is>
      </c>
      <c r="C82" t="inlineStr">
        <is>
          <t>Merk: USHUTO Tipe: 48662</t>
        </is>
      </c>
      <c r="D82" t="inlineStr">
        <is>
          <t>2013</t>
        </is>
      </c>
      <c r="E82" t="n">
        <v>486971.677</v>
      </c>
      <c r="F82" t="inlineStr">
        <is>
          <t>Barang baru dari BMD 2026 yang belum ada di KIR</t>
        </is>
      </c>
    </row>
    <row r="83">
      <c r="A83" t="n">
        <v>82</v>
      </c>
      <c r="B83" t="inlineStr">
        <is>
          <t>Kursi Putar</t>
        </is>
      </c>
      <c r="C83" t="inlineStr">
        <is>
          <t>Merk: USHUTO Tipe: 48663</t>
        </is>
      </c>
      <c r="D83" t="inlineStr">
        <is>
          <t>2013</t>
        </is>
      </c>
      <c r="E83" t="n">
        <v>486971.677</v>
      </c>
      <c r="F83" t="inlineStr">
        <is>
          <t>Barang baru dari BMD 2026 yang belum ada di KIR</t>
        </is>
      </c>
    </row>
    <row r="84">
      <c r="A84" t="n">
        <v>83</v>
      </c>
      <c r="B84" t="inlineStr">
        <is>
          <t>Kursi Putar</t>
        </is>
      </c>
      <c r="C84" t="inlineStr">
        <is>
          <t>Merk: USHUTO Tipe: 48664</t>
        </is>
      </c>
      <c r="D84" t="inlineStr">
        <is>
          <t>2013</t>
        </is>
      </c>
      <c r="E84" t="n">
        <v>486971.677</v>
      </c>
      <c r="F84" t="inlineStr">
        <is>
          <t>Barang baru dari BMD 2026 yang belum ada di KIR</t>
        </is>
      </c>
    </row>
    <row r="85">
      <c r="A85" t="n">
        <v>84</v>
      </c>
      <c r="B85" t="inlineStr">
        <is>
          <t>Kursi Putar</t>
        </is>
      </c>
      <c r="C85" t="inlineStr">
        <is>
          <t>Merk: Indachi Tipe: 48670</t>
        </is>
      </c>
      <c r="D85" t="inlineStr">
        <is>
          <t>2014</t>
        </is>
      </c>
      <c r="E85" t="n">
        <v>794180</v>
      </c>
      <c r="F85" t="inlineStr">
        <is>
          <t>Barang baru dari BMD 2026 yang belum ada di KIR</t>
        </is>
      </c>
    </row>
    <row r="86">
      <c r="A86" t="n">
        <v>85</v>
      </c>
      <c r="B86" t="inlineStr">
        <is>
          <t>Kursi Putar</t>
        </is>
      </c>
      <c r="C86" t="inlineStr">
        <is>
          <t>Merk: Indachi Tipe: 48671</t>
        </is>
      </c>
      <c r="D86" t="inlineStr">
        <is>
          <t>2014</t>
        </is>
      </c>
      <c r="E86" t="n">
        <v>794180</v>
      </c>
      <c r="F86" t="inlineStr">
        <is>
          <t>Barang baru dari BMD 2026 yang belum ada di KIR</t>
        </is>
      </c>
    </row>
    <row r="87">
      <c r="A87" t="n">
        <v>86</v>
      </c>
      <c r="B87" t="inlineStr">
        <is>
          <t>Kursi Putar</t>
        </is>
      </c>
      <c r="C87" t="inlineStr">
        <is>
          <t>Merk: Indachi Tipe: 48672</t>
        </is>
      </c>
      <c r="D87" t="inlineStr">
        <is>
          <t>2014</t>
        </is>
      </c>
      <c r="E87" t="n">
        <v>794180</v>
      </c>
      <c r="F87" t="inlineStr">
        <is>
          <t>Barang baru dari BMD 2026 yang belum ada di KIR</t>
        </is>
      </c>
    </row>
    <row r="88">
      <c r="A88" t="n">
        <v>87</v>
      </c>
      <c r="B88" t="inlineStr">
        <is>
          <t>Kursi Putar</t>
        </is>
      </c>
      <c r="C88" t="inlineStr">
        <is>
          <t>Merk: Indachi Tipe: 48673</t>
        </is>
      </c>
      <c r="D88" t="inlineStr">
        <is>
          <t>2014</t>
        </is>
      </c>
      <c r="E88" t="n">
        <v>794180</v>
      </c>
      <c r="F88" t="inlineStr">
        <is>
          <t>Barang baru dari BMD 2026 yang belum ada di KIR</t>
        </is>
      </c>
    </row>
    <row r="89">
      <c r="A89" t="n">
        <v>88</v>
      </c>
      <c r="B89" t="inlineStr">
        <is>
          <t>Kursi Putar</t>
        </is>
      </c>
      <c r="C89" t="inlineStr">
        <is>
          <t>Merk: Indachi Tipe: 48674</t>
        </is>
      </c>
      <c r="D89" t="inlineStr">
        <is>
          <t>2014</t>
        </is>
      </c>
      <c r="E89" t="n">
        <v>794180</v>
      </c>
      <c r="F89" t="inlineStr">
        <is>
          <t>Barang baru dari BMD 2026 yang belum ada di KIR</t>
        </is>
      </c>
    </row>
    <row r="90">
      <c r="A90" t="n">
        <v>89</v>
      </c>
      <c r="B90" t="inlineStr">
        <is>
          <t>Kursi Putar</t>
        </is>
      </c>
      <c r="C90" t="inlineStr">
        <is>
          <t>Merk: Indachi Tipe: 48675</t>
        </is>
      </c>
      <c r="D90" t="inlineStr">
        <is>
          <t>2014</t>
        </is>
      </c>
      <c r="E90" t="n">
        <v>794180</v>
      </c>
      <c r="F90" t="inlineStr">
        <is>
          <t>Barang baru dari BMD 2026 yang belum ada di KIR</t>
        </is>
      </c>
    </row>
    <row r="91">
      <c r="A91" t="n">
        <v>90</v>
      </c>
      <c r="B91" t="inlineStr">
        <is>
          <t>Kursi Putar</t>
        </is>
      </c>
      <c r="C91" t="inlineStr">
        <is>
          <t>Merk: Indachi Tipe: 48676</t>
        </is>
      </c>
      <c r="D91" t="inlineStr">
        <is>
          <t>2014</t>
        </is>
      </c>
      <c r="E91" t="n">
        <v>794180</v>
      </c>
      <c r="F91" t="inlineStr">
        <is>
          <t>Barang baru dari BMD 2026 yang belum ada di KIR</t>
        </is>
      </c>
    </row>
    <row r="92">
      <c r="A92" t="n">
        <v>91</v>
      </c>
      <c r="B92" t="inlineStr">
        <is>
          <t>Kursi Putar</t>
        </is>
      </c>
      <c r="C92" t="inlineStr">
        <is>
          <t>Merk: Indachi Tipe: 48677</t>
        </is>
      </c>
      <c r="D92" t="inlineStr">
        <is>
          <t>2014</t>
        </is>
      </c>
      <c r="E92" t="n">
        <v>794180</v>
      </c>
      <c r="F92" t="inlineStr">
        <is>
          <t>Barang baru dari BMD 2026 yang belum ada di KIR</t>
        </is>
      </c>
    </row>
    <row r="93">
      <c r="A93" t="n">
        <v>92</v>
      </c>
      <c r="B93" t="inlineStr">
        <is>
          <t>Kursi Putar</t>
        </is>
      </c>
      <c r="C93" t="inlineStr">
        <is>
          <t>Merk: Indachi Tipe: 48678</t>
        </is>
      </c>
      <c r="D93" t="inlineStr">
        <is>
          <t>2014</t>
        </is>
      </c>
      <c r="E93" t="n">
        <v>794179</v>
      </c>
      <c r="F93" t="inlineStr">
        <is>
          <t>Barang baru dari BMD 2026 yang belum ada di KIR</t>
        </is>
      </c>
    </row>
    <row r="94">
      <c r="A94" t="n">
        <v>93</v>
      </c>
      <c r="B94" t="inlineStr">
        <is>
          <t>Kursi Putar</t>
        </is>
      </c>
      <c r="C94" t="inlineStr">
        <is>
          <t>Merk: Indachi Tipe: 48679</t>
        </is>
      </c>
      <c r="D94" t="inlineStr">
        <is>
          <t>2014</t>
        </is>
      </c>
      <c r="E94" t="n">
        <v>794179</v>
      </c>
      <c r="F94" t="inlineStr">
        <is>
          <t>Barang baru dari BMD 2026 yang belum ada di KIR</t>
        </is>
      </c>
    </row>
    <row r="95">
      <c r="A95" t="n">
        <v>94</v>
      </c>
      <c r="B95" t="inlineStr">
        <is>
          <t>Kursi Putar</t>
        </is>
      </c>
      <c r="C95" t="inlineStr">
        <is>
          <t> </t>
        </is>
      </c>
      <c r="D95" t="inlineStr">
        <is>
          <t>2025</t>
        </is>
      </c>
      <c r="E95" t="n">
        <v>1454450</v>
      </c>
      <c r="F95" t="inlineStr">
        <is>
          <t>Barang baru dari BMD 2026 yang belum ada di KIR</t>
        </is>
      </c>
    </row>
    <row r="96">
      <c r="A96" t="n">
        <v>95</v>
      </c>
      <c r="B96" t="inlineStr">
        <is>
          <t>Kursi Putar</t>
        </is>
      </c>
      <c r="C96" t="inlineStr">
        <is>
          <t> </t>
        </is>
      </c>
      <c r="D96" t="inlineStr">
        <is>
          <t>2025</t>
        </is>
      </c>
      <c r="E96" t="n">
        <v>1454450</v>
      </c>
      <c r="F96" t="inlineStr">
        <is>
          <t>Barang baru dari BMD 2026 yang belum ada di KIR</t>
        </is>
      </c>
    </row>
    <row r="97">
      <c r="A97" t="n">
        <v>96</v>
      </c>
      <c r="B97" t="inlineStr">
        <is>
          <t>Kursi Putar</t>
        </is>
      </c>
      <c r="C97" t="inlineStr">
        <is>
          <t> </t>
        </is>
      </c>
      <c r="D97" t="inlineStr">
        <is>
          <t>2025</t>
        </is>
      </c>
      <c r="E97" t="n">
        <v>1454450</v>
      </c>
      <c r="F97" t="inlineStr">
        <is>
          <t>Barang baru dari BMD 2026 yang belum ada di KIR</t>
        </is>
      </c>
    </row>
    <row r="98">
      <c r="A98" t="n">
        <v>97</v>
      </c>
      <c r="B98" t="inlineStr">
        <is>
          <t>Kursi Putar</t>
        </is>
      </c>
      <c r="C98" t="inlineStr">
        <is>
          <t> </t>
        </is>
      </c>
      <c r="D98" t="inlineStr">
        <is>
          <t>2025</t>
        </is>
      </c>
      <c r="E98" t="n">
        <v>1454450</v>
      </c>
      <c r="F98" t="inlineStr">
        <is>
          <t>Barang baru dari BMD 2026 yang belum ada di KIR</t>
        </is>
      </c>
    </row>
    <row r="99">
      <c r="A99" t="n">
        <v>98</v>
      </c>
      <c r="B99" t="inlineStr">
        <is>
          <t>Kursi Putar</t>
        </is>
      </c>
      <c r="C99" t="inlineStr">
        <is>
          <t> </t>
        </is>
      </c>
      <c r="D99" t="inlineStr">
        <is>
          <t>2025</t>
        </is>
      </c>
      <c r="E99" t="n">
        <v>1454450</v>
      </c>
      <c r="F99" t="inlineStr">
        <is>
          <t>Barang baru dari BMD 2026 yang belum ada di KIR</t>
        </is>
      </c>
    </row>
    <row r="100">
      <c r="A100" t="n">
        <v>99</v>
      </c>
      <c r="B100" t="inlineStr">
        <is>
          <t>Kursi Putar</t>
        </is>
      </c>
      <c r="C100" t="inlineStr">
        <is>
          <t> </t>
        </is>
      </c>
      <c r="D100" t="inlineStr">
        <is>
          <t>2025</t>
        </is>
      </c>
      <c r="E100" t="n">
        <v>1454450</v>
      </c>
      <c r="F100" t="inlineStr">
        <is>
          <t>Barang baru dari BMD 2026 yang belum ada di KIR</t>
        </is>
      </c>
    </row>
    <row r="101">
      <c r="A101" t="n">
        <v>100</v>
      </c>
      <c r="B101" t="inlineStr">
        <is>
          <t>Kursi Putar</t>
        </is>
      </c>
      <c r="C101" t="inlineStr">
        <is>
          <t> </t>
        </is>
      </c>
      <c r="D101" t="inlineStr">
        <is>
          <t>2025</t>
        </is>
      </c>
      <c r="E101" t="n">
        <v>1454450</v>
      </c>
      <c r="F101" t="inlineStr">
        <is>
          <t>Barang baru dari BMD 2026 yang belum ada di KIR</t>
        </is>
      </c>
    </row>
    <row r="102">
      <c r="A102" t="n">
        <v>101</v>
      </c>
      <c r="B102" t="inlineStr">
        <is>
          <t>Kursi Putar</t>
        </is>
      </c>
      <c r="C102" t="inlineStr">
        <is>
          <t> </t>
        </is>
      </c>
      <c r="D102" t="inlineStr">
        <is>
          <t>2025</t>
        </is>
      </c>
      <c r="E102" t="n">
        <v>1454450</v>
      </c>
      <c r="F102" t="inlineStr">
        <is>
          <t>Barang baru dari BMD 2026 yang belum ada di KIR</t>
        </is>
      </c>
    </row>
    <row r="103">
      <c r="A103" t="n">
        <v>102</v>
      </c>
      <c r="B103" t="inlineStr">
        <is>
          <t>Kursi Putar</t>
        </is>
      </c>
      <c r="C103" t="inlineStr">
        <is>
          <t> </t>
        </is>
      </c>
      <c r="D103" t="inlineStr">
        <is>
          <t>2025</t>
        </is>
      </c>
      <c r="E103" t="n">
        <v>1454450</v>
      </c>
      <c r="F103" t="inlineStr">
        <is>
          <t>Barang baru dari BMD 2026 yang belum ada di KIR</t>
        </is>
      </c>
    </row>
    <row r="104">
      <c r="A104" t="n">
        <v>103</v>
      </c>
      <c r="B104" t="inlineStr">
        <is>
          <t>Kursi Putar</t>
        </is>
      </c>
      <c r="C104" t="inlineStr">
        <is>
          <t> </t>
        </is>
      </c>
      <c r="D104" t="inlineStr">
        <is>
          <t>2025</t>
        </is>
      </c>
      <c r="E104" t="n">
        <v>1454450</v>
      </c>
      <c r="F104" t="inlineStr">
        <is>
          <t>Barang baru dari BMD 2026 yang belum ada di KIR</t>
        </is>
      </c>
    </row>
    <row r="105">
      <c r="A105" t="n">
        <v>104</v>
      </c>
      <c r="B105" t="inlineStr">
        <is>
          <t>Kursi Putar</t>
        </is>
      </c>
      <c r="C105" t="inlineStr">
        <is>
          <t> </t>
        </is>
      </c>
      <c r="D105" t="inlineStr">
        <is>
          <t>2025</t>
        </is>
      </c>
      <c r="E105" t="n">
        <v>1454450</v>
      </c>
      <c r="F105" t="inlineStr">
        <is>
          <t>Barang baru dari BMD 2026 yang belum ada di KIR</t>
        </is>
      </c>
    </row>
    <row r="106">
      <c r="A106" t="n">
        <v>105</v>
      </c>
      <c r="B106" t="inlineStr">
        <is>
          <t>Kursi Putar</t>
        </is>
      </c>
      <c r="C106" t="inlineStr">
        <is>
          <t> </t>
        </is>
      </c>
      <c r="D106" t="inlineStr">
        <is>
          <t>2025</t>
        </is>
      </c>
      <c r="E106" t="n">
        <v>1454450</v>
      </c>
      <c r="F106" t="inlineStr">
        <is>
          <t>Barang baru dari BMD 2026 yang belum ada di KIR</t>
        </is>
      </c>
    </row>
    <row r="107">
      <c r="A107" t="n">
        <v>106</v>
      </c>
      <c r="B107" t="inlineStr">
        <is>
          <t>Kursi Putar</t>
        </is>
      </c>
      <c r="C107" t="inlineStr">
        <is>
          <t> </t>
        </is>
      </c>
      <c r="D107" t="inlineStr">
        <is>
          <t>2025</t>
        </is>
      </c>
      <c r="E107" t="n">
        <v>1454450</v>
      </c>
      <c r="F107" t="inlineStr">
        <is>
          <t>Barang baru dari BMD 2026 yang belum ada di KIR</t>
        </is>
      </c>
    </row>
    <row r="108">
      <c r="A108" t="n">
        <v>107</v>
      </c>
      <c r="B108" t="inlineStr">
        <is>
          <t>Kursi Putar</t>
        </is>
      </c>
      <c r="C108" t="inlineStr">
        <is>
          <t> </t>
        </is>
      </c>
      <c r="D108" t="inlineStr">
        <is>
          <t>2025</t>
        </is>
      </c>
      <c r="E108" t="n">
        <v>1454445</v>
      </c>
      <c r="F108" t="inlineStr">
        <is>
          <t>Barang baru dari BMD 2026 yang belum ada di KIR</t>
        </is>
      </c>
    </row>
    <row r="109">
      <c r="A109" t="n">
        <v>108</v>
      </c>
      <c r="B109" t="inlineStr">
        <is>
          <t>Kursi Lipat</t>
        </is>
      </c>
      <c r="C109" t="inlineStr">
        <is>
          <t>Merk: MATRIX Tipe: 48758</t>
        </is>
      </c>
      <c r="D109" t="inlineStr">
        <is>
          <t>2018</t>
        </is>
      </c>
      <c r="E109" t="n">
        <v>333232</v>
      </c>
      <c r="F109" t="inlineStr">
        <is>
          <t>Barang baru dari BMD 2026 yang belum ada di KIR</t>
        </is>
      </c>
    </row>
    <row r="110">
      <c r="A110" t="n">
        <v>109</v>
      </c>
      <c r="B110" t="inlineStr">
        <is>
          <t>Kursi Lipat</t>
        </is>
      </c>
      <c r="C110" t="inlineStr">
        <is>
          <t>Merk: MATRIX Tipe: 48759</t>
        </is>
      </c>
      <c r="D110" t="inlineStr">
        <is>
          <t>2018</t>
        </is>
      </c>
      <c r="E110" t="n">
        <v>333232</v>
      </c>
      <c r="F110" t="inlineStr">
        <is>
          <t>Barang baru dari BMD 2026 yang belum ada di KIR</t>
        </is>
      </c>
    </row>
    <row r="111">
      <c r="A111" t="n">
        <v>110</v>
      </c>
      <c r="B111" t="inlineStr">
        <is>
          <t>Kursi Lipat</t>
        </is>
      </c>
      <c r="C111" t="inlineStr">
        <is>
          <t>Merk: MATRIX Tipe: 48760</t>
        </is>
      </c>
      <c r="D111" t="inlineStr">
        <is>
          <t>2018</t>
        </is>
      </c>
      <c r="E111" t="n">
        <v>333232</v>
      </c>
      <c r="F111" t="inlineStr">
        <is>
          <t>Barang baru dari BMD 2026 yang belum ada di KIR</t>
        </is>
      </c>
    </row>
    <row r="112">
      <c r="A112" t="n">
        <v>111</v>
      </c>
      <c r="B112" t="inlineStr">
        <is>
          <t>Kursi Lipat</t>
        </is>
      </c>
      <c r="C112" t="inlineStr">
        <is>
          <t>Merk: MATRIX Tipe: 48761</t>
        </is>
      </c>
      <c r="D112" t="inlineStr">
        <is>
          <t>2018</t>
        </is>
      </c>
      <c r="E112" t="n">
        <v>333232</v>
      </c>
      <c r="F112" t="inlineStr">
        <is>
          <t>Barang baru dari BMD 2026 yang belum ada di KIR</t>
        </is>
      </c>
    </row>
    <row r="113">
      <c r="A113" t="n">
        <v>112</v>
      </c>
      <c r="B113" t="inlineStr">
        <is>
          <t>Kursi Lipat</t>
        </is>
      </c>
      <c r="C113" t="inlineStr">
        <is>
          <t>Merk: MATRIX Tipe: 48762</t>
        </is>
      </c>
      <c r="D113" t="inlineStr">
        <is>
          <t>2018</t>
        </is>
      </c>
      <c r="E113" t="n">
        <v>333232</v>
      </c>
      <c r="F113" t="inlineStr">
        <is>
          <t>Barang baru dari BMD 2026 yang belum ada di KIR</t>
        </is>
      </c>
    </row>
    <row r="114">
      <c r="A114" t="n">
        <v>113</v>
      </c>
      <c r="B114" t="inlineStr">
        <is>
          <t>Kursi Lipat</t>
        </is>
      </c>
      <c r="C114" t="inlineStr">
        <is>
          <t>Merk: MATRIX Tipe: 48763</t>
        </is>
      </c>
      <c r="D114" t="inlineStr">
        <is>
          <t>2018</t>
        </is>
      </c>
      <c r="E114" t="n">
        <v>333232</v>
      </c>
      <c r="F114" t="inlineStr">
        <is>
          <t>Barang baru dari BMD 2026 yang belum ada di KIR</t>
        </is>
      </c>
    </row>
    <row r="115">
      <c r="A115" t="n">
        <v>114</v>
      </c>
      <c r="B115" t="inlineStr">
        <is>
          <t>Meja Komputer</t>
        </is>
      </c>
      <c r="C115" t="inlineStr">
        <is>
          <t>Merk: Olympic Tipe: 0</t>
        </is>
      </c>
      <c r="D115" t="inlineStr">
        <is>
          <t>2006</t>
        </is>
      </c>
      <c r="E115" t="n">
        <v>154000</v>
      </c>
      <c r="F115" t="inlineStr">
        <is>
          <t>Barang baru dari BMD 2026 yang belum ada di KIR</t>
        </is>
      </c>
    </row>
    <row r="116">
      <c r="A116" t="n">
        <v>115</v>
      </c>
      <c r="B116" t="inlineStr">
        <is>
          <t>Meja Komputer</t>
        </is>
      </c>
      <c r="C116" t="inlineStr">
        <is>
          <t>Merk: AZTEC Tipe: 48680</t>
        </is>
      </c>
      <c r="D116" t="inlineStr">
        <is>
          <t>2013</t>
        </is>
      </c>
      <c r="E116" t="n">
        <v>588424.11</v>
      </c>
      <c r="F116" t="inlineStr">
        <is>
          <t>Barang baru dari BMD 2026 yang belum ada di KIR</t>
        </is>
      </c>
    </row>
    <row r="117">
      <c r="A117" t="n">
        <v>116</v>
      </c>
      <c r="B117" t="inlineStr">
        <is>
          <t>Sofa</t>
        </is>
      </c>
      <c r="C117" t="inlineStr">
        <is>
          <t>Merk: 3.2.1 In Frame IF 007 hitam Tipe: 48681</t>
        </is>
      </c>
      <c r="D117" t="inlineStr">
        <is>
          <t>2013</t>
        </is>
      </c>
      <c r="E117" t="n">
        <v>9384350.039999999</v>
      </c>
      <c r="F117" t="inlineStr">
        <is>
          <t>Barang baru dari BMD 2026 yang belum ada di KIR</t>
        </is>
      </c>
    </row>
    <row r="118">
      <c r="A118" t="n">
        <v>117</v>
      </c>
      <c r="B118" t="inlineStr">
        <is>
          <t>Sofa</t>
        </is>
      </c>
      <c r="C118" t="inlineStr">
        <is>
          <t> </t>
        </is>
      </c>
      <c r="D118" t="inlineStr">
        <is>
          <t>2025</t>
        </is>
      </c>
      <c r="E118" t="n">
        <v>6382500</v>
      </c>
      <c r="F118" t="inlineStr">
        <is>
          <t>Barang baru dari BMD 2026 yang belum ada di KIR</t>
        </is>
      </c>
    </row>
    <row r="119">
      <c r="A119" t="n">
        <v>118</v>
      </c>
      <c r="B119" t="inlineStr">
        <is>
          <t>Sofa</t>
        </is>
      </c>
      <c r="C119" t="inlineStr">
        <is>
          <t>Merk: Informa Tipe: Sofa minimalis 2 dudukan bahan PVC</t>
        </is>
      </c>
      <c r="D119" t="inlineStr">
        <is>
          <t>2025</t>
        </is>
      </c>
      <c r="E119" t="n">
        <v>6382500</v>
      </c>
      <c r="F119" t="inlineStr">
        <is>
          <t>Barang baru dari BMD 2026 yang belum ada di KIR</t>
        </is>
      </c>
    </row>
    <row r="120">
      <c r="A120" t="n">
        <v>119</v>
      </c>
      <c r="B120" t="inlineStr">
        <is>
          <t>Lemari Es</t>
        </is>
      </c>
      <c r="C120" t="inlineStr">
        <is>
          <t>Merk: LG Tipe: 48683</t>
        </is>
      </c>
      <c r="D120" t="inlineStr">
        <is>
          <t>2011</t>
        </is>
      </c>
      <c r="E120" t="n">
        <v>14700000</v>
      </c>
      <c r="F120" t="inlineStr">
        <is>
          <t>Barang baru dari BMD 2026 yang belum ada di KIR</t>
        </is>
      </c>
    </row>
    <row r="121">
      <c r="A121" t="n">
        <v>120</v>
      </c>
      <c r="B121" t="inlineStr">
        <is>
          <t>A.C. Split</t>
        </is>
      </c>
      <c r="C121" t="inlineStr">
        <is>
          <t>Merk: Samsung Tipe: 48684</t>
        </is>
      </c>
      <c r="D121" t="inlineStr">
        <is>
          <t>2013</t>
        </is>
      </c>
      <c r="E121" t="n">
        <v>4150000</v>
      </c>
      <c r="F121" t="inlineStr">
        <is>
          <t>Barang baru dari BMD 2026 yang belum ada di KIR</t>
        </is>
      </c>
    </row>
    <row r="122">
      <c r="A122" t="n">
        <v>121</v>
      </c>
      <c r="B122" t="inlineStr">
        <is>
          <t>A.C. Split</t>
        </is>
      </c>
      <c r="C122" t="inlineStr">
        <is>
          <t>Merk: Samsung Tipe: 48685</t>
        </is>
      </c>
      <c r="D122" t="inlineStr">
        <is>
          <t>2014</t>
        </is>
      </c>
      <c r="E122" t="n">
        <v>4916358</v>
      </c>
      <c r="F122" t="inlineStr">
        <is>
          <t>Barang baru dari BMD 2026 yang belum ada di KIR</t>
        </is>
      </c>
    </row>
    <row r="123">
      <c r="A123" t="n">
        <v>122</v>
      </c>
      <c r="B123" t="inlineStr">
        <is>
          <t>A.C. Split</t>
        </is>
      </c>
      <c r="C123" t="inlineStr">
        <is>
          <t>Merk: DAIKIN Tipe: 48727</t>
        </is>
      </c>
      <c r="D123" t="inlineStr">
        <is>
          <t>2016</t>
        </is>
      </c>
      <c r="E123" t="n">
        <v>5000000</v>
      </c>
      <c r="F123" t="inlineStr">
        <is>
          <t>Barang baru dari BMD 2026 yang belum ada di KIR</t>
        </is>
      </c>
    </row>
    <row r="124">
      <c r="A124" t="n">
        <v>123</v>
      </c>
      <c r="B124" t="inlineStr">
        <is>
          <t>A.C. Split</t>
        </is>
      </c>
      <c r="C124" t="inlineStr">
        <is>
          <t>Merk: DAIKIN Tipe: 48728</t>
        </is>
      </c>
      <c r="D124" t="inlineStr">
        <is>
          <t>2016</t>
        </is>
      </c>
      <c r="E124" t="n">
        <v>5000000</v>
      </c>
      <c r="F124" t="inlineStr">
        <is>
          <t>Barang baru dari BMD 2026 yang belum ada di KIR</t>
        </is>
      </c>
    </row>
    <row r="125">
      <c r="A125" t="n">
        <v>124</v>
      </c>
      <c r="B125" t="inlineStr">
        <is>
          <t>A.C. Split</t>
        </is>
      </c>
      <c r="C125" t="inlineStr">
        <is>
          <t>Merk: DAIKIN Tipe: 48743</t>
        </is>
      </c>
      <c r="D125" t="inlineStr">
        <is>
          <t>2018</t>
        </is>
      </c>
      <c r="E125" t="n">
        <v>5009175</v>
      </c>
      <c r="F125" t="inlineStr">
        <is>
          <t>Barang baru dari BMD 2026 yang belum ada di KIR</t>
        </is>
      </c>
    </row>
    <row r="126">
      <c r="A126" t="n">
        <v>125</v>
      </c>
      <c r="B126" t="inlineStr">
        <is>
          <t>A.C. Split</t>
        </is>
      </c>
      <c r="C126" t="inlineStr">
        <is>
          <t>Merk: DAIKIN Tipe: 48773</t>
        </is>
      </c>
      <c r="D126" t="inlineStr">
        <is>
          <t>2019</t>
        </is>
      </c>
      <c r="E126" t="n">
        <v>5033356</v>
      </c>
      <c r="F126" t="inlineStr">
        <is>
          <t>Barang baru dari BMD 2026 yang belum ada di KIR</t>
        </is>
      </c>
    </row>
    <row r="127">
      <c r="A127" t="n">
        <v>126</v>
      </c>
      <c r="B127" t="inlineStr">
        <is>
          <t>A.C. Split</t>
        </is>
      </c>
      <c r="C127" t="inlineStr">
        <is>
          <t>Merk: Daikin Tipe: 48787</t>
        </is>
      </c>
      <c r="D127" t="inlineStr">
        <is>
          <t>2020</t>
        </is>
      </c>
      <c r="E127" t="n">
        <v>8165927</v>
      </c>
      <c r="F127" t="inlineStr">
        <is>
          <t>Barang baru dari BMD 2026 yang belum ada di KIR</t>
        </is>
      </c>
    </row>
    <row r="128">
      <c r="A128" t="n">
        <v>127</v>
      </c>
      <c r="B128" t="inlineStr">
        <is>
          <t>A.C. Split</t>
        </is>
      </c>
      <c r="C128" t="inlineStr">
        <is>
          <t>Merk: Daikin Tipe: 48788</t>
        </is>
      </c>
      <c r="D128" t="inlineStr">
        <is>
          <t>2020</t>
        </is>
      </c>
      <c r="E128" t="n">
        <v>8165927</v>
      </c>
      <c r="F128" t="inlineStr">
        <is>
          <t>Barang baru dari BMD 2026 yang belum ada di KIR</t>
        </is>
      </c>
    </row>
    <row r="129">
      <c r="A129" t="n">
        <v>128</v>
      </c>
      <c r="B129" t="inlineStr">
        <is>
          <t>A.C. Split</t>
        </is>
      </c>
      <c r="C129" t="inlineStr">
        <is>
          <t>Merk: Daikin Tipe: 48789</t>
        </is>
      </c>
      <c r="D129" t="inlineStr">
        <is>
          <t>2020</t>
        </is>
      </c>
      <c r="E129" t="n">
        <v>8165927</v>
      </c>
      <c r="F129" t="inlineStr">
        <is>
          <t>Barang baru dari BMD 2026 yang belum ada di KIR</t>
        </is>
      </c>
    </row>
    <row r="130">
      <c r="A130" t="n">
        <v>129</v>
      </c>
      <c r="B130" t="inlineStr">
        <is>
          <t>A.C. Split</t>
        </is>
      </c>
      <c r="C130" t="inlineStr">
        <is>
          <t>Merk: Daikin Tipe: 48790</t>
        </is>
      </c>
      <c r="D130" t="inlineStr">
        <is>
          <t>2020</t>
        </is>
      </c>
      <c r="E130" t="n">
        <v>8165927</v>
      </c>
      <c r="F130" t="inlineStr">
        <is>
          <t>Barang baru dari BMD 2026 yang belum ada di KIR</t>
        </is>
      </c>
    </row>
    <row r="131">
      <c r="A131" t="n">
        <v>130</v>
      </c>
      <c r="B131" t="inlineStr">
        <is>
          <t>A.C. Split</t>
        </is>
      </c>
      <c r="C131" t="inlineStr">
        <is>
          <t>Merk: LG Tipe: 48812</t>
        </is>
      </c>
      <c r="D131" t="inlineStr">
        <is>
          <t>2021</t>
        </is>
      </c>
      <c r="E131" t="n">
        <v>6490000</v>
      </c>
      <c r="F131" t="inlineStr">
        <is>
          <t>Barang baru dari BMD 2026 yang belum ada di KIR</t>
        </is>
      </c>
    </row>
    <row r="132">
      <c r="A132" t="n">
        <v>131</v>
      </c>
      <c r="B132" t="inlineStr">
        <is>
          <t>A.C. Split</t>
        </is>
      </c>
      <c r="C132" t="inlineStr">
        <is>
          <t>Merk: LG Tipe: 48813</t>
        </is>
      </c>
      <c r="D132" t="inlineStr">
        <is>
          <t>2021</t>
        </is>
      </c>
      <c r="E132" t="n">
        <v>6490000</v>
      </c>
      <c r="F132" t="inlineStr">
        <is>
          <t>Barang baru dari BMD 2026 yang belum ada di KIR</t>
        </is>
      </c>
    </row>
    <row r="133">
      <c r="A133" t="n">
        <v>132</v>
      </c>
      <c r="B133" t="inlineStr">
        <is>
          <t>Televisi</t>
        </is>
      </c>
      <c r="C133" t="inlineStr">
        <is>
          <t>Merk: Samsung Tipe: 48792</t>
        </is>
      </c>
      <c r="D133" t="inlineStr">
        <is>
          <t>2020</t>
        </is>
      </c>
      <c r="E133" t="n">
        <v>5510748</v>
      </c>
      <c r="F133" t="inlineStr">
        <is>
          <t>Barang baru dari BMD 2026 yang belum ada di KIR</t>
        </is>
      </c>
    </row>
    <row r="134">
      <c r="A134" t="n">
        <v>133</v>
      </c>
      <c r="B134" t="inlineStr">
        <is>
          <t>Televisi</t>
        </is>
      </c>
      <c r="C134" t="inlineStr">
        <is>
          <t>Merk: Samsung Tipe: 48793</t>
        </is>
      </c>
      <c r="D134" t="inlineStr">
        <is>
          <t>2020</t>
        </is>
      </c>
      <c r="E134" t="n">
        <v>5510748</v>
      </c>
      <c r="F134" t="inlineStr">
        <is>
          <t>Barang baru dari BMD 2026 yang belum ada di KIR</t>
        </is>
      </c>
    </row>
    <row r="135">
      <c r="A135" t="n">
        <v>134</v>
      </c>
      <c r="B135" t="inlineStr">
        <is>
          <t>Sound System</t>
        </is>
      </c>
      <c r="C135" t="inlineStr">
        <is>
          <t>Merk: Soundqueen Tipe: 48805</t>
        </is>
      </c>
      <c r="D135" t="inlineStr">
        <is>
          <t>2020</t>
        </is>
      </c>
      <c r="E135" t="n">
        <v>3506839</v>
      </c>
      <c r="F135" t="inlineStr">
        <is>
          <t>Barang baru dari BMD 2026 yang belum ada di KIR</t>
        </is>
      </c>
    </row>
    <row r="136">
      <c r="A136" t="n">
        <v>135</v>
      </c>
      <c r="B136" t="inlineStr">
        <is>
          <t>Sound System</t>
        </is>
      </c>
      <c r="C136" t="inlineStr">
        <is>
          <t>Merk: Soundqueen Tipe: 48806</t>
        </is>
      </c>
      <c r="D136" t="inlineStr">
        <is>
          <t>2020</t>
        </is>
      </c>
      <c r="E136" t="n">
        <v>3506839</v>
      </c>
      <c r="F136" t="inlineStr">
        <is>
          <t>Barang baru dari BMD 2026 yang belum ada di KIR</t>
        </is>
      </c>
    </row>
    <row r="137">
      <c r="A137" t="n">
        <v>136</v>
      </c>
      <c r="B137" t="inlineStr">
        <is>
          <t>Dispenser</t>
        </is>
      </c>
      <c r="C137" t="inlineStr">
        <is>
          <t>Merk: Toshiba Tipe: 48802</t>
        </is>
      </c>
      <c r="D137" t="inlineStr">
        <is>
          <t>2020</t>
        </is>
      </c>
      <c r="E137" t="n">
        <v>4458696</v>
      </c>
      <c r="F137" t="inlineStr">
        <is>
          <t>Barang baru dari BMD 2026 yang belum ada di KIR</t>
        </is>
      </c>
    </row>
    <row r="138">
      <c r="A138" t="n">
        <v>137</v>
      </c>
      <c r="B138" t="inlineStr">
        <is>
          <t>Dispenser</t>
        </is>
      </c>
      <c r="C138" t="inlineStr">
        <is>
          <t>Merk: Toshiba Tipe: 48803</t>
        </is>
      </c>
      <c r="D138" t="inlineStr">
        <is>
          <t>2020</t>
        </is>
      </c>
      <c r="E138" t="n">
        <v>4458696</v>
      </c>
      <c r="F138" t="inlineStr">
        <is>
          <t>Barang baru dari BMD 2026 yang belum ada di KIR</t>
        </is>
      </c>
    </row>
    <row r="139">
      <c r="A139" t="n">
        <v>138</v>
      </c>
      <c r="B139" t="inlineStr">
        <is>
          <t>Alat Pembantu Kebakaran</t>
        </is>
      </c>
      <c r="C139" t="inlineStr">
        <is>
          <t>Merk: FIREFORT-POWDER FP.40 Tipe: 48687</t>
        </is>
      </c>
      <c r="D139" t="inlineStr">
        <is>
          <t>2012</t>
        </is>
      </c>
      <c r="E139" t="n">
        <v>896000</v>
      </c>
      <c r="F139" t="inlineStr">
        <is>
          <t>Barang baru dari BMD 2026 yang belum ada di KIR</t>
        </is>
      </c>
    </row>
    <row r="140">
      <c r="A140" t="n">
        <v>139</v>
      </c>
      <c r="B140" t="inlineStr">
        <is>
          <t>Meja Kerja Pejabat Eselon II</t>
        </is>
      </c>
      <c r="C140" t="inlineStr">
        <is>
          <t>Merk: Zetta MT 301 Tipe: 48701</t>
        </is>
      </c>
      <c r="D140" t="inlineStr">
        <is>
          <t>2014</t>
        </is>
      </c>
      <c r="E140" t="n">
        <v>5780423</v>
      </c>
      <c r="F140" t="inlineStr">
        <is>
          <t>Barang baru dari BMD 2026 yang belum ada di KIR</t>
        </is>
      </c>
    </row>
    <row r="141">
      <c r="A141" t="n">
        <v>140</v>
      </c>
      <c r="B141" t="inlineStr">
        <is>
          <t>Meja Kerja Pejabat Eselon III</t>
        </is>
      </c>
      <c r="C141" t="inlineStr">
        <is>
          <t>Merk: Zetta MT 201S Tipe: 48702</t>
        </is>
      </c>
      <c r="D141" t="inlineStr">
        <is>
          <t>2014</t>
        </is>
      </c>
      <c r="E141" t="n">
        <v>5126984</v>
      </c>
      <c r="F141" t="inlineStr">
        <is>
          <t>Barang baru dari BMD 2026 yang belum ada di KIR</t>
        </is>
      </c>
    </row>
    <row r="142">
      <c r="A142" t="n">
        <v>141</v>
      </c>
      <c r="B142" t="inlineStr">
        <is>
          <t>Meja Kerja Pejabat Eselon III</t>
        </is>
      </c>
      <c r="C142" t="inlineStr">
        <is>
          <t>Merk: zetta / MT - 301 Tipe: 48703</t>
        </is>
      </c>
      <c r="D142" t="inlineStr">
        <is>
          <t>2015</t>
        </is>
      </c>
      <c r="E142" t="n">
        <v>3600000</v>
      </c>
      <c r="F142" t="inlineStr">
        <is>
          <t>Barang baru dari BMD 2026 yang belum ada di KIR</t>
        </is>
      </c>
    </row>
    <row r="143">
      <c r="A143" t="n">
        <v>142</v>
      </c>
      <c r="B143" t="inlineStr">
        <is>
          <t>Meja Kerja Pejabat Eselon III</t>
        </is>
      </c>
      <c r="C143" t="inlineStr">
        <is>
          <t>Merk: zetta / MT - 201 Tipe: 48732</t>
        </is>
      </c>
      <c r="D143" t="inlineStr">
        <is>
          <t>2017</t>
        </is>
      </c>
      <c r="E143" t="n">
        <v>2284351</v>
      </c>
      <c r="F143" t="inlineStr">
        <is>
          <t>Barang baru dari BMD 2026 yang belum ada di KIR</t>
        </is>
      </c>
    </row>
    <row r="144">
      <c r="A144" t="n">
        <v>143</v>
      </c>
      <c r="B144" t="inlineStr">
        <is>
          <t>Meja Kerja Pejabat Eselon III</t>
        </is>
      </c>
      <c r="C144" t="inlineStr">
        <is>
          <t>Merk: zetta / MT - 201 Tipe: 48733</t>
        </is>
      </c>
      <c r="D144" t="inlineStr">
        <is>
          <t>2017</t>
        </is>
      </c>
      <c r="E144" t="n">
        <v>2284351</v>
      </c>
      <c r="F144" t="inlineStr">
        <is>
          <t>Barang baru dari BMD 2026 yang belum ada di KIR</t>
        </is>
      </c>
    </row>
    <row r="145">
      <c r="A145" t="n">
        <v>144</v>
      </c>
      <c r="B145" t="inlineStr">
        <is>
          <t>Meja Kerja Pejabat Eselon III</t>
        </is>
      </c>
      <c r="C145" t="inlineStr">
        <is>
          <t>Merk: ZETTA Tipe: 48747</t>
        </is>
      </c>
      <c r="D145" t="inlineStr">
        <is>
          <t>2018</t>
        </is>
      </c>
      <c r="E145" t="n">
        <v>3433301</v>
      </c>
      <c r="F145" t="inlineStr">
        <is>
          <t>Barang baru dari BMD 2026 yang belum ada di KIR</t>
        </is>
      </c>
    </row>
    <row r="146">
      <c r="A146" t="n">
        <v>145</v>
      </c>
      <c r="B146" t="inlineStr">
        <is>
          <t>Meja Kerja Pejabat Eselon IV</t>
        </is>
      </c>
      <c r="C146" t="inlineStr">
        <is>
          <t>Merk: Active Tipe: 48706</t>
        </is>
      </c>
      <c r="D146" t="inlineStr">
        <is>
          <t>2008</t>
        </is>
      </c>
      <c r="E146" t="n">
        <v>562500</v>
      </c>
      <c r="F146" t="inlineStr">
        <is>
          <t>Barang baru dari BMD 2026 yang belum ada di KIR</t>
        </is>
      </c>
    </row>
    <row r="147">
      <c r="A147" t="n">
        <v>146</v>
      </c>
      <c r="B147" t="inlineStr">
        <is>
          <t>Meja Kerja Pejabat Eselon IV</t>
        </is>
      </c>
      <c r="C147" t="inlineStr">
        <is>
          <t>Merk: Pro Design Tipe: 48704</t>
        </is>
      </c>
      <c r="D147" t="inlineStr">
        <is>
          <t>2010</t>
        </is>
      </c>
      <c r="E147" t="n">
        <v>593750</v>
      </c>
      <c r="F147" t="inlineStr">
        <is>
          <t>Barang baru dari BMD 2026 yang belum ada di KIR</t>
        </is>
      </c>
    </row>
    <row r="148">
      <c r="A148" t="n">
        <v>147</v>
      </c>
      <c r="B148" t="inlineStr">
        <is>
          <t>Meja Kerja Pejabat Eselon IV</t>
        </is>
      </c>
      <c r="C148" t="inlineStr">
        <is>
          <t>Merk: Solid MTS-2805 Tipe: 48705</t>
        </is>
      </c>
      <c r="D148" t="inlineStr">
        <is>
          <t>2010</t>
        </is>
      </c>
      <c r="E148" t="n">
        <v>385000</v>
      </c>
      <c r="F148" t="inlineStr">
        <is>
          <t>Barang baru dari BMD 2026 yang belum ada di KIR</t>
        </is>
      </c>
    </row>
    <row r="149">
      <c r="A149" t="n">
        <v>148</v>
      </c>
      <c r="B149" t="inlineStr">
        <is>
          <t>Meja Kerja Pejabat Eselon IV</t>
        </is>
      </c>
      <c r="C149" t="inlineStr">
        <is>
          <t>Merk: ZETTA Tipe: 48771</t>
        </is>
      </c>
      <c r="D149" t="inlineStr">
        <is>
          <t>2019</t>
        </is>
      </c>
      <c r="E149" t="n">
        <v>2245000</v>
      </c>
      <c r="F149" t="inlineStr">
        <is>
          <t>Barang baru dari BMD 2026 yang belum ada di KIR</t>
        </is>
      </c>
    </row>
    <row r="150">
      <c r="A150" t="n">
        <v>149</v>
      </c>
      <c r="B150" t="inlineStr">
        <is>
          <t>Meja Kerja Pegawai Non Struktural</t>
        </is>
      </c>
      <c r="C150" t="inlineStr">
        <is>
          <t>Merk: SAGA Tipe: 48824</t>
        </is>
      </c>
      <c r="D150" t="inlineStr">
        <is>
          <t>2021</t>
        </is>
      </c>
      <c r="E150" t="n">
        <v>970000</v>
      </c>
      <c r="F150" t="inlineStr">
        <is>
          <t>Barang baru dari BMD 2026 yang belum ada di KIR</t>
        </is>
      </c>
    </row>
    <row r="151">
      <c r="A151" t="n">
        <v>150</v>
      </c>
      <c r="B151" t="inlineStr">
        <is>
          <t>Meja Kerja Pegawai Non Struktural</t>
        </is>
      </c>
      <c r="C151" t="inlineStr">
        <is>
          <t>Merk: SAGA Tipe: 48825</t>
        </is>
      </c>
      <c r="D151" t="inlineStr">
        <is>
          <t>2021</t>
        </is>
      </c>
      <c r="E151" t="n">
        <v>970000</v>
      </c>
      <c r="F151" t="inlineStr">
        <is>
          <t>Barang baru dari BMD 2026 yang belum ada di KIR</t>
        </is>
      </c>
    </row>
    <row r="152">
      <c r="A152" t="n">
        <v>151</v>
      </c>
      <c r="B152" t="inlineStr">
        <is>
          <t>Meja Kerja Pegawai Non Struktural</t>
        </is>
      </c>
      <c r="C152" t="inlineStr">
        <is>
          <t>Merk: SAGA Tipe: 48826</t>
        </is>
      </c>
      <c r="D152" t="inlineStr">
        <is>
          <t>2021</t>
        </is>
      </c>
      <c r="E152" t="n">
        <v>970000</v>
      </c>
      <c r="F152" t="inlineStr">
        <is>
          <t>Barang baru dari BMD 2026 yang belum ada di KIR</t>
        </is>
      </c>
    </row>
    <row r="153">
      <c r="A153" t="n">
        <v>152</v>
      </c>
      <c r="B153" t="inlineStr">
        <is>
          <t>Meja Kerja Pejabat Lain-Lain</t>
        </is>
      </c>
      <c r="C153" t="inlineStr">
        <is>
          <t>Merk: EXPO Tipe: 48794</t>
        </is>
      </c>
      <c r="D153" t="inlineStr">
        <is>
          <t>2020</t>
        </is>
      </c>
      <c r="E153" t="n">
        <v>881719</v>
      </c>
      <c r="F153" t="inlineStr">
        <is>
          <t>Barang baru dari BMD 2026 yang belum ada di KIR</t>
        </is>
      </c>
    </row>
    <row r="154">
      <c r="A154" t="n">
        <v>153</v>
      </c>
      <c r="B154" t="inlineStr">
        <is>
          <t>Meja Kerja Pejabat Lain-Lain</t>
        </is>
      </c>
      <c r="C154" t="inlineStr">
        <is>
          <t>Merk: EXPO Tipe: 48795</t>
        </is>
      </c>
      <c r="D154" t="inlineStr">
        <is>
          <t>2020</t>
        </is>
      </c>
      <c r="E154" t="n">
        <v>881719</v>
      </c>
      <c r="F154" t="inlineStr">
        <is>
          <t>Barang baru dari BMD 2026 yang belum ada di KIR</t>
        </is>
      </c>
    </row>
    <row r="155">
      <c r="A155" t="n">
        <v>154</v>
      </c>
      <c r="B155" t="inlineStr">
        <is>
          <t>Meja Kerja Pejabat Lain-Lain</t>
        </is>
      </c>
      <c r="C155" t="inlineStr">
        <is>
          <t>Merk: EXPO Tipe: 48796</t>
        </is>
      </c>
      <c r="D155" t="inlineStr">
        <is>
          <t>2020</t>
        </is>
      </c>
      <c r="E155" t="n">
        <v>881719</v>
      </c>
      <c r="F155" t="inlineStr">
        <is>
          <t>Barang baru dari BMD 2026 yang belum ada di KIR</t>
        </is>
      </c>
    </row>
    <row r="156">
      <c r="A156" t="n">
        <v>155</v>
      </c>
      <c r="B156" t="inlineStr">
        <is>
          <t>Meja Kerja Pejabat Lain-Lain</t>
        </is>
      </c>
      <c r="C156" t="inlineStr">
        <is>
          <t>Merk: EXPO Tipe: 48797</t>
        </is>
      </c>
      <c r="D156" t="inlineStr">
        <is>
          <t>2020</t>
        </is>
      </c>
      <c r="E156" t="n">
        <v>881719</v>
      </c>
      <c r="F156" t="inlineStr">
        <is>
          <t>Barang baru dari BMD 2026 yang belum ada di KIR</t>
        </is>
      </c>
    </row>
    <row r="157">
      <c r="A157" t="n">
        <v>156</v>
      </c>
      <c r="B157" t="inlineStr">
        <is>
          <t>Meja Kerja Pejabat Lain-Lain</t>
        </is>
      </c>
      <c r="C157" t="inlineStr">
        <is>
          <t>Merk: EXPO Tipe: 48798</t>
        </is>
      </c>
      <c r="D157" t="inlineStr">
        <is>
          <t>2020</t>
        </is>
      </c>
      <c r="E157" t="n">
        <v>881719</v>
      </c>
      <c r="F157" t="inlineStr">
        <is>
          <t>Barang baru dari BMD 2026 yang belum ada di KIR</t>
        </is>
      </c>
    </row>
    <row r="158">
      <c r="A158" t="n">
        <v>157</v>
      </c>
      <c r="B158" t="inlineStr">
        <is>
          <t>Meja Kerja Pejabat Lain-Lain</t>
        </is>
      </c>
      <c r="C158" t="inlineStr">
        <is>
          <t>Merk: EXPO Tipe: 48799</t>
        </is>
      </c>
      <c r="D158" t="inlineStr">
        <is>
          <t>2020</t>
        </is>
      </c>
      <c r="E158" t="n">
        <v>881719</v>
      </c>
      <c r="F158" t="inlineStr">
        <is>
          <t>Barang baru dari BMD 2026 yang belum ada di KIR</t>
        </is>
      </c>
    </row>
    <row r="159">
      <c r="A159" t="n">
        <v>158</v>
      </c>
      <c r="B159" t="inlineStr">
        <is>
          <t>Meja Kerja Pejabat Lain-Lain</t>
        </is>
      </c>
      <c r="C159" t="inlineStr">
        <is>
          <t>Merk: EXPO Tipe: 48800</t>
        </is>
      </c>
      <c r="D159" t="inlineStr">
        <is>
          <t>2020</t>
        </is>
      </c>
      <c r="E159" t="n">
        <v>881719</v>
      </c>
      <c r="F159" t="inlineStr">
        <is>
          <t>Barang baru dari BMD 2026 yang belum ada di KIR</t>
        </is>
      </c>
    </row>
    <row r="160">
      <c r="A160" t="n">
        <v>159</v>
      </c>
      <c r="B160" t="inlineStr">
        <is>
          <t>Meja Kerja Pejabat Lain-Lain</t>
        </is>
      </c>
      <c r="C160" t="inlineStr">
        <is>
          <t>Merk: EXPO Tipe: 48801</t>
        </is>
      </c>
      <c r="D160" t="inlineStr">
        <is>
          <t>2020</t>
        </is>
      </c>
      <c r="E160" t="n">
        <v>881719</v>
      </c>
      <c r="F160" t="inlineStr">
        <is>
          <t>Barang baru dari BMD 2026 yang belum ada di KIR</t>
        </is>
      </c>
    </row>
    <row r="161">
      <c r="A161" t="n">
        <v>160</v>
      </c>
      <c r="B161" t="inlineStr">
        <is>
          <t>Meja Rapat Pejabat Lain-Lain</t>
        </is>
      </c>
      <c r="C161" t="inlineStr">
        <is>
          <t>Merk: GALANT Tipe: 48804</t>
        </is>
      </c>
      <c r="D161" t="inlineStr">
        <is>
          <t>2020</t>
        </is>
      </c>
      <c r="E161" t="n">
        <v>8366318</v>
      </c>
      <c r="F161" t="inlineStr">
        <is>
          <t>Barang baru dari BMD 2026 yang belum ada di KIR</t>
        </is>
      </c>
    </row>
    <row r="162">
      <c r="A162" t="n">
        <v>161</v>
      </c>
      <c r="B162" t="inlineStr">
        <is>
          <t>Kursi Kerja Pejabat Eselon II</t>
        </is>
      </c>
      <c r="C162" t="inlineStr">
        <is>
          <t>Merk: President Tipe: 48829</t>
        </is>
      </c>
      <c r="D162" t="inlineStr">
        <is>
          <t>2022</t>
        </is>
      </c>
      <c r="E162" t="n">
        <v>5788000</v>
      </c>
      <c r="F162" t="inlineStr">
        <is>
          <t>Barang baru dari BMD 2026 yang belum ada di KIR</t>
        </is>
      </c>
    </row>
    <row r="163">
      <c r="A163" t="n">
        <v>162</v>
      </c>
      <c r="B163" t="inlineStr">
        <is>
          <t>Kursi Kerja Pejabat Eselon III</t>
        </is>
      </c>
      <c r="C163" t="inlineStr">
        <is>
          <t xml:space="preserve"> Tipe: 0</t>
        </is>
      </c>
      <c r="D163" t="inlineStr">
        <is>
          <t>1997</t>
        </is>
      </c>
      <c r="E163" t="n">
        <v>269500</v>
      </c>
      <c r="F163" t="inlineStr">
        <is>
          <t>Barang baru dari BMD 2026 yang belum ada di KIR</t>
        </is>
      </c>
    </row>
    <row r="164">
      <c r="A164" t="n">
        <v>163</v>
      </c>
      <c r="B164" t="inlineStr">
        <is>
          <t>Kursi Kerja Pejabat Eselon III</t>
        </is>
      </c>
      <c r="C164" t="inlineStr">
        <is>
          <t xml:space="preserve"> Tipe: 0</t>
        </is>
      </c>
      <c r="D164" t="inlineStr">
        <is>
          <t>1997</t>
        </is>
      </c>
      <c r="E164" t="n">
        <v>269500</v>
      </c>
      <c r="F164" t="inlineStr">
        <is>
          <t>Barang baru dari BMD 2026 yang belum ada di KIR</t>
        </is>
      </c>
    </row>
    <row r="165">
      <c r="A165" t="n">
        <v>164</v>
      </c>
      <c r="B165" t="inlineStr">
        <is>
          <t>Kursi Kerja Pejabat Eselon III</t>
        </is>
      </c>
      <c r="C165" t="inlineStr">
        <is>
          <t>Merk: TIGER T804 Tipe: 48708</t>
        </is>
      </c>
      <c r="D165" t="inlineStr">
        <is>
          <t>2011</t>
        </is>
      </c>
      <c r="E165" t="n">
        <v>1485000</v>
      </c>
      <c r="F165" t="inlineStr">
        <is>
          <t>Barang baru dari BMD 2026 yang belum ada di KIR</t>
        </is>
      </c>
    </row>
    <row r="166">
      <c r="A166" t="n">
        <v>165</v>
      </c>
      <c r="B166" t="inlineStr">
        <is>
          <t>Kursi Kerja Pejabat Eselon III</t>
        </is>
      </c>
      <c r="C166" t="inlineStr">
        <is>
          <t>Merk: TIGER T804 Tipe: 48709</t>
        </is>
      </c>
      <c r="D166" t="inlineStr">
        <is>
          <t>2011</t>
        </is>
      </c>
      <c r="E166" t="n">
        <v>1485000</v>
      </c>
      <c r="F166" t="inlineStr">
        <is>
          <t>Barang baru dari BMD 2026 yang belum ada di KIR</t>
        </is>
      </c>
    </row>
    <row r="167">
      <c r="A167" t="n">
        <v>166</v>
      </c>
      <c r="B167" t="inlineStr">
        <is>
          <t>Kursi Kerja Pejabat Eselon III</t>
        </is>
      </c>
      <c r="C167" t="inlineStr">
        <is>
          <t>Merk: INDACHI Tipe: 48749</t>
        </is>
      </c>
      <c r="D167" t="inlineStr">
        <is>
          <t>2018</t>
        </is>
      </c>
      <c r="E167" t="n">
        <v>1969099</v>
      </c>
      <c r="F167" t="inlineStr">
        <is>
          <t>Barang baru dari BMD 2026 yang belum ada di KIR</t>
        </is>
      </c>
    </row>
    <row r="168">
      <c r="A168" t="n">
        <v>167</v>
      </c>
      <c r="B168" t="inlineStr">
        <is>
          <t>Kursi Kerja Pejabat Eselon III</t>
        </is>
      </c>
      <c r="C168" t="inlineStr">
        <is>
          <t> </t>
        </is>
      </c>
      <c r="D168" t="inlineStr">
        <is>
          <t>2024</t>
        </is>
      </c>
      <c r="E168" t="n">
        <v>2000000</v>
      </c>
      <c r="F168" t="inlineStr">
        <is>
          <t>Barang baru dari BMD 2026 yang belum ada di KIR</t>
        </is>
      </c>
    </row>
    <row r="169">
      <c r="A169" t="n">
        <v>168</v>
      </c>
      <c r="B169" t="inlineStr">
        <is>
          <t>Kursi Kerja Pejabat Eselon IV</t>
        </is>
      </c>
      <c r="C169" t="inlineStr">
        <is>
          <t>Merk: Indachi D 800 Tipe: 48713</t>
        </is>
      </c>
      <c r="D169" t="inlineStr">
        <is>
          <t>2010</t>
        </is>
      </c>
      <c r="E169" t="n">
        <v>942500</v>
      </c>
      <c r="F169" t="inlineStr">
        <is>
          <t>Barang baru dari BMD 2026 yang belum ada di KIR</t>
        </is>
      </c>
    </row>
    <row r="170">
      <c r="A170" t="n">
        <v>169</v>
      </c>
      <c r="B170" t="inlineStr">
        <is>
          <t>Kursi Kerja Pejabat Eselon IV</t>
        </is>
      </c>
      <c r="C170" t="inlineStr">
        <is>
          <t>Merk: TIGER T98 AH Tipe: 48712</t>
        </is>
      </c>
      <c r="D170" t="inlineStr">
        <is>
          <t>2011</t>
        </is>
      </c>
      <c r="E170" t="n">
        <v>585000</v>
      </c>
      <c r="F170" t="inlineStr">
        <is>
          <t>Barang baru dari BMD 2026 yang belum ada di KIR</t>
        </is>
      </c>
    </row>
    <row r="171">
      <c r="A171" t="n">
        <v>170</v>
      </c>
      <c r="B171" t="inlineStr">
        <is>
          <t>Kursi Kerja Pejabat Eselon IV</t>
        </is>
      </c>
      <c r="C171" t="inlineStr">
        <is>
          <t>Merk: Indachi D 821 CR Tipe: 48721</t>
        </is>
      </c>
      <c r="D171" t="inlineStr">
        <is>
          <t>2016</t>
        </is>
      </c>
      <c r="E171" t="n">
        <v>2181159</v>
      </c>
      <c r="F171" t="inlineStr">
        <is>
          <t>Barang baru dari BMD 2026 yang belum ada di KIR</t>
        </is>
      </c>
    </row>
    <row r="172">
      <c r="A172" t="n">
        <v>171</v>
      </c>
      <c r="B172" t="inlineStr">
        <is>
          <t>Kursi Kerja Pejabat Eselon IV</t>
        </is>
      </c>
      <c r="C172" t="inlineStr">
        <is>
          <t>Merk: Indachi D 821 CR Tipe: 48723</t>
        </is>
      </c>
      <c r="D172" t="inlineStr">
        <is>
          <t>2016</t>
        </is>
      </c>
      <c r="E172" t="n">
        <v>2181159</v>
      </c>
      <c r="F172" t="inlineStr">
        <is>
          <t>Barang baru dari BMD 2026 yang belum ada di KIR</t>
        </is>
      </c>
    </row>
    <row r="173">
      <c r="A173" t="n">
        <v>172</v>
      </c>
      <c r="B173" t="inlineStr">
        <is>
          <t>Kursi Kerja Pejabat Eselon IV</t>
        </is>
      </c>
      <c r="C173" t="inlineStr">
        <is>
          <t>Merk: BROTHER BG 510 AN Tipe: 48735</t>
        </is>
      </c>
      <c r="D173" t="inlineStr">
        <is>
          <t>2017</t>
        </is>
      </c>
      <c r="E173" t="n">
        <v>1066031</v>
      </c>
      <c r="F173" t="inlineStr">
        <is>
          <t>Barang baru dari BMD 2026 yang belum ada di KIR</t>
        </is>
      </c>
    </row>
    <row r="174">
      <c r="A174" t="n">
        <v>173</v>
      </c>
      <c r="B174" t="inlineStr">
        <is>
          <t>Kursi Kerja Pejabat Lain-Lain</t>
        </is>
      </c>
      <c r="C174" t="inlineStr">
        <is>
          <t>Merk: Indachi D-980 Tipe: 48848</t>
        </is>
      </c>
      <c r="D174" t="inlineStr">
        <is>
          <t>2023</t>
        </is>
      </c>
      <c r="E174" t="n">
        <v>1250000</v>
      </c>
      <c r="F174" t="inlineStr">
        <is>
          <t>Barang baru dari BMD 2026 yang belum ada di KIR</t>
        </is>
      </c>
    </row>
    <row r="175">
      <c r="A175" t="n">
        <v>174</v>
      </c>
      <c r="B175" t="inlineStr">
        <is>
          <t>Kursi Rapat Ruangan Rapat Pejabat Eselon III</t>
        </is>
      </c>
      <c r="C175" t="inlineStr">
        <is>
          <t>Merk: Matrix KSS - 01 Tipe: 0</t>
        </is>
      </c>
      <c r="D175" t="inlineStr">
        <is>
          <t>2020</t>
        </is>
      </c>
      <c r="E175" t="n">
        <v>315616</v>
      </c>
      <c r="F175" t="inlineStr">
        <is>
          <t>Barang baru dari BMD 2026 yang belum ada di KIR</t>
        </is>
      </c>
    </row>
    <row r="176">
      <c r="A176" t="n">
        <v>175</v>
      </c>
      <c r="B176" t="inlineStr">
        <is>
          <t>Kursi Rapat Ruangan Rapat Pejabat Eselon III</t>
        </is>
      </c>
      <c r="C176" t="inlineStr">
        <is>
          <t>Merk: Matrix KSS - 01 Tipe: 0</t>
        </is>
      </c>
      <c r="D176" t="inlineStr">
        <is>
          <t>2020</t>
        </is>
      </c>
      <c r="E176" t="n">
        <v>315616</v>
      </c>
      <c r="F176" t="inlineStr">
        <is>
          <t>Barang baru dari BMD 2026 yang belum ada di KIR</t>
        </is>
      </c>
    </row>
    <row r="177">
      <c r="A177" t="n">
        <v>176</v>
      </c>
      <c r="B177" t="inlineStr">
        <is>
          <t>Kursi Rapat Ruangan Rapat Pejabat Eselon III</t>
        </is>
      </c>
      <c r="C177" t="inlineStr">
        <is>
          <t>Merk: Matrix KSS - 01 Tipe: 0</t>
        </is>
      </c>
      <c r="D177" t="inlineStr">
        <is>
          <t>2020</t>
        </is>
      </c>
      <c r="E177" t="n">
        <v>315616</v>
      </c>
      <c r="F177" t="inlineStr">
        <is>
          <t>Barang baru dari BMD 2026 yang belum ada di KIR</t>
        </is>
      </c>
    </row>
    <row r="178">
      <c r="A178" t="n">
        <v>177</v>
      </c>
      <c r="B178" t="inlineStr">
        <is>
          <t>Kursi Rapat Ruangan Rapat Pejabat Eselon III</t>
        </is>
      </c>
      <c r="C178" t="inlineStr">
        <is>
          <t>Merk: Matrix KSS - 01 Tipe: 0</t>
        </is>
      </c>
      <c r="D178" t="inlineStr">
        <is>
          <t>2020</t>
        </is>
      </c>
      <c r="E178" t="n">
        <v>315616</v>
      </c>
      <c r="F178" t="inlineStr">
        <is>
          <t>Barang baru dari BMD 2026 yang belum ada di KIR</t>
        </is>
      </c>
    </row>
    <row r="179">
      <c r="A179" t="n">
        <v>178</v>
      </c>
      <c r="B179" t="inlineStr">
        <is>
          <t>Kursi Rapat Ruangan Rapat Pejabat Eselon III</t>
        </is>
      </c>
      <c r="C179" t="inlineStr">
        <is>
          <t>Merk: Matrix KSS - 01 Tipe: 0</t>
        </is>
      </c>
      <c r="D179" t="inlineStr">
        <is>
          <t>2020</t>
        </is>
      </c>
      <c r="E179" t="n">
        <v>315616</v>
      </c>
      <c r="F179" t="inlineStr">
        <is>
          <t>Barang baru dari BMD 2026 yang belum ada di KIR</t>
        </is>
      </c>
    </row>
    <row r="180">
      <c r="A180" t="n">
        <v>179</v>
      </c>
      <c r="B180" t="inlineStr">
        <is>
          <t>Kursi Rapat Ruangan Rapat Pejabat Eselon III</t>
        </is>
      </c>
      <c r="C180" t="inlineStr">
        <is>
          <t>Merk: Matrix KSS - 01 Tipe: 0</t>
        </is>
      </c>
      <c r="D180" t="inlineStr">
        <is>
          <t>2020</t>
        </is>
      </c>
      <c r="E180" t="n">
        <v>315616</v>
      </c>
      <c r="F180" t="inlineStr">
        <is>
          <t>Barang baru dari BMD 2026 yang belum ada di KIR</t>
        </is>
      </c>
    </row>
    <row r="181">
      <c r="A181" t="n">
        <v>180</v>
      </c>
      <c r="B181" t="inlineStr">
        <is>
          <t>Kursi Rapat Ruangan Rapat Pejabat Eselon III</t>
        </is>
      </c>
      <c r="C181" t="inlineStr">
        <is>
          <t>Merk: Matrix KSS - 01 Tipe: 0</t>
        </is>
      </c>
      <c r="D181" t="inlineStr">
        <is>
          <t>2020</t>
        </is>
      </c>
      <c r="E181" t="n">
        <v>315616</v>
      </c>
      <c r="F181" t="inlineStr">
        <is>
          <t>Barang baru dari BMD 2026 yang belum ada di KIR</t>
        </is>
      </c>
    </row>
    <row r="182">
      <c r="A182" t="n">
        <v>181</v>
      </c>
      <c r="B182" t="inlineStr">
        <is>
          <t>Kursi Rapat Ruangan Rapat Pejabat Eselon III</t>
        </is>
      </c>
      <c r="C182" t="inlineStr">
        <is>
          <t>Merk: Matrix KSS - 01 Tipe: 0</t>
        </is>
      </c>
      <c r="D182" t="inlineStr">
        <is>
          <t>2020</t>
        </is>
      </c>
      <c r="E182" t="n">
        <v>315616</v>
      </c>
      <c r="F182" t="inlineStr">
        <is>
          <t>Barang baru dari BMD 2026 yang belum ada di KIR</t>
        </is>
      </c>
    </row>
    <row r="183">
      <c r="A183" t="n">
        <v>182</v>
      </c>
      <c r="B183" t="inlineStr">
        <is>
          <t>Kursi Rapat Ruangan Rapat Pejabat Eselon III</t>
        </is>
      </c>
      <c r="C183" t="inlineStr">
        <is>
          <t>Merk: Matrix KSS - 01 Tipe: 0</t>
        </is>
      </c>
      <c r="D183" t="inlineStr">
        <is>
          <t>2020</t>
        </is>
      </c>
      <c r="E183" t="n">
        <v>315616</v>
      </c>
      <c r="F183" t="inlineStr">
        <is>
          <t>Barang baru dari BMD 2026 yang belum ada di KIR</t>
        </is>
      </c>
    </row>
    <row r="184">
      <c r="A184" t="n">
        <v>183</v>
      </c>
      <c r="B184" t="inlineStr">
        <is>
          <t>Kursi Rapat Ruangan Rapat Pejabat Eselon III</t>
        </is>
      </c>
      <c r="C184" t="inlineStr">
        <is>
          <t>Merk: Matrix KSS - 01 Tipe: 0</t>
        </is>
      </c>
      <c r="D184" t="inlineStr">
        <is>
          <t>2020</t>
        </is>
      </c>
      <c r="E184" t="n">
        <v>315616</v>
      </c>
      <c r="F184" t="inlineStr">
        <is>
          <t>Barang baru dari BMD 2026 yang belum ada di KIR</t>
        </is>
      </c>
    </row>
    <row r="185">
      <c r="A185" t="n">
        <v>184</v>
      </c>
      <c r="B185" t="inlineStr">
        <is>
          <t>Kursi Rapat Ruangan Rapat Pejabat Eselon III</t>
        </is>
      </c>
      <c r="C185" t="inlineStr">
        <is>
          <t>Merk: Matrix KSS - 01 Tipe: 0</t>
        </is>
      </c>
      <c r="D185" t="inlineStr">
        <is>
          <t>2020</t>
        </is>
      </c>
      <c r="E185" t="n">
        <v>315616</v>
      </c>
      <c r="F185" t="inlineStr">
        <is>
          <t>Barang baru dari BMD 2026 yang belum ada di KIR</t>
        </is>
      </c>
    </row>
    <row r="186">
      <c r="A186" t="n">
        <v>185</v>
      </c>
      <c r="B186" t="inlineStr">
        <is>
          <t>Kursi Rapat Ruangan Rapat Pejabat Eselon III</t>
        </is>
      </c>
      <c r="C186" t="inlineStr">
        <is>
          <t>Merk: Matrix KSS - 01 Tipe: 0</t>
        </is>
      </c>
      <c r="D186" t="inlineStr">
        <is>
          <t>2020</t>
        </is>
      </c>
      <c r="E186" t="n">
        <v>315616</v>
      </c>
      <c r="F186" t="inlineStr">
        <is>
          <t>Barang baru dari BMD 2026 yang belum ada di KIR</t>
        </is>
      </c>
    </row>
    <row r="187">
      <c r="A187" t="n">
        <v>186</v>
      </c>
      <c r="B187" t="inlineStr">
        <is>
          <t>Kursi Rapat Ruangan Rapat Pejabat Eselon III</t>
        </is>
      </c>
      <c r="C187" t="inlineStr">
        <is>
          <t>Merk: Matrix KSS - 01 Tipe: 0</t>
        </is>
      </c>
      <c r="D187" t="inlineStr">
        <is>
          <t>2020</t>
        </is>
      </c>
      <c r="E187" t="n">
        <v>315616</v>
      </c>
      <c r="F187" t="inlineStr">
        <is>
          <t>Barang baru dari BMD 2026 yang belum ada di KIR</t>
        </is>
      </c>
    </row>
    <row r="188">
      <c r="A188" t="n">
        <v>187</v>
      </c>
      <c r="B188" t="inlineStr">
        <is>
          <t>Kursi Rapat Ruangan Rapat Pejabat Eselon III</t>
        </is>
      </c>
      <c r="C188" t="inlineStr">
        <is>
          <t>Merk: Matrix KSS - 01 Tipe: 0</t>
        </is>
      </c>
      <c r="D188" t="inlineStr">
        <is>
          <t>2020</t>
        </is>
      </c>
      <c r="E188" t="n">
        <v>315616</v>
      </c>
      <c r="F188" t="inlineStr">
        <is>
          <t>Barang baru dari BMD 2026 yang belum ada di KIR</t>
        </is>
      </c>
    </row>
    <row r="189">
      <c r="A189" t="n">
        <v>188</v>
      </c>
      <c r="B189" t="inlineStr">
        <is>
          <t>Kursi Rapat Ruangan Rapat Pejabat Eselon III</t>
        </is>
      </c>
      <c r="C189" t="inlineStr">
        <is>
          <t>Merk: Matrix KSS - 01 Tipe: 0</t>
        </is>
      </c>
      <c r="D189" t="inlineStr">
        <is>
          <t>2020</t>
        </is>
      </c>
      <c r="E189" t="n">
        <v>315616</v>
      </c>
      <c r="F189" t="inlineStr">
        <is>
          <t>Barang baru dari BMD 2026 yang belum ada di KIR</t>
        </is>
      </c>
    </row>
    <row r="190">
      <c r="A190" t="n">
        <v>189</v>
      </c>
      <c r="B190" t="inlineStr">
        <is>
          <t>Kursi Rapat Ruangan Rapat Pejabat Eselon III</t>
        </is>
      </c>
      <c r="C190" t="inlineStr">
        <is>
          <t>Merk: Matrix KSS - 01 Tipe: 0</t>
        </is>
      </c>
      <c r="D190" t="inlineStr">
        <is>
          <t>2020</t>
        </is>
      </c>
      <c r="E190" t="n">
        <v>315616</v>
      </c>
      <c r="F190" t="inlineStr">
        <is>
          <t>Barang baru dari BMD 2026 yang belum ada di KIR</t>
        </is>
      </c>
    </row>
    <row r="191">
      <c r="A191" t="n">
        <v>190</v>
      </c>
      <c r="B191" t="inlineStr">
        <is>
          <t>Kursi Rapat Ruangan Rapat Pejabat Eselon III</t>
        </is>
      </c>
      <c r="C191" t="inlineStr">
        <is>
          <t>Merk: Matrix KSS - 01 Tipe: 0</t>
        </is>
      </c>
      <c r="D191" t="inlineStr">
        <is>
          <t>2020</t>
        </is>
      </c>
      <c r="E191" t="n">
        <v>315616</v>
      </c>
      <c r="F191" t="inlineStr">
        <is>
          <t>Barang baru dari BMD 2026 yang belum ada di KIR</t>
        </is>
      </c>
    </row>
    <row r="192">
      <c r="A192" t="n">
        <v>191</v>
      </c>
      <c r="B192" t="inlineStr">
        <is>
          <t>Kursi Rapat Ruangan Rapat Pejabat Eselon III</t>
        </is>
      </c>
      <c r="C192" t="inlineStr">
        <is>
          <t>Merk: Matrix KSS - 01 Tipe: 0</t>
        </is>
      </c>
      <c r="D192" t="inlineStr">
        <is>
          <t>2020</t>
        </is>
      </c>
      <c r="E192" t="n">
        <v>315616</v>
      </c>
      <c r="F192" t="inlineStr">
        <is>
          <t>Barang baru dari BMD 2026 yang belum ada di KIR</t>
        </is>
      </c>
    </row>
    <row r="193">
      <c r="A193" t="n">
        <v>192</v>
      </c>
      <c r="B193" t="inlineStr">
        <is>
          <t>Kursi Rapat Ruangan Rapat Pejabat Eselon III</t>
        </is>
      </c>
      <c r="C193" t="inlineStr">
        <is>
          <t>Merk: Matrix KSS - 01 Tipe: 0</t>
        </is>
      </c>
      <c r="D193" t="inlineStr">
        <is>
          <t>2020</t>
        </is>
      </c>
      <c r="E193" t="n">
        <v>315616</v>
      </c>
      <c r="F193" t="inlineStr">
        <is>
          <t>Barang baru dari BMD 2026 yang belum ada di KIR</t>
        </is>
      </c>
    </row>
    <row r="194">
      <c r="A194" t="n">
        <v>193</v>
      </c>
      <c r="B194" t="inlineStr">
        <is>
          <t>Kursi Rapat Ruangan Rapat Pejabat Eselon III</t>
        </is>
      </c>
      <c r="C194" t="inlineStr">
        <is>
          <t>Merk: Matrix KSS - 01 Tipe: 0</t>
        </is>
      </c>
      <c r="D194" t="inlineStr">
        <is>
          <t>2020</t>
        </is>
      </c>
      <c r="E194" t="n">
        <v>315616</v>
      </c>
      <c r="F194" t="inlineStr">
        <is>
          <t>Barang baru dari BMD 2026 yang belum ada di KIR</t>
        </is>
      </c>
    </row>
    <row r="195">
      <c r="A195" t="n">
        <v>194</v>
      </c>
      <c r="B195" t="inlineStr">
        <is>
          <t>Kursi Rapat Ruangan Rapat Pejabat Eselon III</t>
        </is>
      </c>
      <c r="C195" t="inlineStr">
        <is>
          <t>Merk: Matrix KSS - 01 Tipe: 0</t>
        </is>
      </c>
      <c r="D195" t="inlineStr">
        <is>
          <t>2020</t>
        </is>
      </c>
      <c r="E195" t="n">
        <v>315616</v>
      </c>
      <c r="F195" t="inlineStr">
        <is>
          <t>Barang baru dari BMD 2026 yang belum ada di KIR</t>
        </is>
      </c>
    </row>
    <row r="196">
      <c r="A196" t="n">
        <v>195</v>
      </c>
      <c r="B196" t="inlineStr">
        <is>
          <t>Kursi Rapat Ruangan Rapat Pejabat Eselon III</t>
        </is>
      </c>
      <c r="C196" t="inlineStr">
        <is>
          <t>Merk: Matrix KSS - 01 Tipe: 0</t>
        </is>
      </c>
      <c r="D196" t="inlineStr">
        <is>
          <t>2020</t>
        </is>
      </c>
      <c r="E196" t="n">
        <v>315616</v>
      </c>
      <c r="F196" t="inlineStr">
        <is>
          <t>Barang baru dari BMD 2026 yang belum ada di KIR</t>
        </is>
      </c>
    </row>
    <row r="197">
      <c r="A197" t="n">
        <v>196</v>
      </c>
      <c r="B197" t="inlineStr">
        <is>
          <t>Kursi Rapat Ruangan Rapat Pejabat Eselon III</t>
        </is>
      </c>
      <c r="C197" t="inlineStr">
        <is>
          <t>Merk: Matrix KSS - 01 Tipe: 0</t>
        </is>
      </c>
      <c r="D197" t="inlineStr">
        <is>
          <t>2020</t>
        </is>
      </c>
      <c r="E197" t="n">
        <v>315616</v>
      </c>
      <c r="F197" t="inlineStr">
        <is>
          <t>Barang baru dari BMD 2026 yang belum ada di KIR</t>
        </is>
      </c>
    </row>
    <row r="198">
      <c r="A198" t="n">
        <v>197</v>
      </c>
      <c r="B198" t="inlineStr">
        <is>
          <t>Kursi Rapat Ruangan Rapat Pejabat Eselon III</t>
        </is>
      </c>
      <c r="C198" t="inlineStr">
        <is>
          <t>Merk: Matrix KSS - 01 Tipe: 0</t>
        </is>
      </c>
      <c r="D198" t="inlineStr">
        <is>
          <t>2020</t>
        </is>
      </c>
      <c r="E198" t="n">
        <v>315616</v>
      </c>
      <c r="F198" t="inlineStr">
        <is>
          <t>Barang baru dari BMD 2026 yang belum ada di KIR</t>
        </is>
      </c>
    </row>
    <row r="199">
      <c r="A199" t="n">
        <v>198</v>
      </c>
      <c r="B199" t="inlineStr">
        <is>
          <t>Kursi Rapat Ruangan Rapat Pejabat Eselon III</t>
        </is>
      </c>
      <c r="C199" t="inlineStr">
        <is>
          <t>Merk: Matrix KSS - 01 Tipe: 0</t>
        </is>
      </c>
      <c r="D199" t="inlineStr">
        <is>
          <t>2020</t>
        </is>
      </c>
      <c r="E199" t="n">
        <v>315616</v>
      </c>
      <c r="F199" t="inlineStr">
        <is>
          <t>Barang baru dari BMD 2026 yang belum ada di KIR</t>
        </is>
      </c>
    </row>
    <row r="200">
      <c r="A200" t="n">
        <v>199</v>
      </c>
      <c r="B200" t="inlineStr">
        <is>
          <t>Kursi Rapat Ruangan Rapat Pejabat Eselon III</t>
        </is>
      </c>
      <c r="C200" t="inlineStr">
        <is>
          <t>Merk: Matrix KSS - 01 Tipe: 0</t>
        </is>
      </c>
      <c r="D200" t="inlineStr">
        <is>
          <t>2020</t>
        </is>
      </c>
      <c r="E200" t="n">
        <v>315616</v>
      </c>
      <c r="F200" t="inlineStr">
        <is>
          <t>Barang baru dari BMD 2026 yang belum ada di KIR</t>
        </is>
      </c>
    </row>
    <row r="201">
      <c r="A201" t="n">
        <v>200</v>
      </c>
      <c r="B201" t="inlineStr">
        <is>
          <t>Kursi Rapat Ruangan Rapat Pejabat Eselon III</t>
        </is>
      </c>
      <c r="C201" t="inlineStr">
        <is>
          <t>Merk: Matrix KSS - 01 Tipe: 0</t>
        </is>
      </c>
      <c r="D201" t="inlineStr">
        <is>
          <t>2020</t>
        </is>
      </c>
      <c r="E201" t="n">
        <v>315616</v>
      </c>
      <c r="F201" t="inlineStr">
        <is>
          <t>Barang baru dari BMD 2026 yang belum ada di KIR</t>
        </is>
      </c>
    </row>
    <row r="202">
      <c r="A202" t="n">
        <v>201</v>
      </c>
      <c r="B202" t="inlineStr">
        <is>
          <t>Kursi Rapat Ruangan Rapat Pejabat Eselon III</t>
        </is>
      </c>
      <c r="C202" t="inlineStr">
        <is>
          <t>Merk: Matrix KSS - 01 Tipe: 0</t>
        </is>
      </c>
      <c r="D202" t="inlineStr">
        <is>
          <t>2020</t>
        </is>
      </c>
      <c r="E202" t="n">
        <v>315616</v>
      </c>
      <c r="F202" t="inlineStr">
        <is>
          <t>Barang baru dari BMD 2026 yang belum ada di KIR</t>
        </is>
      </c>
    </row>
    <row r="203">
      <c r="A203" t="n">
        <v>202</v>
      </c>
      <c r="B203" t="inlineStr">
        <is>
          <t>Kursi Rapat Ruangan Rapat Pejabat Eselon III</t>
        </is>
      </c>
      <c r="C203" t="inlineStr">
        <is>
          <t>Merk: Matrix KSS - 01 Tipe: 0</t>
        </is>
      </c>
      <c r="D203" t="inlineStr">
        <is>
          <t>2020</t>
        </is>
      </c>
      <c r="E203" t="n">
        <v>315616</v>
      </c>
      <c r="F203" t="inlineStr">
        <is>
          <t>Barang baru dari BMD 2026 yang belum ada di KIR</t>
        </is>
      </c>
    </row>
    <row r="204">
      <c r="A204" t="n">
        <v>203</v>
      </c>
      <c r="B204" t="inlineStr">
        <is>
          <t>Kursi Rapat Ruangan Rapat Pejabat Eselon III</t>
        </is>
      </c>
      <c r="C204" t="inlineStr">
        <is>
          <t>Merk: Matrix KSS - 01 Tipe: 0</t>
        </is>
      </c>
      <c r="D204" t="inlineStr">
        <is>
          <t>2020</t>
        </is>
      </c>
      <c r="E204" t="n">
        <v>315616</v>
      </c>
      <c r="F204" t="inlineStr">
        <is>
          <t>Barang baru dari BMD 2026 yang belum ada di KIR</t>
        </is>
      </c>
    </row>
    <row r="205">
      <c r="A205" t="n">
        <v>204</v>
      </c>
      <c r="B205" t="inlineStr">
        <is>
          <t>Buffet Kaca</t>
        </is>
      </c>
      <c r="C205" t="inlineStr">
        <is>
          <t>Merk: Informa MC Glass Door Tipe: 48724</t>
        </is>
      </c>
      <c r="D205" t="inlineStr">
        <is>
          <t>2016</t>
        </is>
      </c>
      <c r="E205" t="n">
        <v>2739131</v>
      </c>
      <c r="F205" t="inlineStr">
        <is>
          <t>Barang baru dari BMD 2026 yang belum ada di KIR</t>
        </is>
      </c>
    </row>
    <row r="206">
      <c r="A206" t="n">
        <v>205</v>
      </c>
      <c r="B206" t="inlineStr">
        <is>
          <t>Digital LED Running Text</t>
        </is>
      </c>
      <c r="C206" t="inlineStr">
        <is>
          <t xml:space="preserve"> Tipe: 48828</t>
        </is>
      </c>
      <c r="D206" t="inlineStr">
        <is>
          <t>2022</t>
        </is>
      </c>
      <c r="E206" t="n">
        <v>5500000</v>
      </c>
      <c r="F206" t="inlineStr">
        <is>
          <t>Barang baru dari BMD 2026 yang belum ada di KIR</t>
        </is>
      </c>
    </row>
    <row r="207">
      <c r="A207" t="n">
        <v>206</v>
      </c>
      <c r="B207" t="inlineStr">
        <is>
          <t>Layar Film/Projector</t>
        </is>
      </c>
      <c r="C207" t="inlineStr">
        <is>
          <t>Merk: INFOCUS Tipe: 48774</t>
        </is>
      </c>
      <c r="D207" t="inlineStr">
        <is>
          <t>2019</t>
        </is>
      </c>
      <c r="E207" t="n">
        <v>15090000</v>
      </c>
      <c r="F207" t="inlineStr">
        <is>
          <t>Barang baru dari BMD 2026 yang belum ada di KIR</t>
        </is>
      </c>
    </row>
    <row r="208">
      <c r="A208" t="n">
        <v>207</v>
      </c>
      <c r="B208" t="inlineStr">
        <is>
          <t>Camera Digital</t>
        </is>
      </c>
      <c r="C208" t="inlineStr">
        <is>
          <t>Merk: Canon Tipe: EOS R50 Kit</t>
        </is>
      </c>
      <c r="D208" t="inlineStr">
        <is>
          <t>2025</t>
        </is>
      </c>
      <c r="E208" t="n">
        <v>16705500</v>
      </c>
      <c r="F208" t="inlineStr">
        <is>
          <t>Barang baru dari BMD 2026 yang belum ada di KIR</t>
        </is>
      </c>
    </row>
    <row r="209">
      <c r="A209" t="n">
        <v>208</v>
      </c>
      <c r="B209" t="inlineStr">
        <is>
          <t>Telephone Mobile</t>
        </is>
      </c>
      <c r="C209" t="inlineStr">
        <is>
          <t>Merk: Samsung Tipe: GalaxyTab S10 Plus 5G-12/256 GB</t>
        </is>
      </c>
      <c r="D209" t="inlineStr">
        <is>
          <t>2024</t>
        </is>
      </c>
      <c r="E209" t="n">
        <v>22200000</v>
      </c>
      <c r="F209" t="inlineStr">
        <is>
          <t>Barang baru dari BMD 2026 yang belum ada di KIR</t>
        </is>
      </c>
    </row>
    <row r="210">
      <c r="A210" t="n">
        <v>209</v>
      </c>
      <c r="B210" t="inlineStr">
        <is>
          <t>Handy Talky (HT)</t>
        </is>
      </c>
      <c r="C210" t="inlineStr">
        <is>
          <t>Merk: ICOM Tipe: 48714</t>
        </is>
      </c>
      <c r="D210" t="inlineStr">
        <is>
          <t>2013</t>
        </is>
      </c>
      <c r="E210" t="n">
        <v>1849166.667</v>
      </c>
      <c r="F210" t="inlineStr">
        <is>
          <t>Barang baru dari BMD 2026 yang belum ada di KIR</t>
        </is>
      </c>
    </row>
    <row r="211">
      <c r="A211" t="n">
        <v>210</v>
      </c>
      <c r="B211" t="inlineStr">
        <is>
          <t>P.C Unit</t>
        </is>
      </c>
      <c r="C211" t="inlineStr">
        <is>
          <t>Merk: Intel - Casing DE Case- LG Tipe: 48690</t>
        </is>
      </c>
      <c r="D211" t="inlineStr">
        <is>
          <t>2013</t>
        </is>
      </c>
      <c r="E211" t="n">
        <v>3922641.51</v>
      </c>
      <c r="F211" t="inlineStr">
        <is>
          <t>Barang baru dari BMD 2026 yang belum ada di KIR</t>
        </is>
      </c>
    </row>
    <row r="212">
      <c r="A212" t="n">
        <v>211</v>
      </c>
      <c r="B212" t="inlineStr">
        <is>
          <t>P.C Unit</t>
        </is>
      </c>
      <c r="C212" t="inlineStr">
        <is>
          <t>Merk: Lenovo Tipe: 48692</t>
        </is>
      </c>
      <c r="D212" t="inlineStr">
        <is>
          <t>2015</t>
        </is>
      </c>
      <c r="E212" t="n">
        <v>6026316</v>
      </c>
      <c r="F212" t="inlineStr">
        <is>
          <t>Barang baru dari BMD 2026 yang belum ada di KIR</t>
        </is>
      </c>
    </row>
    <row r="213">
      <c r="A213" t="n">
        <v>212</v>
      </c>
      <c r="B213" t="inlineStr">
        <is>
          <t>P.C Unit</t>
        </is>
      </c>
      <c r="C213" t="inlineStr">
        <is>
          <t>Merk: Lenovo Tipe: 48693</t>
        </is>
      </c>
      <c r="D213" t="inlineStr">
        <is>
          <t>2015</t>
        </is>
      </c>
      <c r="E213" t="n">
        <v>6026316</v>
      </c>
      <c r="F213" t="inlineStr">
        <is>
          <t>Barang baru dari BMD 2026 yang belum ada di KIR</t>
        </is>
      </c>
    </row>
    <row r="214">
      <c r="A214" t="n">
        <v>213</v>
      </c>
      <c r="B214" t="inlineStr">
        <is>
          <t>P.C Unit</t>
        </is>
      </c>
      <c r="C214" t="inlineStr">
        <is>
          <t>Merk: Lenovo Tipe: 48739</t>
        </is>
      </c>
      <c r="D214" t="inlineStr">
        <is>
          <t>2017</t>
        </is>
      </c>
      <c r="E214" t="n">
        <v>6976243</v>
      </c>
      <c r="F214" t="inlineStr">
        <is>
          <t>Barang baru dari BMD 2026 yang belum ada di KIR</t>
        </is>
      </c>
    </row>
    <row r="215">
      <c r="A215" t="n">
        <v>214</v>
      </c>
      <c r="B215" t="inlineStr">
        <is>
          <t>P.C Unit</t>
        </is>
      </c>
      <c r="C215" t="inlineStr">
        <is>
          <t>Merk: Lenovo Tipe: 48740</t>
        </is>
      </c>
      <c r="D215" t="inlineStr">
        <is>
          <t>2017</t>
        </is>
      </c>
      <c r="E215" t="n">
        <v>6976243</v>
      </c>
      <c r="F215" t="inlineStr">
        <is>
          <t>Barang baru dari BMD 2026 yang belum ada di KIR</t>
        </is>
      </c>
    </row>
    <row r="216">
      <c r="A216" t="n">
        <v>215</v>
      </c>
      <c r="B216" t="inlineStr">
        <is>
          <t>P.C Unit</t>
        </is>
      </c>
      <c r="C216" t="inlineStr">
        <is>
          <t>Merk: Lenovo Tipe: 48765</t>
        </is>
      </c>
      <c r="D216" t="inlineStr">
        <is>
          <t>2019</t>
        </is>
      </c>
      <c r="E216" t="n">
        <v>5327418</v>
      </c>
      <c r="F216" t="inlineStr">
        <is>
          <t>Barang baru dari BMD 2026 yang belum ada di KIR</t>
        </is>
      </c>
    </row>
    <row r="217">
      <c r="A217" t="n">
        <v>216</v>
      </c>
      <c r="B217" t="inlineStr">
        <is>
          <t>P.C Unit</t>
        </is>
      </c>
      <c r="C217" t="inlineStr">
        <is>
          <t>Merk: Lenovo Tipe: 48766</t>
        </is>
      </c>
      <c r="D217" t="inlineStr">
        <is>
          <t>2019</t>
        </is>
      </c>
      <c r="E217" t="n">
        <v>5327418</v>
      </c>
      <c r="F217" t="inlineStr">
        <is>
          <t>Barang baru dari BMD 2026 yang belum ada di KIR</t>
        </is>
      </c>
    </row>
    <row r="218">
      <c r="A218" t="n">
        <v>217</v>
      </c>
      <c r="B218" t="inlineStr">
        <is>
          <t>P.C Unit</t>
        </is>
      </c>
      <c r="C218" t="inlineStr">
        <is>
          <t>Merk: Lenovo Tipe: 48767</t>
        </is>
      </c>
      <c r="D218" t="inlineStr">
        <is>
          <t>2019</t>
        </is>
      </c>
      <c r="E218" t="n">
        <v>5327418</v>
      </c>
      <c r="F218" t="inlineStr">
        <is>
          <t>Barang baru dari BMD 2026 yang belum ada di KIR</t>
        </is>
      </c>
    </row>
    <row r="219">
      <c r="A219" t="n">
        <v>218</v>
      </c>
      <c r="B219" t="inlineStr">
        <is>
          <t>P.C Unit</t>
        </is>
      </c>
      <c r="C219" t="inlineStr">
        <is>
          <t>Merk: LENOVO V130 Tipe: 48777</t>
        </is>
      </c>
      <c r="D219" t="inlineStr">
        <is>
          <t>2020</t>
        </is>
      </c>
      <c r="E219" t="n">
        <v>5567901</v>
      </c>
      <c r="F219" t="inlineStr">
        <is>
          <t>Barang baru dari BMD 2026 yang belum ada di KIR</t>
        </is>
      </c>
    </row>
    <row r="220">
      <c r="A220" t="n">
        <v>219</v>
      </c>
      <c r="B220" t="inlineStr">
        <is>
          <t>P.C Unit</t>
        </is>
      </c>
      <c r="C220" t="inlineStr">
        <is>
          <t>Merk: LENOVO Tipe: 48783</t>
        </is>
      </c>
      <c r="D220" t="inlineStr">
        <is>
          <t>2020</t>
        </is>
      </c>
      <c r="E220" t="n">
        <v>6996008</v>
      </c>
      <c r="F220" t="inlineStr">
        <is>
          <t>Barang baru dari BMD 2026 yang belum ada di KIR</t>
        </is>
      </c>
    </row>
    <row r="221">
      <c r="A221" t="n">
        <v>220</v>
      </c>
      <c r="B221" t="inlineStr">
        <is>
          <t>P.C Unit</t>
        </is>
      </c>
      <c r="C221" t="inlineStr">
        <is>
          <t>Merk: HP Tipe: 48821</t>
        </is>
      </c>
      <c r="D221" t="inlineStr">
        <is>
          <t>2021</t>
        </is>
      </c>
      <c r="E221" t="n">
        <v>9020000</v>
      </c>
      <c r="F221" t="inlineStr">
        <is>
          <t>Barang baru dari BMD 2026 yang belum ada di KIR</t>
        </is>
      </c>
    </row>
    <row r="222">
      <c r="A222" t="n">
        <v>221</v>
      </c>
      <c r="B222" t="inlineStr">
        <is>
          <t>P.C Unit</t>
        </is>
      </c>
      <c r="C222" t="inlineStr">
        <is>
          <t>Merk: HP Tipe: 48822</t>
        </is>
      </c>
      <c r="D222" t="inlineStr">
        <is>
          <t>2021</t>
        </is>
      </c>
      <c r="E222" t="n">
        <v>9020000</v>
      </c>
      <c r="F222" t="inlineStr">
        <is>
          <t>Barang baru dari BMD 2026 yang belum ada di KIR</t>
        </is>
      </c>
    </row>
    <row r="223">
      <c r="A223" t="n">
        <v>222</v>
      </c>
      <c r="B223" t="inlineStr">
        <is>
          <t>P.C Unit</t>
        </is>
      </c>
      <c r="C223" t="inlineStr">
        <is>
          <t>Merk: HP Tipe: 48823</t>
        </is>
      </c>
      <c r="D223" t="inlineStr">
        <is>
          <t>2021</t>
        </is>
      </c>
      <c r="E223" t="n">
        <v>9020000</v>
      </c>
      <c r="F223" t="inlineStr">
        <is>
          <t>Barang baru dari BMD 2026 yang belum ada di KIR</t>
        </is>
      </c>
    </row>
    <row r="224">
      <c r="A224" t="n">
        <v>223</v>
      </c>
      <c r="B224" t="inlineStr">
        <is>
          <t>P.C Unit</t>
        </is>
      </c>
      <c r="C224" t="inlineStr">
        <is>
          <t>Merk: Lenovo Idecentre Tipe: 48830</t>
        </is>
      </c>
      <c r="D224" t="inlineStr">
        <is>
          <t>2022</t>
        </is>
      </c>
      <c r="E224" t="n">
        <v>9978900</v>
      </c>
      <c r="F224" t="inlineStr">
        <is>
          <t>Barang baru dari BMD 2026 yang belum ada di KIR</t>
        </is>
      </c>
    </row>
    <row r="225">
      <c r="A225" t="n">
        <v>224</v>
      </c>
      <c r="B225" t="inlineStr">
        <is>
          <t>P.C Unit</t>
        </is>
      </c>
      <c r="C225" t="inlineStr">
        <is>
          <t>Merk: Lenovo Idecentre Tipe: 48831</t>
        </is>
      </c>
      <c r="D225" t="inlineStr">
        <is>
          <t>2022</t>
        </is>
      </c>
      <c r="E225" t="n">
        <v>9978900</v>
      </c>
      <c r="F225" t="inlineStr">
        <is>
          <t>Barang baru dari BMD 2026 yang belum ada di KIR</t>
        </is>
      </c>
    </row>
    <row r="226">
      <c r="A226" t="n">
        <v>225</v>
      </c>
      <c r="B226" t="inlineStr">
        <is>
          <t>P.C Unit</t>
        </is>
      </c>
      <c r="C226" t="inlineStr">
        <is>
          <t>Merk: AXIOO Tipe: 48845</t>
        </is>
      </c>
      <c r="D226" t="inlineStr">
        <is>
          <t>2023</t>
        </is>
      </c>
      <c r="E226" t="n">
        <v>17500000</v>
      </c>
      <c r="F226" t="inlineStr">
        <is>
          <t>Barang baru dari BMD 2026 yang belum ada di KIR</t>
        </is>
      </c>
    </row>
    <row r="227">
      <c r="A227" t="n">
        <v>226</v>
      </c>
      <c r="B227" t="inlineStr">
        <is>
          <t>P.C Unit</t>
        </is>
      </c>
      <c r="C227" t="inlineStr">
        <is>
          <t>Merk: AXIOO Tipe: 48846</t>
        </is>
      </c>
      <c r="D227" t="inlineStr">
        <is>
          <t>2023</t>
        </is>
      </c>
      <c r="E227" t="n">
        <v>17500000</v>
      </c>
      <c r="F227" t="inlineStr">
        <is>
          <t>Barang baru dari BMD 2026 yang belum ada di KIR</t>
        </is>
      </c>
    </row>
    <row r="228">
      <c r="A228" t="n">
        <v>227</v>
      </c>
      <c r="B228" t="inlineStr">
        <is>
          <t>P.C Unit</t>
        </is>
      </c>
      <c r="C228" t="inlineStr">
        <is>
          <t>Merk: AXIOO Tipe: 48847</t>
        </is>
      </c>
      <c r="D228" t="inlineStr">
        <is>
          <t>2023</t>
        </is>
      </c>
      <c r="E228" t="n">
        <v>17500000</v>
      </c>
      <c r="F228" t="inlineStr">
        <is>
          <t>Barang baru dari BMD 2026 yang belum ada di KIR</t>
        </is>
      </c>
    </row>
    <row r="229">
      <c r="A229" t="n">
        <v>228</v>
      </c>
      <c r="B229" t="inlineStr">
        <is>
          <t>P.C Unit</t>
        </is>
      </c>
      <c r="C229" t="inlineStr">
        <is>
          <t>Merk: AXIOO Tipe: 48850</t>
        </is>
      </c>
      <c r="D229" t="inlineStr">
        <is>
          <t>2023</t>
        </is>
      </c>
      <c r="E229" t="n">
        <v>17500000</v>
      </c>
      <c r="F229" t="inlineStr">
        <is>
          <t>Barang baru dari BMD 2026 yang belum ada di KIR</t>
        </is>
      </c>
    </row>
    <row r="230">
      <c r="A230" t="n">
        <v>229</v>
      </c>
      <c r="B230" t="inlineStr">
        <is>
          <t>P.C Unit</t>
        </is>
      </c>
      <c r="C230" t="inlineStr">
        <is>
          <t>Merk: Acer Tipe: All in one Veriton Z4</t>
        </is>
      </c>
      <c r="D230" t="inlineStr">
        <is>
          <t>2024</t>
        </is>
      </c>
      <c r="E230" t="n">
        <v>24700000</v>
      </c>
      <c r="F230" t="inlineStr">
        <is>
          <t>Barang baru dari BMD 2026 yang belum ada di KIR</t>
        </is>
      </c>
    </row>
    <row r="231">
      <c r="A231" t="n">
        <v>230</v>
      </c>
      <c r="B231" t="inlineStr">
        <is>
          <t>P.C Unit</t>
        </is>
      </c>
      <c r="C231" t="inlineStr">
        <is>
          <t> </t>
        </is>
      </c>
      <c r="D231" t="inlineStr">
        <is>
          <t>2024</t>
        </is>
      </c>
      <c r="E231" t="n">
        <v>24700000</v>
      </c>
      <c r="F231" t="inlineStr">
        <is>
          <t>Barang baru dari BMD 2026 yang belum ada di KIR</t>
        </is>
      </c>
    </row>
    <row r="232">
      <c r="A232" t="n">
        <v>231</v>
      </c>
      <c r="B232" t="inlineStr">
        <is>
          <t>P.C Unit</t>
        </is>
      </c>
      <c r="C232" t="inlineStr">
        <is>
          <t> </t>
        </is>
      </c>
      <c r="D232" t="inlineStr">
        <is>
          <t>2025</t>
        </is>
      </c>
      <c r="E232" t="n">
        <v>22550000</v>
      </c>
      <c r="F232" t="inlineStr">
        <is>
          <t>Barang baru dari BMD 2026 yang belum ada di KIR</t>
        </is>
      </c>
    </row>
    <row r="233">
      <c r="A233" t="n">
        <v>232</v>
      </c>
      <c r="B233" t="inlineStr">
        <is>
          <t>Lap Top</t>
        </is>
      </c>
      <c r="C233" t="inlineStr">
        <is>
          <t>Merk: Thosiba Tipe: 48694</t>
        </is>
      </c>
      <c r="D233" t="inlineStr">
        <is>
          <t>2009</t>
        </is>
      </c>
      <c r="E233" t="n">
        <v>13000000</v>
      </c>
      <c r="F233" t="inlineStr">
        <is>
          <t>Barang baru dari BMD 2026 yang belum ada di KIR</t>
        </is>
      </c>
    </row>
    <row r="234">
      <c r="A234" t="n">
        <v>233</v>
      </c>
      <c r="B234" t="inlineStr">
        <is>
          <t>Lap Top</t>
        </is>
      </c>
      <c r="C234" t="inlineStr">
        <is>
          <t>Merk: Lenovo Tipe: 48695</t>
        </is>
      </c>
      <c r="D234" t="inlineStr">
        <is>
          <t>2014</t>
        </is>
      </c>
      <c r="E234" t="n">
        <v>7809160</v>
      </c>
      <c r="F234" t="inlineStr">
        <is>
          <t>Barang baru dari BMD 2026 yang belum ada di KIR</t>
        </is>
      </c>
    </row>
    <row r="235">
      <c r="A235" t="n">
        <v>234</v>
      </c>
      <c r="B235" t="inlineStr">
        <is>
          <t>Lap Top</t>
        </is>
      </c>
      <c r="C235" t="inlineStr">
        <is>
          <t>Merk: Lenovo Tipe: 48696</t>
        </is>
      </c>
      <c r="D235" t="inlineStr">
        <is>
          <t>2014</t>
        </is>
      </c>
      <c r="E235" t="n">
        <v>7809161</v>
      </c>
      <c r="F235" t="inlineStr">
        <is>
          <t>Barang baru dari BMD 2026 yang belum ada di KIR</t>
        </is>
      </c>
    </row>
    <row r="236">
      <c r="A236" t="n">
        <v>235</v>
      </c>
      <c r="B236" t="inlineStr">
        <is>
          <t>Lap Top</t>
        </is>
      </c>
      <c r="C236" t="inlineStr">
        <is>
          <t>Merk: Asus Tipe: 48697</t>
        </is>
      </c>
      <c r="D236" t="inlineStr">
        <is>
          <t>2015</t>
        </is>
      </c>
      <c r="E236" t="n">
        <v>6930263</v>
      </c>
      <c r="F236" t="inlineStr">
        <is>
          <t>Barang baru dari BMD 2026 yang belum ada di KIR</t>
        </is>
      </c>
    </row>
    <row r="237">
      <c r="A237" t="n">
        <v>236</v>
      </c>
      <c r="B237" t="inlineStr">
        <is>
          <t>Lap Top</t>
        </is>
      </c>
      <c r="C237" t="inlineStr">
        <is>
          <t>Merk: Asus Tipe: 48698</t>
        </is>
      </c>
      <c r="D237" t="inlineStr">
        <is>
          <t>2015</t>
        </is>
      </c>
      <c r="E237" t="n">
        <v>6930263</v>
      </c>
      <c r="F237" t="inlineStr">
        <is>
          <t>Barang baru dari BMD 2026 yang belum ada di KIR</t>
        </is>
      </c>
    </row>
    <row r="238">
      <c r="A238" t="n">
        <v>237</v>
      </c>
      <c r="B238" t="inlineStr">
        <is>
          <t>Lap Top</t>
        </is>
      </c>
      <c r="C238" t="inlineStr">
        <is>
          <t>Merk: Asus Tipe: 48699</t>
        </is>
      </c>
      <c r="D238" t="inlineStr">
        <is>
          <t>2015</t>
        </is>
      </c>
      <c r="E238" t="n">
        <v>6930263</v>
      </c>
      <c r="F238" t="inlineStr">
        <is>
          <t>Barang baru dari BMD 2026 yang belum ada di KIR</t>
        </is>
      </c>
    </row>
    <row r="239">
      <c r="A239" t="n">
        <v>238</v>
      </c>
      <c r="B239" t="inlineStr">
        <is>
          <t>Lap Top</t>
        </is>
      </c>
      <c r="C239" t="inlineStr">
        <is>
          <t>Merk: Asus Tipe: 48700</t>
        </is>
      </c>
      <c r="D239" t="inlineStr">
        <is>
          <t>2015</t>
        </is>
      </c>
      <c r="E239" t="n">
        <v>6930263</v>
      </c>
      <c r="F239" t="inlineStr">
        <is>
          <t>Barang baru dari BMD 2026 yang belum ada di KIR</t>
        </is>
      </c>
    </row>
    <row r="240">
      <c r="A240" t="n">
        <v>239</v>
      </c>
      <c r="B240" t="inlineStr">
        <is>
          <t>Lap Top</t>
        </is>
      </c>
      <c r="C240" t="inlineStr">
        <is>
          <t>Merk: DEL INSPIRON Tipe: 48729</t>
        </is>
      </c>
      <c r="D240" t="inlineStr">
        <is>
          <t>2016</t>
        </is>
      </c>
      <c r="E240" t="n">
        <v>6650000</v>
      </c>
      <c r="F240" t="inlineStr">
        <is>
          <t>Barang baru dari BMD 2026 yang belum ada di KIR</t>
        </is>
      </c>
    </row>
    <row r="241">
      <c r="A241" t="n">
        <v>240</v>
      </c>
      <c r="B241" t="inlineStr">
        <is>
          <t>Lap Top</t>
        </is>
      </c>
      <c r="C241" t="inlineStr">
        <is>
          <t>Merk: ASUS Tipe: 48744</t>
        </is>
      </c>
      <c r="D241" t="inlineStr">
        <is>
          <t>2018</t>
        </is>
      </c>
      <c r="E241" t="n">
        <v>7063443</v>
      </c>
      <c r="F241" t="inlineStr">
        <is>
          <t>Barang baru dari BMD 2026 yang belum ada di KIR</t>
        </is>
      </c>
    </row>
    <row r="242">
      <c r="A242" t="n">
        <v>241</v>
      </c>
      <c r="B242" t="inlineStr">
        <is>
          <t>Lap Top</t>
        </is>
      </c>
      <c r="C242" t="inlineStr">
        <is>
          <t>Merk: ASUS Tipe: 48764</t>
        </is>
      </c>
      <c r="D242" t="inlineStr">
        <is>
          <t>2019</t>
        </is>
      </c>
      <c r="E242" t="n">
        <v>6795775</v>
      </c>
      <c r="F242" t="inlineStr">
        <is>
          <t>Barang baru dari BMD 2026 yang belum ada di KIR</t>
        </is>
      </c>
    </row>
    <row r="243">
      <c r="A243" t="n">
        <v>242</v>
      </c>
      <c r="B243" t="inlineStr">
        <is>
          <t>Lap Top</t>
        </is>
      </c>
      <c r="C243" t="inlineStr">
        <is>
          <t>Merk: Asus Expertboox Tipe: 48780</t>
        </is>
      </c>
      <c r="D243" t="inlineStr">
        <is>
          <t>2020</t>
        </is>
      </c>
      <c r="E243" t="n">
        <v>18029142</v>
      </c>
      <c r="F243" t="inlineStr">
        <is>
          <t>Barang baru dari BMD 2026 yang belum ada di KIR</t>
        </is>
      </c>
    </row>
    <row r="244">
      <c r="A244" t="n">
        <v>243</v>
      </c>
      <c r="B244" t="inlineStr">
        <is>
          <t>Lap Top</t>
        </is>
      </c>
      <c r="C244" t="inlineStr">
        <is>
          <t>Merk: Asus Expertboox Tipe: 48781</t>
        </is>
      </c>
      <c r="D244" t="inlineStr">
        <is>
          <t>2020</t>
        </is>
      </c>
      <c r="E244" t="n">
        <v>18029142</v>
      </c>
      <c r="F244" t="inlineStr">
        <is>
          <t>Barang baru dari BMD 2026 yang belum ada di KIR</t>
        </is>
      </c>
    </row>
    <row r="245">
      <c r="A245" t="n">
        <v>244</v>
      </c>
      <c r="B245" t="inlineStr">
        <is>
          <t>Lap Top</t>
        </is>
      </c>
      <c r="C245" t="inlineStr">
        <is>
          <t>Merk: Asus Expertboox Tipe: 48782</t>
        </is>
      </c>
      <c r="D245" t="inlineStr">
        <is>
          <t>2020</t>
        </is>
      </c>
      <c r="E245" t="n">
        <v>18029142</v>
      </c>
      <c r="F245" t="inlineStr">
        <is>
          <t>Barang baru dari BMD 2026 yang belum ada di KIR</t>
        </is>
      </c>
    </row>
    <row r="246">
      <c r="A246" t="n">
        <v>245</v>
      </c>
      <c r="B246" t="inlineStr">
        <is>
          <t>Lap Top</t>
        </is>
      </c>
      <c r="C246" t="inlineStr">
        <is>
          <t>Merk: Asus X441UB Tipe: 48778</t>
        </is>
      </c>
      <c r="D246" t="inlineStr">
        <is>
          <t>2020</t>
        </is>
      </c>
      <c r="E246" t="n">
        <v>8048148</v>
      </c>
      <c r="F246" t="inlineStr">
        <is>
          <t>Barang baru dari BMD 2026 yang belum ada di KIR</t>
        </is>
      </c>
    </row>
    <row r="247">
      <c r="A247" t="n">
        <v>246</v>
      </c>
      <c r="B247" t="inlineStr">
        <is>
          <t>Lap Top</t>
        </is>
      </c>
      <c r="C247" t="inlineStr">
        <is>
          <t>Merk: ASUS VIVO BOOK 15 Tipe: 48827</t>
        </is>
      </c>
      <c r="D247" t="inlineStr">
        <is>
          <t>2021</t>
        </is>
      </c>
      <c r="E247" t="n">
        <v>16150000</v>
      </c>
      <c r="F247" t="inlineStr">
        <is>
          <t>Barang baru dari BMD 2026 yang belum ada di KIR</t>
        </is>
      </c>
    </row>
    <row r="248">
      <c r="A248" t="n">
        <v>247</v>
      </c>
      <c r="B248" t="inlineStr">
        <is>
          <t>Lap Top</t>
        </is>
      </c>
      <c r="C248" t="inlineStr">
        <is>
          <t>Merk: Acer Tipe: 48819</t>
        </is>
      </c>
      <c r="D248" t="inlineStr">
        <is>
          <t>2021</t>
        </is>
      </c>
      <c r="E248" t="n">
        <v>15400000</v>
      </c>
      <c r="F248" t="inlineStr">
        <is>
          <t>Barang baru dari BMD 2026 yang belum ada di KIR</t>
        </is>
      </c>
    </row>
    <row r="249">
      <c r="A249" t="n">
        <v>248</v>
      </c>
      <c r="B249" t="inlineStr">
        <is>
          <t>Lap Top</t>
        </is>
      </c>
      <c r="C249" t="inlineStr">
        <is>
          <t>Merk: Acer Tipe: 48820</t>
        </is>
      </c>
      <c r="D249" t="inlineStr">
        <is>
          <t>2021</t>
        </is>
      </c>
      <c r="E249" t="n">
        <v>15400000</v>
      </c>
      <c r="F249" t="inlineStr">
        <is>
          <t>Barang baru dari BMD 2026 yang belum ada di KIR</t>
        </is>
      </c>
    </row>
    <row r="250">
      <c r="A250" t="n">
        <v>249</v>
      </c>
      <c r="B250" t="inlineStr">
        <is>
          <t>Lap Top</t>
        </is>
      </c>
      <c r="C250" t="inlineStr">
        <is>
          <t>Merk: ASUS Tipe: 48842</t>
        </is>
      </c>
      <c r="D250" t="inlineStr">
        <is>
          <t>2022</t>
        </is>
      </c>
      <c r="E250" t="n">
        <v>12780000</v>
      </c>
      <c r="F250" t="inlineStr">
        <is>
          <t>Barang baru dari BMD 2026 yang belum ada di KIR</t>
        </is>
      </c>
    </row>
    <row r="251">
      <c r="A251" t="n">
        <v>250</v>
      </c>
      <c r="B251" t="inlineStr">
        <is>
          <t>Lap Top</t>
        </is>
      </c>
      <c r="C251" t="inlineStr">
        <is>
          <t>Merk: ACER Tipe: 48851</t>
        </is>
      </c>
      <c r="D251" t="inlineStr">
        <is>
          <t>2023</t>
        </is>
      </c>
      <c r="E251" t="n">
        <v>14200000</v>
      </c>
      <c r="F251" t="inlineStr">
        <is>
          <t>Barang baru dari BMD 2026 yang belum ada di KIR</t>
        </is>
      </c>
    </row>
    <row r="252">
      <c r="A252" t="n">
        <v>251</v>
      </c>
      <c r="B252" t="inlineStr">
        <is>
          <t>Lap Top</t>
        </is>
      </c>
      <c r="C252" t="inlineStr">
        <is>
          <t>Merk: Acer Tipe: Travelmate P214 Core i5</t>
        </is>
      </c>
      <c r="D252" t="inlineStr">
        <is>
          <t>2024</t>
        </is>
      </c>
      <c r="E252" t="n">
        <v>14200000</v>
      </c>
      <c r="F252" t="inlineStr">
        <is>
          <t>Barang baru dari BMD 2026 yang belum ada di KIR</t>
        </is>
      </c>
    </row>
    <row r="253">
      <c r="A253" t="n">
        <v>252</v>
      </c>
      <c r="B253" t="inlineStr">
        <is>
          <t>Lap Top</t>
        </is>
      </c>
      <c r="C253" t="inlineStr">
        <is>
          <t> </t>
        </is>
      </c>
      <c r="D253" t="inlineStr">
        <is>
          <t>2024</t>
        </is>
      </c>
      <c r="E253" t="n">
        <v>14200000</v>
      </c>
      <c r="F253" t="inlineStr">
        <is>
          <t>Barang baru dari BMD 2026 yang belum ada di KIR</t>
        </is>
      </c>
    </row>
    <row r="254">
      <c r="A254" t="n">
        <v>253</v>
      </c>
      <c r="B254" t="inlineStr">
        <is>
          <t>Lap Top</t>
        </is>
      </c>
      <c r="C254" t="inlineStr">
        <is>
          <t> </t>
        </is>
      </c>
      <c r="D254" t="inlineStr">
        <is>
          <t>2025</t>
        </is>
      </c>
      <c r="E254" t="n">
        <v>19497772</v>
      </c>
      <c r="F254" t="inlineStr">
        <is>
          <t>Barang baru dari BMD 2026 yang belum ada di KIR</t>
        </is>
      </c>
    </row>
    <row r="255">
      <c r="A255" t="n">
        <v>254</v>
      </c>
      <c r="B255" t="inlineStr">
        <is>
          <t>Tablet PC</t>
        </is>
      </c>
      <c r="C255" t="inlineStr">
        <is>
          <t>Merk: Samsung Tipe: Galaxy Tab A9 4/64 GB</t>
        </is>
      </c>
      <c r="D255" t="inlineStr">
        <is>
          <t>2024</t>
        </is>
      </c>
      <c r="E255" t="n">
        <v>2800000</v>
      </c>
      <c r="F255" t="inlineStr">
        <is>
          <t>Barang baru dari BMD 2026 yang belum ada di KIR</t>
        </is>
      </c>
    </row>
    <row r="256">
      <c r="A256" t="n">
        <v>255</v>
      </c>
      <c r="B256" t="inlineStr">
        <is>
          <t>Printer (Peralatan Personal Komputer)</t>
        </is>
      </c>
      <c r="C256" t="inlineStr">
        <is>
          <t>Merk: EPSON Tipe: 48730</t>
        </is>
      </c>
      <c r="D256" t="inlineStr">
        <is>
          <t>2016</t>
        </is>
      </c>
      <c r="E256" t="n">
        <v>2000000</v>
      </c>
      <c r="F256" t="inlineStr">
        <is>
          <t>Barang baru dari BMD 2026 yang belum ada di KIR</t>
        </is>
      </c>
    </row>
    <row r="257">
      <c r="A257" t="n">
        <v>256</v>
      </c>
      <c r="B257" t="inlineStr">
        <is>
          <t>Printer (Peralatan Personal Komputer)</t>
        </is>
      </c>
      <c r="C257" t="inlineStr">
        <is>
          <t>Merk: EPSON Tipe: 48731</t>
        </is>
      </c>
      <c r="D257" t="inlineStr">
        <is>
          <t>2016</t>
        </is>
      </c>
      <c r="E257" t="n">
        <v>2000000</v>
      </c>
      <c r="F257" t="inlineStr">
        <is>
          <t>Barang baru dari BMD 2026 yang belum ada di KIR</t>
        </is>
      </c>
    </row>
    <row r="258">
      <c r="A258" t="n">
        <v>257</v>
      </c>
      <c r="B258" t="inlineStr">
        <is>
          <t>Printer (Peralatan Personal Komputer)</t>
        </is>
      </c>
      <c r="C258" t="inlineStr">
        <is>
          <t>Merk: EPSON Tipe: 48717</t>
        </is>
      </c>
      <c r="D258" t="inlineStr">
        <is>
          <t>2016</t>
        </is>
      </c>
      <c r="E258" t="n">
        <v>3142612</v>
      </c>
      <c r="F258" t="inlineStr">
        <is>
          <t>Barang baru dari BMD 2026 yang belum ada di KIR</t>
        </is>
      </c>
    </row>
    <row r="259">
      <c r="A259" t="n">
        <v>258</v>
      </c>
      <c r="B259" t="inlineStr">
        <is>
          <t>Printer (Peralatan Personal Komputer)</t>
        </is>
      </c>
      <c r="C259" t="inlineStr">
        <is>
          <t>Merk: EPSON Tipe: 48718</t>
        </is>
      </c>
      <c r="D259" t="inlineStr">
        <is>
          <t>2016</t>
        </is>
      </c>
      <c r="E259" t="n">
        <v>3142612</v>
      </c>
      <c r="F259" t="inlineStr">
        <is>
          <t>Barang baru dari BMD 2026 yang belum ada di KIR</t>
        </is>
      </c>
    </row>
    <row r="260">
      <c r="A260" t="n">
        <v>259</v>
      </c>
      <c r="B260" t="inlineStr">
        <is>
          <t>Printer (Peralatan Personal Komputer)</t>
        </is>
      </c>
      <c r="C260" t="inlineStr">
        <is>
          <t>Merk: EPSON Tipe: 48742</t>
        </is>
      </c>
      <c r="D260" t="inlineStr">
        <is>
          <t>2017</t>
        </is>
      </c>
      <c r="E260" t="n">
        <v>2173757</v>
      </c>
      <c r="F260" t="inlineStr">
        <is>
          <t>Barang baru dari BMD 2026 yang belum ada di KIR</t>
        </is>
      </c>
    </row>
    <row r="261">
      <c r="A261" t="n">
        <v>260</v>
      </c>
      <c r="B261" t="inlineStr">
        <is>
          <t>Printer (Peralatan Personal Komputer)</t>
        </is>
      </c>
      <c r="C261" t="inlineStr">
        <is>
          <t>Merk: EPSON Tipe: 48745</t>
        </is>
      </c>
      <c r="D261" t="inlineStr">
        <is>
          <t>2018</t>
        </is>
      </c>
      <c r="E261" t="n">
        <v>2428691</v>
      </c>
      <c r="F261" t="inlineStr">
        <is>
          <t>Barang baru dari BMD 2026 yang belum ada di KIR</t>
        </is>
      </c>
    </row>
    <row r="262">
      <c r="A262" t="n">
        <v>261</v>
      </c>
      <c r="B262" t="inlineStr">
        <is>
          <t>Printer (Peralatan Personal Komputer)</t>
        </is>
      </c>
      <c r="C262" t="inlineStr">
        <is>
          <t>Merk: EPSON Tipe: 48746</t>
        </is>
      </c>
      <c r="D262" t="inlineStr">
        <is>
          <t>2018</t>
        </is>
      </c>
      <c r="E262" t="n">
        <v>2428691</v>
      </c>
      <c r="F262" t="inlineStr">
        <is>
          <t>Barang baru dari BMD 2026 yang belum ada di KIR</t>
        </is>
      </c>
    </row>
    <row r="263">
      <c r="A263" t="n">
        <v>262</v>
      </c>
      <c r="B263" t="inlineStr">
        <is>
          <t>Printer (Peralatan Personal Komputer)</t>
        </is>
      </c>
      <c r="C263" t="inlineStr">
        <is>
          <t>Merk: BROTHER Tipe: 48768</t>
        </is>
      </c>
      <c r="D263" t="inlineStr">
        <is>
          <t>2019</t>
        </is>
      </c>
      <c r="E263" t="n">
        <v>11056905</v>
      </c>
      <c r="F263" t="inlineStr">
        <is>
          <t>Barang baru dari BMD 2026 yang belum ada di KIR</t>
        </is>
      </c>
    </row>
    <row r="264">
      <c r="A264" t="n">
        <v>263</v>
      </c>
      <c r="B264" t="inlineStr">
        <is>
          <t>Printer (Peralatan Personal Komputer)</t>
        </is>
      </c>
      <c r="C264" t="inlineStr">
        <is>
          <t>Merk: EPSON Tipe: 48769</t>
        </is>
      </c>
      <c r="D264" t="inlineStr">
        <is>
          <t>2019</t>
        </is>
      </c>
      <c r="E264" t="n">
        <v>2512933</v>
      </c>
      <c r="F264" t="inlineStr">
        <is>
          <t>Barang baru dari BMD 2026 yang belum ada di KIR</t>
        </is>
      </c>
    </row>
    <row r="265">
      <c r="A265" t="n">
        <v>264</v>
      </c>
      <c r="B265" t="inlineStr">
        <is>
          <t>Printer (Peralatan Personal Komputer)</t>
        </is>
      </c>
      <c r="C265" t="inlineStr">
        <is>
          <t>Merk: EPSON Tipe: 48770</t>
        </is>
      </c>
      <c r="D265" t="inlineStr">
        <is>
          <t>2019</t>
        </is>
      </c>
      <c r="E265" t="n">
        <v>2512933</v>
      </c>
      <c r="F265" t="inlineStr">
        <is>
          <t>Barang baru dari BMD 2026 yang belum ada di KIR</t>
        </is>
      </c>
    </row>
    <row r="266">
      <c r="A266" t="n">
        <v>265</v>
      </c>
      <c r="B266" t="inlineStr">
        <is>
          <t>Printer (Peralatan Personal Komputer)</t>
        </is>
      </c>
      <c r="C266" t="inlineStr">
        <is>
          <t>Merk: Epson ECO Tank L3110N Tipe: 48779</t>
        </is>
      </c>
      <c r="D266" t="inlineStr">
        <is>
          <t>2020</t>
        </is>
      </c>
      <c r="E266" t="n">
        <v>2783951</v>
      </c>
      <c r="F266" t="inlineStr">
        <is>
          <t>Barang baru dari BMD 2026 yang belum ada di KIR</t>
        </is>
      </c>
    </row>
    <row r="267">
      <c r="A267" t="n">
        <v>266</v>
      </c>
      <c r="B267" t="inlineStr">
        <is>
          <t>Printer (Peralatan Personal Komputer)</t>
        </is>
      </c>
      <c r="C267" t="inlineStr">
        <is>
          <t>Merk: Epson Tipe: 48785</t>
        </is>
      </c>
      <c r="D267" t="inlineStr">
        <is>
          <t>2020</t>
        </is>
      </c>
      <c r="E267" t="n">
        <v>2758283</v>
      </c>
      <c r="F267" t="inlineStr">
        <is>
          <t>Barang baru dari BMD 2026 yang belum ada di KIR</t>
        </is>
      </c>
    </row>
    <row r="268">
      <c r="A268" t="n">
        <v>267</v>
      </c>
      <c r="B268" t="inlineStr">
        <is>
          <t>Printer (Peralatan Personal Komputer)</t>
        </is>
      </c>
      <c r="C268" t="inlineStr">
        <is>
          <t>Merk: Canon Tipe: 48814</t>
        </is>
      </c>
      <c r="D268" t="inlineStr">
        <is>
          <t>2021</t>
        </is>
      </c>
      <c r="E268" t="n">
        <v>3025000</v>
      </c>
      <c r="F268" t="inlineStr">
        <is>
          <t>Barang baru dari BMD 2026 yang belum ada di KIR</t>
        </is>
      </c>
    </row>
    <row r="269">
      <c r="A269" t="n">
        <v>268</v>
      </c>
      <c r="B269" t="inlineStr">
        <is>
          <t>Printer (Peralatan Personal Komputer)</t>
        </is>
      </c>
      <c r="C269" t="inlineStr">
        <is>
          <t>Merk: Canon Tipe: 48815</t>
        </is>
      </c>
      <c r="D269" t="inlineStr">
        <is>
          <t>2021</t>
        </is>
      </c>
      <c r="E269" t="n">
        <v>3025000</v>
      </c>
      <c r="F269" t="inlineStr">
        <is>
          <t>Barang baru dari BMD 2026 yang belum ada di KIR</t>
        </is>
      </c>
    </row>
    <row r="270">
      <c r="A270" t="n">
        <v>269</v>
      </c>
      <c r="B270" t="inlineStr">
        <is>
          <t>Printer (Peralatan Personal Komputer)</t>
        </is>
      </c>
      <c r="C270" t="inlineStr">
        <is>
          <t>Merk: Canon Tipe: 48816</t>
        </is>
      </c>
      <c r="D270" t="inlineStr">
        <is>
          <t>2021</t>
        </is>
      </c>
      <c r="E270" t="n">
        <v>3025000</v>
      </c>
      <c r="F270" t="inlineStr">
        <is>
          <t>Barang baru dari BMD 2026 yang belum ada di KIR</t>
        </is>
      </c>
    </row>
    <row r="271">
      <c r="A271" t="n">
        <v>270</v>
      </c>
      <c r="B271" t="inlineStr">
        <is>
          <t>Printer (Peralatan Personal Komputer)</t>
        </is>
      </c>
      <c r="C271" t="inlineStr">
        <is>
          <t>Merk: Canon Tipe: 48817</t>
        </is>
      </c>
      <c r="D271" t="inlineStr">
        <is>
          <t>2021</t>
        </is>
      </c>
      <c r="E271" t="n">
        <v>3025000</v>
      </c>
      <c r="F271" t="inlineStr">
        <is>
          <t>Barang baru dari BMD 2026 yang belum ada di KIR</t>
        </is>
      </c>
    </row>
    <row r="272">
      <c r="A272" t="n">
        <v>271</v>
      </c>
      <c r="B272" t="inlineStr">
        <is>
          <t>Printer (Peralatan Personal Komputer)</t>
        </is>
      </c>
      <c r="C272" t="inlineStr">
        <is>
          <t>Merk: Canon Tipe: 48818</t>
        </is>
      </c>
      <c r="D272" t="inlineStr">
        <is>
          <t>2021</t>
        </is>
      </c>
      <c r="E272" t="n">
        <v>3025000</v>
      </c>
      <c r="F272" t="inlineStr">
        <is>
          <t>Barang baru dari BMD 2026 yang belum ada di KIR</t>
        </is>
      </c>
    </row>
    <row r="273">
      <c r="A273" t="n">
        <v>272</v>
      </c>
      <c r="B273" t="inlineStr">
        <is>
          <t>Printer (Peralatan Personal Komputer)</t>
        </is>
      </c>
      <c r="C273" t="inlineStr">
        <is>
          <t>Merk: Canon Pixma G4010 Tipe: 48832</t>
        </is>
      </c>
      <c r="D273" t="inlineStr">
        <is>
          <t>2022</t>
        </is>
      </c>
      <c r="E273" t="n">
        <v>4906200</v>
      </c>
      <c r="F273" t="inlineStr">
        <is>
          <t>Barang baru dari BMD 2026 yang belum ada di KIR</t>
        </is>
      </c>
    </row>
    <row r="274">
      <c r="A274" t="n">
        <v>273</v>
      </c>
      <c r="B274" t="inlineStr">
        <is>
          <t>Printer (Peralatan Personal Komputer)</t>
        </is>
      </c>
      <c r="C274" t="inlineStr">
        <is>
          <t>Merk: Canon Pixma G4010 Tipe: 48833</t>
        </is>
      </c>
      <c r="D274" t="inlineStr">
        <is>
          <t>2022</t>
        </is>
      </c>
      <c r="E274" t="n">
        <v>4906200</v>
      </c>
      <c r="F274" t="inlineStr">
        <is>
          <t>Barang baru dari BMD 2026 yang belum ada di KIR</t>
        </is>
      </c>
    </row>
    <row r="275">
      <c r="A275" t="n">
        <v>274</v>
      </c>
      <c r="B275" t="inlineStr">
        <is>
          <t>Printer (Peralatan Personal Komputer)</t>
        </is>
      </c>
      <c r="C275" t="inlineStr">
        <is>
          <t>Merk: Canon Pixma G4010 Tipe: 48834</t>
        </is>
      </c>
      <c r="D275" t="inlineStr">
        <is>
          <t>2022</t>
        </is>
      </c>
      <c r="E275" t="n">
        <v>4906200</v>
      </c>
      <c r="F275" t="inlineStr">
        <is>
          <t>Barang baru dari BMD 2026 yang belum ada di KIR</t>
        </is>
      </c>
    </row>
    <row r="276">
      <c r="A276" t="n">
        <v>275</v>
      </c>
      <c r="B276" t="inlineStr">
        <is>
          <t>Printer (Peralatan Personal Komputer)</t>
        </is>
      </c>
      <c r="C276" t="inlineStr">
        <is>
          <t>Merk: Epson Tipe: L15150 A3</t>
        </is>
      </c>
      <c r="D276" t="inlineStr">
        <is>
          <t>2024</t>
        </is>
      </c>
      <c r="E276" t="n">
        <v>21500000</v>
      </c>
      <c r="F276" t="inlineStr">
        <is>
          <t>Barang baru dari BMD 2026 yang belum ada di KIR</t>
        </is>
      </c>
    </row>
    <row r="277">
      <c r="A277" t="n">
        <v>276</v>
      </c>
      <c r="B277" t="inlineStr">
        <is>
          <t>Printer (Peralatan Personal Komputer)</t>
        </is>
      </c>
      <c r="C277" t="inlineStr">
        <is>
          <t> </t>
        </is>
      </c>
      <c r="D277" t="inlineStr">
        <is>
          <t>2025</t>
        </is>
      </c>
      <c r="E277" t="n">
        <v>4250000</v>
      </c>
      <c r="F277" t="inlineStr">
        <is>
          <t>Barang baru dari BMD 2026 yang belum ada di KIR</t>
        </is>
      </c>
    </row>
    <row r="278">
      <c r="A278" t="n">
        <v>277</v>
      </c>
      <c r="B278" t="inlineStr">
        <is>
          <t>Printer (Peralatan Personal Komputer)</t>
        </is>
      </c>
      <c r="C278" t="inlineStr">
        <is>
          <t> </t>
        </is>
      </c>
      <c r="D278" t="inlineStr">
        <is>
          <t>2025</t>
        </is>
      </c>
      <c r="E278" t="n">
        <v>4234650</v>
      </c>
      <c r="F278" t="inlineStr">
        <is>
          <t>Barang baru dari BMD 2026 yang belum ada di KIR</t>
        </is>
      </c>
    </row>
    <row r="279">
      <c r="A279" t="n">
        <v>278</v>
      </c>
      <c r="B279" t="inlineStr">
        <is>
          <t>External/ Portable Hardisk</t>
        </is>
      </c>
      <c r="C279" t="inlineStr">
        <is>
          <t>Merk: Exspansion Tipe: 48835</t>
        </is>
      </c>
      <c r="D279" t="inlineStr">
        <is>
          <t>2022</t>
        </is>
      </c>
      <c r="E279" t="n">
        <v>1750000</v>
      </c>
      <c r="F279" t="inlineStr">
        <is>
          <t>Barang baru dari BMD 2026 yang belum ada di KIR</t>
        </is>
      </c>
    </row>
    <row r="280">
      <c r="A280" t="n">
        <v>279</v>
      </c>
      <c r="B280" t="inlineStr">
        <is>
          <t>External/ Portable Hardisk</t>
        </is>
      </c>
      <c r="C280" t="inlineStr">
        <is>
          <t>Merk: Exspansion Tipe: 48836</t>
        </is>
      </c>
      <c r="D280" t="inlineStr">
        <is>
          <t>2022</t>
        </is>
      </c>
      <c r="E280" t="n">
        <v>1750000</v>
      </c>
      <c r="F280" t="inlineStr">
        <is>
          <t>Barang baru dari BMD 2026 yang belum ada di KIR</t>
        </is>
      </c>
    </row>
    <row r="281">
      <c r="A281" t="n">
        <v>280</v>
      </c>
      <c r="B281" t="inlineStr">
        <is>
          <t>External/ Portable Hardisk</t>
        </is>
      </c>
      <c r="C281" t="inlineStr">
        <is>
          <t>Merk: Exspansion Tipe: 48837</t>
        </is>
      </c>
      <c r="D281" t="inlineStr">
        <is>
          <t>2022</t>
        </is>
      </c>
      <c r="E281" t="n">
        <v>1750000</v>
      </c>
      <c r="F281" t="inlineStr">
        <is>
          <t>Barang baru dari BMD 2026 yang belum ada di KIR</t>
        </is>
      </c>
    </row>
    <row r="282">
      <c r="A282" t="n">
        <v>281</v>
      </c>
      <c r="B282" t="inlineStr">
        <is>
          <t>External/ Portable Hardisk</t>
        </is>
      </c>
      <c r="C282" t="inlineStr">
        <is>
          <t>Merk: Exspansion Tipe: 48838</t>
        </is>
      </c>
      <c r="D282" t="inlineStr">
        <is>
          <t>2022</t>
        </is>
      </c>
      <c r="E282" t="n">
        <v>1750000</v>
      </c>
      <c r="F282" t="inlineStr">
        <is>
          <t>Barang baru dari BMD 2026 yang belum ada di KIR</t>
        </is>
      </c>
    </row>
    <row r="283">
      <c r="A283" t="n">
        <v>282</v>
      </c>
      <c r="B283" t="inlineStr">
        <is>
          <t>External/ Portable Hardisk</t>
        </is>
      </c>
      <c r="C283" t="inlineStr">
        <is>
          <t>Merk: Exspansion Tipe: 48839</t>
        </is>
      </c>
      <c r="D283" t="inlineStr">
        <is>
          <t>2022</t>
        </is>
      </c>
      <c r="E283" t="n">
        <v>1750000</v>
      </c>
      <c r="F283" t="inlineStr">
        <is>
          <t>Barang baru dari BMD 2026 yang belum ada di KIR</t>
        </is>
      </c>
    </row>
    <row r="284">
      <c r="A284" t="n">
        <v>283</v>
      </c>
      <c r="B284" t="inlineStr">
        <is>
          <t>External/ Portable Hardisk</t>
        </is>
      </c>
      <c r="C284" t="inlineStr">
        <is>
          <t>Merk: Exspansion Tipe: 48840</t>
        </is>
      </c>
      <c r="D284" t="inlineStr">
        <is>
          <t>2022</t>
        </is>
      </c>
      <c r="E284" t="n">
        <v>1750000</v>
      </c>
      <c r="F284" t="inlineStr">
        <is>
          <t>Barang baru dari BMD 2026 yang belum ada di KIR</t>
        </is>
      </c>
    </row>
    <row r="285">
      <c r="A285" t="n">
        <v>284</v>
      </c>
      <c r="B285" t="inlineStr">
        <is>
          <t>External/ Portable Hardisk</t>
        </is>
      </c>
      <c r="C285" t="inlineStr">
        <is>
          <t>Merk: Exspansion Tipe: 48841</t>
        </is>
      </c>
      <c r="D285" t="inlineStr">
        <is>
          <t>2022</t>
        </is>
      </c>
      <c r="E285" t="n">
        <v>1750000</v>
      </c>
      <c r="F285" t="inlineStr">
        <is>
          <t>Barang baru dari BMD 2026 yang belum ada di KIR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2021-07-08T06:46:09Z</dcterms:created>
  <dcterms:modified xsi:type="dcterms:W3CDTF">2026-06-28T08:46:12Z</dcterms:modified>
  <cp:lastModifiedBy>bakesbangpolbanjarmasin@outlook.com</cp:lastModifiedBy>
  <cp:lastPrinted>2026-01-22T06:53:31Z</cp:lastPrinted>
</cp:coreProperties>
</file>