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rang 2026\"/>
    </mc:Choice>
  </mc:AlternateContent>
  <xr:revisionPtr revIDLastSave="0" documentId="13_ncr:1_{503DFE0F-83EF-4810-9868-EDD803606591}" xr6:coauthVersionLast="47" xr6:coauthVersionMax="47" xr10:uidLastSave="{00000000-0000-0000-0000-000000000000}"/>
  <bookViews>
    <workbookView xWindow="-120" yWindow="-120" windowWidth="29040" windowHeight="15720" tabRatio="594" firstSheet="6" activeTab="12" xr2:uid="{00000000-000D-0000-FFFF-FFFF00000000}"/>
  </bookViews>
  <sheets>
    <sheet name="REKAP" sheetId="15" r:id="rId1"/>
    <sheet name="RUANG KABAN" sheetId="1" r:id="rId2"/>
    <sheet name="RUANG SEKRETARIS" sheetId="2" r:id="rId3"/>
    <sheet name="RUANG SEKRETARIAT" sheetId="3" r:id="rId4"/>
    <sheet name="RUANG KASUBBAG KEUANGAN" sheetId="4" r:id="rId5"/>
    <sheet name="RUANG KASUBBAG UMPEG" sheetId="5" r:id="rId6"/>
    <sheet name="RUANG KASUBBAG SUNRAM" sheetId="6" r:id="rId7"/>
    <sheet name="RUANG SELASAR" sheetId="13" r:id="rId8"/>
    <sheet name="RUANG RAPAT" sheetId="7" r:id="rId9"/>
    <sheet name="RUANG PELAYANAN" sheetId="8" r:id="rId10"/>
    <sheet name="RUANG DAPUR" sheetId="17" r:id="rId11"/>
    <sheet name="RUANG KABID IDEOLOGI" sheetId="9" r:id="rId12"/>
    <sheet name="Sheet1" sheetId="26" r:id="rId13"/>
    <sheet name="RUANG KABID HANSENIBUD" sheetId="10" r:id="rId14"/>
    <sheet name="RUANG KABID POLITIK" sheetId="11" r:id="rId15"/>
    <sheet name="RUANG KABID WASNAS" sheetId="12" r:id="rId16"/>
    <sheet name="RUANG DEPAN BIDANG KET" sheetId="24" r:id="rId17"/>
    <sheet name="RUANG DEPAN BIDANG" sheetId="14" r:id="rId18"/>
    <sheet name="RUANG DEPAN BIDANG (2)" sheetId="23" r:id="rId19"/>
    <sheet name="REKAP BARANG ALL RUANGAN" sheetId="25" r:id="rId20"/>
    <sheet name="BARANG INVENTARIS KANTOR" sheetId="16" r:id="rId21"/>
    <sheet name="KENDARAAN" sheetId="18" r:id="rId22"/>
    <sheet name="KENDARAAN BERDASARKAN KIB" sheetId="20" r:id="rId23"/>
    <sheet name="BARANG YANG MASIH HARUS DICARI" sheetId="19" r:id="rId24"/>
    <sheet name="BARANG YG DIHIBAHKAN" sheetId="21" r:id="rId25"/>
  </sheets>
  <definedNames>
    <definedName name="_xlnm.Print_Area" localSheetId="20">'BARANG INVENTARIS KANTOR'!$A$1:$O$55</definedName>
    <definedName name="_xlnm.Print_Area" localSheetId="23">'BARANG YANG MASIH HARUS DICARI'!$A$1:$O$30</definedName>
    <definedName name="_xlnm.Print_Area" localSheetId="24">'BARANG YG DIHIBAHKAN'!$A$1:$O$24</definedName>
    <definedName name="_xlnm.Print_Area" localSheetId="21">KENDARAAN!$A$1:$Q$54</definedName>
    <definedName name="_xlnm.Print_Area" localSheetId="22">'KENDARAAN BERDASARKAN KIB'!$A$1:$Q$54</definedName>
    <definedName name="_xlnm.Print_Area" localSheetId="0">REKAP!$A$1:$O$187</definedName>
    <definedName name="_xlnm.Print_Area" localSheetId="19">'REKAP BARANG ALL RUANGAN'!$A$1:$O$346</definedName>
    <definedName name="_xlnm.Print_Area" localSheetId="10">'RUANG DAPUR'!$A$1:$O$24</definedName>
    <definedName name="_xlnm.Print_Area" localSheetId="17">'RUANG DEPAN BIDANG'!$A$1:$P$82</definedName>
    <definedName name="_xlnm.Print_Area" localSheetId="18">'RUANG DEPAN BIDANG (2)'!$A$1:$O$82</definedName>
    <definedName name="_xlnm.Print_Area" localSheetId="16">'RUANG DEPAN BIDANG KET'!$A$1:$Q$81</definedName>
    <definedName name="_xlnm.Print_Area" localSheetId="1">'RUANG KABAN'!$A$1:$P$22</definedName>
    <definedName name="_xlnm.Print_Area" localSheetId="13">'RUANG KABID HANSENIBUD'!$A$1:$O$25</definedName>
    <definedName name="_xlnm.Print_Area" localSheetId="11">'RUANG KABID IDEOLOGI'!$A$1:$O$22</definedName>
    <definedName name="_xlnm.Print_Area" localSheetId="14">'RUANG KABID POLITIK'!$A$1:$O$20</definedName>
    <definedName name="_xlnm.Print_Area" localSheetId="15">'RUANG KABID WASNAS'!$A$1:$O$20</definedName>
    <definedName name="_xlnm.Print_Area" localSheetId="4">'RUANG KASUBBAG KEUANGAN'!$A$1:$O$21</definedName>
    <definedName name="_xlnm.Print_Area" localSheetId="6">'RUANG KASUBBAG SUNRAM'!$A$1:$O$19</definedName>
    <definedName name="_xlnm.Print_Area" localSheetId="5">'RUANG KASUBBAG UMPEG'!$A$1:$O$22</definedName>
    <definedName name="_xlnm.Print_Area" localSheetId="9">'RUANG PELAYANAN'!$A$1:$O$23</definedName>
    <definedName name="_xlnm.Print_Area" localSheetId="8">'RUANG RAPAT'!$A$1:$O$32</definedName>
    <definedName name="_xlnm.Print_Area" localSheetId="3">'RUANG SEKRETARIAT'!$A$1:$O$71</definedName>
    <definedName name="_xlnm.Print_Area" localSheetId="2">'RUANG SEKRETARIS'!$A$1:$O$21</definedName>
    <definedName name="_xlnm.Print_Area" localSheetId="7">'RUANG SELASAR'!$A$1:$O$33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0" i="5" l="1"/>
  <c r="L30" i="4"/>
  <c r="L40" i="7" s="1"/>
  <c r="L70" i="3"/>
  <c r="L29" i="2"/>
  <c r="L28" i="6" s="1"/>
  <c r="L33" i="8" s="1"/>
  <c r="L32" i="17" s="1"/>
  <c r="L30" i="9" s="1"/>
  <c r="L32" i="10" s="1"/>
  <c r="L28" i="11" s="1"/>
  <c r="L28" i="12" s="1"/>
  <c r="M80" i="24" s="1"/>
  <c r="L81" i="14" s="1"/>
  <c r="L81" i="23" s="1"/>
  <c r="L345" i="25" s="1"/>
  <c r="L54" i="16" s="1"/>
  <c r="M53" i="18" s="1"/>
  <c r="M53" i="20" s="1"/>
  <c r="L29" i="19" s="1"/>
  <c r="L23" i="21" s="1"/>
  <c r="A17" i="8" l="1"/>
  <c r="A18" i="8" s="1"/>
  <c r="A19" i="8" s="1"/>
  <c r="A14" i="8"/>
  <c r="A15" i="8" s="1"/>
  <c r="A16" i="8" s="1"/>
  <c r="J337" i="25"/>
  <c r="K318" i="25"/>
  <c r="K288" i="25"/>
  <c r="K237" i="25"/>
  <c r="K157" i="25"/>
  <c r="K124" i="25"/>
  <c r="K94" i="25"/>
  <c r="K62" i="25"/>
  <c r="K31" i="25"/>
  <c r="T55" i="25"/>
  <c r="S55" i="25"/>
  <c r="Q55" i="25"/>
  <c r="T29" i="25"/>
  <c r="S29" i="25"/>
  <c r="Q29" i="25"/>
  <c r="T14" i="25"/>
  <c r="T15" i="25"/>
  <c r="T16" i="25"/>
  <c r="T17" i="25"/>
  <c r="T18" i="25"/>
  <c r="T19" i="25"/>
  <c r="T20" i="25"/>
  <c r="T21" i="25"/>
  <c r="T22" i="25"/>
  <c r="T23" i="25"/>
  <c r="T24" i="25"/>
  <c r="T25" i="25"/>
  <c r="T26" i="25"/>
  <c r="T27" i="25"/>
  <c r="T28" i="25"/>
  <c r="T30" i="25"/>
  <c r="T31" i="25"/>
  <c r="T39" i="25"/>
  <c r="T40" i="25"/>
  <c r="T41" i="25"/>
  <c r="T44" i="25"/>
  <c r="T45" i="25"/>
  <c r="T46" i="25"/>
  <c r="T47" i="25"/>
  <c r="T48" i="25"/>
  <c r="T49" i="25"/>
  <c r="T50" i="25"/>
  <c r="T51" i="25"/>
  <c r="T52" i="25"/>
  <c r="T53" i="25"/>
  <c r="T54" i="25"/>
  <c r="T56" i="25"/>
  <c r="T57" i="25"/>
  <c r="T58" i="25"/>
  <c r="T59" i="25"/>
  <c r="T60" i="25"/>
  <c r="T61" i="25"/>
  <c r="T62" i="25"/>
  <c r="T63" i="25"/>
  <c r="T69" i="25"/>
  <c r="T70" i="25"/>
  <c r="T71" i="25"/>
  <c r="T75" i="25"/>
  <c r="T76" i="25"/>
  <c r="T77" i="25"/>
  <c r="T78" i="25"/>
  <c r="T79" i="25"/>
  <c r="T80" i="25"/>
  <c r="T81" i="25"/>
  <c r="T82" i="25"/>
  <c r="T83" i="25"/>
  <c r="T84" i="25"/>
  <c r="T85" i="25"/>
  <c r="T86" i="25"/>
  <c r="T87" i="25"/>
  <c r="T88" i="25"/>
  <c r="T89" i="25"/>
  <c r="T90" i="25"/>
  <c r="T91" i="25"/>
  <c r="T92" i="25"/>
  <c r="T93" i="25"/>
  <c r="T94" i="25"/>
  <c r="T95" i="25"/>
  <c r="T96" i="25"/>
  <c r="T97" i="25"/>
  <c r="T98" i="25"/>
  <c r="T99" i="25"/>
  <c r="T100" i="25"/>
  <c r="T101" i="25"/>
  <c r="T102" i="25"/>
  <c r="T103" i="25"/>
  <c r="T104" i="25"/>
  <c r="T108" i="25"/>
  <c r="T109" i="25"/>
  <c r="T110" i="25"/>
  <c r="T111" i="25"/>
  <c r="T112" i="25"/>
  <c r="T113" i="25"/>
  <c r="T114" i="25"/>
  <c r="T115" i="25"/>
  <c r="T116" i="25"/>
  <c r="T117" i="25"/>
  <c r="T118" i="25"/>
  <c r="T119" i="25"/>
  <c r="T120" i="25"/>
  <c r="T121" i="25"/>
  <c r="T122" i="25"/>
  <c r="T123" i="25"/>
  <c r="T124" i="25"/>
  <c r="T125" i="25"/>
  <c r="T126" i="25"/>
  <c r="T127" i="25"/>
  <c r="T128" i="25"/>
  <c r="T129" i="25"/>
  <c r="T130" i="25"/>
  <c r="T131" i="25"/>
  <c r="T132" i="25"/>
  <c r="T133" i="25"/>
  <c r="T134" i="25"/>
  <c r="T139" i="25"/>
  <c r="T140" i="25"/>
  <c r="T141" i="25"/>
  <c r="T142" i="25"/>
  <c r="T143" i="25"/>
  <c r="T144" i="25"/>
  <c r="T145" i="25"/>
  <c r="T146" i="25"/>
  <c r="T147" i="25"/>
  <c r="T148" i="25"/>
  <c r="T149" i="25"/>
  <c r="T150" i="25"/>
  <c r="T151" i="25"/>
  <c r="T152" i="25"/>
  <c r="T153" i="25"/>
  <c r="T154" i="25"/>
  <c r="T155" i="25"/>
  <c r="T156" i="25"/>
  <c r="T157" i="25"/>
  <c r="T158" i="25"/>
  <c r="T159" i="25"/>
  <c r="T160" i="25"/>
  <c r="T161" i="25"/>
  <c r="T162" i="25"/>
  <c r="T163" i="25"/>
  <c r="T164" i="25"/>
  <c r="T165" i="25"/>
  <c r="T166" i="25"/>
  <c r="T167" i="25"/>
  <c r="T168" i="25"/>
  <c r="T172" i="25"/>
  <c r="T173" i="25"/>
  <c r="T174" i="25"/>
  <c r="T175" i="25"/>
  <c r="T176" i="25"/>
  <c r="T177" i="25"/>
  <c r="T178" i="25"/>
  <c r="T179" i="25"/>
  <c r="T180" i="25"/>
  <c r="T181" i="25"/>
  <c r="T182" i="25"/>
  <c r="T183" i="25"/>
  <c r="T184" i="25"/>
  <c r="T185" i="25"/>
  <c r="T186" i="25"/>
  <c r="T187" i="25"/>
  <c r="T188" i="25"/>
  <c r="T189" i="25"/>
  <c r="T190" i="25"/>
  <c r="T191" i="25"/>
  <c r="T192" i="25"/>
  <c r="T193" i="25"/>
  <c r="T194" i="25"/>
  <c r="T195" i="25"/>
  <c r="T196" i="25"/>
  <c r="T197" i="25"/>
  <c r="T201" i="25"/>
  <c r="T202" i="25"/>
  <c r="T203" i="25"/>
  <c r="T204" i="25"/>
  <c r="T205" i="25"/>
  <c r="T206" i="25"/>
  <c r="T207" i="25"/>
  <c r="T208" i="25"/>
  <c r="T209" i="25"/>
  <c r="T210" i="25"/>
  <c r="T211" i="25"/>
  <c r="T212" i="25"/>
  <c r="T213" i="25"/>
  <c r="T214" i="25"/>
  <c r="T215" i="25"/>
  <c r="T216" i="25"/>
  <c r="T217" i="25"/>
  <c r="T218" i="25"/>
  <c r="T219" i="25"/>
  <c r="T224" i="25"/>
  <c r="T225" i="25"/>
  <c r="T226" i="25"/>
  <c r="T227" i="25"/>
  <c r="T228" i="25"/>
  <c r="T229" i="25"/>
  <c r="T230" i="25"/>
  <c r="T231" i="25"/>
  <c r="T232" i="25"/>
  <c r="T233" i="25"/>
  <c r="T234" i="25"/>
  <c r="T235" i="25"/>
  <c r="T236" i="25"/>
  <c r="T237" i="25"/>
  <c r="T238" i="25"/>
  <c r="T239" i="25"/>
  <c r="T240" i="25"/>
  <c r="T241" i="25"/>
  <c r="T242" i="25"/>
  <c r="T243" i="25"/>
  <c r="T244" i="25"/>
  <c r="T245" i="25"/>
  <c r="T250" i="25"/>
  <c r="T251" i="25"/>
  <c r="T252" i="25"/>
  <c r="T253" i="25"/>
  <c r="T254" i="25"/>
  <c r="T255" i="25"/>
  <c r="T256" i="25"/>
  <c r="T257" i="25"/>
  <c r="T258" i="25"/>
  <c r="T259" i="25"/>
  <c r="T260" i="25"/>
  <c r="T261" i="25"/>
  <c r="T262" i="25"/>
  <c r="T263" i="25"/>
  <c r="T264" i="25"/>
  <c r="T265" i="25"/>
  <c r="T267" i="25"/>
  <c r="T268" i="25"/>
  <c r="T269" i="25"/>
  <c r="T270" i="25"/>
  <c r="T271" i="25"/>
  <c r="T272" i="25"/>
  <c r="T278" i="25"/>
  <c r="T279" i="25"/>
  <c r="T280" i="25"/>
  <c r="T281" i="25"/>
  <c r="T282" i="25"/>
  <c r="T283" i="25"/>
  <c r="T284" i="25"/>
  <c r="T285" i="25"/>
  <c r="T286" i="25"/>
  <c r="T287" i="25"/>
  <c r="T288" i="25"/>
  <c r="T289" i="25"/>
  <c r="T290" i="25"/>
  <c r="T291" i="25"/>
  <c r="T292" i="25"/>
  <c r="T293" i="25"/>
  <c r="T294" i="25"/>
  <c r="T295" i="25"/>
  <c r="T296" i="25"/>
  <c r="T297" i="25"/>
  <c r="T298" i="25"/>
  <c r="T299" i="25"/>
  <c r="T300" i="25"/>
  <c r="T308" i="25"/>
  <c r="T309" i="25"/>
  <c r="T310" i="25"/>
  <c r="T311" i="25"/>
  <c r="T312" i="25"/>
  <c r="T313" i="25"/>
  <c r="T314" i="25"/>
  <c r="T315" i="25"/>
  <c r="T316" i="25"/>
  <c r="T329" i="25"/>
  <c r="T330" i="25"/>
  <c r="T331" i="25"/>
  <c r="T332" i="25"/>
  <c r="T333" i="25"/>
  <c r="T334" i="25"/>
  <c r="T335" i="25"/>
  <c r="T13" i="25"/>
  <c r="S14" i="25"/>
  <c r="S15" i="25"/>
  <c r="S16" i="25"/>
  <c r="S17" i="25"/>
  <c r="S18" i="25"/>
  <c r="S19" i="25"/>
  <c r="S20" i="25"/>
  <c r="S21" i="25"/>
  <c r="S22" i="25"/>
  <c r="S23" i="25"/>
  <c r="S24" i="25"/>
  <c r="S25" i="25"/>
  <c r="S26" i="25"/>
  <c r="S27" i="25"/>
  <c r="S28" i="25"/>
  <c r="S30" i="25"/>
  <c r="S31" i="25"/>
  <c r="S39" i="25"/>
  <c r="S40" i="25"/>
  <c r="S41" i="25"/>
  <c r="S44" i="25"/>
  <c r="S45" i="25"/>
  <c r="S46" i="25"/>
  <c r="S47" i="25"/>
  <c r="S48" i="25"/>
  <c r="S49" i="25"/>
  <c r="S50" i="25"/>
  <c r="S51" i="25"/>
  <c r="S52" i="25"/>
  <c r="S53" i="25"/>
  <c r="S54" i="25"/>
  <c r="S56" i="25"/>
  <c r="S57" i="25"/>
  <c r="S58" i="25"/>
  <c r="S59" i="25"/>
  <c r="S60" i="25"/>
  <c r="S61" i="25"/>
  <c r="S62" i="25"/>
  <c r="S63" i="25"/>
  <c r="S69" i="25"/>
  <c r="S70" i="25"/>
  <c r="S71" i="25"/>
  <c r="S75" i="25"/>
  <c r="S76" i="25"/>
  <c r="S77" i="25"/>
  <c r="S78" i="25"/>
  <c r="S79" i="25"/>
  <c r="S80" i="25"/>
  <c r="S81" i="25"/>
  <c r="S82" i="25"/>
  <c r="S83" i="25"/>
  <c r="S84" i="25"/>
  <c r="S85" i="25"/>
  <c r="S86" i="25"/>
  <c r="S87" i="25"/>
  <c r="S88" i="25"/>
  <c r="S89" i="25"/>
  <c r="S90" i="25"/>
  <c r="S91" i="25"/>
  <c r="S92" i="25"/>
  <c r="S93" i="25"/>
  <c r="S94" i="25"/>
  <c r="S95" i="25"/>
  <c r="S96" i="25"/>
  <c r="S97" i="25"/>
  <c r="S98" i="25"/>
  <c r="S99" i="25"/>
  <c r="S100" i="25"/>
  <c r="S101" i="25"/>
  <c r="S102" i="25"/>
  <c r="S103" i="25"/>
  <c r="S104" i="25"/>
  <c r="S108" i="25"/>
  <c r="S109" i="25"/>
  <c r="S110" i="25"/>
  <c r="S111" i="25"/>
  <c r="S112" i="25"/>
  <c r="S113" i="25"/>
  <c r="S114" i="25"/>
  <c r="S115" i="25"/>
  <c r="S116" i="25"/>
  <c r="S117" i="25"/>
  <c r="S118" i="25"/>
  <c r="S119" i="25"/>
  <c r="S120" i="25"/>
  <c r="S121" i="25"/>
  <c r="S122" i="25"/>
  <c r="S123" i="25"/>
  <c r="S124" i="25"/>
  <c r="S125" i="25"/>
  <c r="S126" i="25"/>
  <c r="S127" i="25"/>
  <c r="S128" i="25"/>
  <c r="S129" i="25"/>
  <c r="S130" i="25"/>
  <c r="S131" i="25"/>
  <c r="S132" i="25"/>
  <c r="S133" i="25"/>
  <c r="S134" i="25"/>
  <c r="S139" i="25"/>
  <c r="S140" i="25"/>
  <c r="S141" i="25"/>
  <c r="S142" i="25"/>
  <c r="S143" i="25"/>
  <c r="S144" i="25"/>
  <c r="S145" i="25"/>
  <c r="S146" i="25"/>
  <c r="S147" i="25"/>
  <c r="S148" i="25"/>
  <c r="S149" i="25"/>
  <c r="S150" i="25"/>
  <c r="S151" i="25"/>
  <c r="S152" i="25"/>
  <c r="S153" i="25"/>
  <c r="S154" i="25"/>
  <c r="S155" i="25"/>
  <c r="S156" i="25"/>
  <c r="S157" i="25"/>
  <c r="S158" i="25"/>
  <c r="S159" i="25"/>
  <c r="S160" i="25"/>
  <c r="S161" i="25"/>
  <c r="S162" i="25"/>
  <c r="S163" i="25"/>
  <c r="S164" i="25"/>
  <c r="S165" i="25"/>
  <c r="S166" i="25"/>
  <c r="S167" i="25"/>
  <c r="S168" i="25"/>
  <c r="S172" i="25"/>
  <c r="S173" i="25"/>
  <c r="S174" i="25"/>
  <c r="S175" i="25"/>
  <c r="S176" i="25"/>
  <c r="S177" i="25"/>
  <c r="S178" i="25"/>
  <c r="S179" i="25"/>
  <c r="S180" i="25"/>
  <c r="S181" i="25"/>
  <c r="S182" i="25"/>
  <c r="S183" i="25"/>
  <c r="S184" i="25"/>
  <c r="S185" i="25"/>
  <c r="S186" i="25"/>
  <c r="S187" i="25"/>
  <c r="S188" i="25"/>
  <c r="S189" i="25"/>
  <c r="S190" i="25"/>
  <c r="S191" i="25"/>
  <c r="S192" i="25"/>
  <c r="S193" i="25"/>
  <c r="S194" i="25"/>
  <c r="S195" i="25"/>
  <c r="S196" i="25"/>
  <c r="S197" i="25"/>
  <c r="S201" i="25"/>
  <c r="S202" i="25"/>
  <c r="S203" i="25"/>
  <c r="S204" i="25"/>
  <c r="S205" i="25"/>
  <c r="S206" i="25"/>
  <c r="S207" i="25"/>
  <c r="S208" i="25"/>
  <c r="S209" i="25"/>
  <c r="S210" i="25"/>
  <c r="S211" i="25"/>
  <c r="S212" i="25"/>
  <c r="S213" i="25"/>
  <c r="S214" i="25"/>
  <c r="S215" i="25"/>
  <c r="S216" i="25"/>
  <c r="S217" i="25"/>
  <c r="S218" i="25"/>
  <c r="S219" i="25"/>
  <c r="S224" i="25"/>
  <c r="S225" i="25"/>
  <c r="S226" i="25"/>
  <c r="S227" i="25"/>
  <c r="S228" i="25"/>
  <c r="S229" i="25"/>
  <c r="S230" i="25"/>
  <c r="S231" i="25"/>
  <c r="S232" i="25"/>
  <c r="S233" i="25"/>
  <c r="S234" i="25"/>
  <c r="S235" i="25"/>
  <c r="S236" i="25"/>
  <c r="S237" i="25"/>
  <c r="S238" i="25"/>
  <c r="S239" i="25"/>
  <c r="S240" i="25"/>
  <c r="S241" i="25"/>
  <c r="S242" i="25"/>
  <c r="S243" i="25"/>
  <c r="S244" i="25"/>
  <c r="S245" i="25"/>
  <c r="S250" i="25"/>
  <c r="S251" i="25"/>
  <c r="S252" i="25"/>
  <c r="S253" i="25"/>
  <c r="S254" i="25"/>
  <c r="S255" i="25"/>
  <c r="S256" i="25"/>
  <c r="S257" i="25"/>
  <c r="S258" i="25"/>
  <c r="S259" i="25"/>
  <c r="S260" i="25"/>
  <c r="S261" i="25"/>
  <c r="S262" i="25"/>
  <c r="S263" i="25"/>
  <c r="S264" i="25"/>
  <c r="S265" i="25"/>
  <c r="S267" i="25"/>
  <c r="S268" i="25"/>
  <c r="S269" i="25"/>
  <c r="S270" i="25"/>
  <c r="S271" i="25"/>
  <c r="S272" i="25"/>
  <c r="S278" i="25"/>
  <c r="S279" i="25"/>
  <c r="S280" i="25"/>
  <c r="S281" i="25"/>
  <c r="S282" i="25"/>
  <c r="S283" i="25"/>
  <c r="S284" i="25"/>
  <c r="S285" i="25"/>
  <c r="S286" i="25"/>
  <c r="S287" i="25"/>
  <c r="S288" i="25"/>
  <c r="S289" i="25"/>
  <c r="S290" i="25"/>
  <c r="S291" i="25"/>
  <c r="S292" i="25"/>
  <c r="S293" i="25"/>
  <c r="S294" i="25"/>
  <c r="S295" i="25"/>
  <c r="S296" i="25"/>
  <c r="S297" i="25"/>
  <c r="S298" i="25"/>
  <c r="S299" i="25"/>
  <c r="S300" i="25"/>
  <c r="S308" i="25"/>
  <c r="S309" i="25"/>
  <c r="S310" i="25"/>
  <c r="S311" i="25"/>
  <c r="S312" i="25"/>
  <c r="S313" i="25"/>
  <c r="S314" i="25"/>
  <c r="S315" i="25"/>
  <c r="S316" i="25"/>
  <c r="S329" i="25"/>
  <c r="S330" i="25"/>
  <c r="S331" i="25"/>
  <c r="S332" i="25"/>
  <c r="S333" i="25"/>
  <c r="S334" i="25"/>
  <c r="S335" i="25"/>
  <c r="Q14" i="25"/>
  <c r="Q15" i="25"/>
  <c r="Q16" i="25"/>
  <c r="Q17" i="25"/>
  <c r="Q18" i="25"/>
  <c r="Q19" i="25"/>
  <c r="Q20" i="25"/>
  <c r="Q21" i="25"/>
  <c r="Q22" i="25"/>
  <c r="Q23" i="25"/>
  <c r="Q24" i="25"/>
  <c r="Q25" i="25"/>
  <c r="Q26" i="25"/>
  <c r="Q27" i="25"/>
  <c r="Q28" i="25"/>
  <c r="Q30" i="25"/>
  <c r="Q31" i="25"/>
  <c r="Q39" i="25"/>
  <c r="Q40" i="25"/>
  <c r="Q44" i="25"/>
  <c r="Q45" i="25"/>
  <c r="Q46" i="25"/>
  <c r="Q47" i="25"/>
  <c r="Q48" i="25"/>
  <c r="Q49" i="25"/>
  <c r="Q50" i="25"/>
  <c r="Q51" i="25"/>
  <c r="Q52" i="25"/>
  <c r="Q53" i="25"/>
  <c r="Q54" i="25"/>
  <c r="Q56" i="25"/>
  <c r="Q57" i="25"/>
  <c r="Q58" i="25"/>
  <c r="Q59" i="25"/>
  <c r="Q60" i="25"/>
  <c r="Q61" i="25"/>
  <c r="Q62" i="25"/>
  <c r="Q63" i="25"/>
  <c r="Q69" i="25"/>
  <c r="Q70" i="25"/>
  <c r="Q75" i="25"/>
  <c r="Q76" i="25"/>
  <c r="Q77" i="25"/>
  <c r="Q78" i="25"/>
  <c r="Q79" i="25"/>
  <c r="Q80" i="25"/>
  <c r="Q81" i="25"/>
  <c r="Q82" i="25"/>
  <c r="Q83" i="25"/>
  <c r="Q84" i="25"/>
  <c r="Q85" i="25"/>
  <c r="Q86" i="25"/>
  <c r="Q87" i="25"/>
  <c r="Q88" i="25"/>
  <c r="Q89" i="25"/>
  <c r="Q90" i="25"/>
  <c r="Q91" i="25"/>
  <c r="Q92" i="25"/>
  <c r="Q93" i="25"/>
  <c r="Q94" i="25"/>
  <c r="Q95" i="25"/>
  <c r="Q96" i="25"/>
  <c r="Q97" i="25"/>
  <c r="Q98" i="25"/>
  <c r="Q99" i="25"/>
  <c r="Q100" i="25"/>
  <c r="Q101" i="25"/>
  <c r="Q102" i="25"/>
  <c r="Q103" i="25"/>
  <c r="Q104" i="25"/>
  <c r="Q108" i="25"/>
  <c r="Q109" i="25"/>
  <c r="Q110" i="25"/>
  <c r="Q111" i="25"/>
  <c r="Q112" i="25"/>
  <c r="Q113" i="25"/>
  <c r="Q114" i="25"/>
  <c r="Q115" i="25"/>
  <c r="Q116" i="25"/>
  <c r="Q117" i="25"/>
  <c r="Q118" i="25"/>
  <c r="Q119" i="25"/>
  <c r="Q120" i="25"/>
  <c r="Q121" i="25"/>
  <c r="Q122" i="25"/>
  <c r="Q123" i="25"/>
  <c r="Q124" i="25"/>
  <c r="Q125" i="25"/>
  <c r="Q126" i="25"/>
  <c r="Q127" i="25"/>
  <c r="Q128" i="25"/>
  <c r="Q129" i="25"/>
  <c r="Q130" i="25"/>
  <c r="Q131" i="25"/>
  <c r="Q132" i="25"/>
  <c r="Q133" i="25"/>
  <c r="Q134" i="25"/>
  <c r="Q139" i="25"/>
  <c r="Q140" i="25"/>
  <c r="Q141" i="25"/>
  <c r="Q142" i="25"/>
  <c r="Q143" i="25"/>
  <c r="Q144" i="25"/>
  <c r="Q145" i="25"/>
  <c r="Q146" i="25"/>
  <c r="Q147" i="25"/>
  <c r="Q148" i="25"/>
  <c r="Q149" i="25"/>
  <c r="Q150" i="25"/>
  <c r="Q151" i="25"/>
  <c r="Q152" i="25"/>
  <c r="Q153" i="25"/>
  <c r="Q154" i="25"/>
  <c r="Q155" i="25"/>
  <c r="Q156" i="25"/>
  <c r="Q157" i="25"/>
  <c r="Q158" i="25"/>
  <c r="Q159" i="25"/>
  <c r="Q160" i="25"/>
  <c r="Q161" i="25"/>
  <c r="Q162" i="25"/>
  <c r="Q163" i="25"/>
  <c r="Q164" i="25"/>
  <c r="Q165" i="25"/>
  <c r="Q166" i="25"/>
  <c r="Q167" i="25"/>
  <c r="Q168" i="25"/>
  <c r="Q172" i="25"/>
  <c r="Q173" i="25"/>
  <c r="Q174" i="25"/>
  <c r="Q175" i="25"/>
  <c r="Q176" i="25"/>
  <c r="Q177" i="25"/>
  <c r="Q178" i="25"/>
  <c r="Q179" i="25"/>
  <c r="Q180" i="25"/>
  <c r="Q181" i="25"/>
  <c r="Q182" i="25"/>
  <c r="Q183" i="25"/>
  <c r="Q184" i="25"/>
  <c r="Q185" i="25"/>
  <c r="Q186" i="25"/>
  <c r="Q187" i="25"/>
  <c r="Q188" i="25"/>
  <c r="Q189" i="25"/>
  <c r="Q190" i="25"/>
  <c r="Q191" i="25"/>
  <c r="Q192" i="25"/>
  <c r="Q193" i="25"/>
  <c r="Q194" i="25"/>
  <c r="Q195" i="25"/>
  <c r="Q196" i="25"/>
  <c r="Q197" i="25"/>
  <c r="Q201" i="25"/>
  <c r="Q202" i="25"/>
  <c r="Q203" i="25"/>
  <c r="Q204" i="25"/>
  <c r="Q205" i="25"/>
  <c r="Q206" i="25"/>
  <c r="Q207" i="25"/>
  <c r="Q208" i="25"/>
  <c r="Q209" i="25"/>
  <c r="Q210" i="25"/>
  <c r="Q211" i="25"/>
  <c r="Q212" i="25"/>
  <c r="Q213" i="25"/>
  <c r="Q214" i="25"/>
  <c r="Q215" i="25"/>
  <c r="Q216" i="25"/>
  <c r="Q217" i="25"/>
  <c r="Q218" i="25"/>
  <c r="Q219" i="25"/>
  <c r="Q224" i="25"/>
  <c r="Q225" i="25"/>
  <c r="Q226" i="25"/>
  <c r="Q227" i="25"/>
  <c r="Q228" i="25"/>
  <c r="Q229" i="25"/>
  <c r="Q230" i="25"/>
  <c r="Q231" i="25"/>
  <c r="Q232" i="25"/>
  <c r="Q233" i="25"/>
  <c r="Q234" i="25"/>
  <c r="Q235" i="25"/>
  <c r="Q236" i="25"/>
  <c r="Q237" i="25"/>
  <c r="Q238" i="25"/>
  <c r="Q239" i="25"/>
  <c r="Q240" i="25"/>
  <c r="Q241" i="25"/>
  <c r="Q242" i="25"/>
  <c r="Q243" i="25"/>
  <c r="Q244" i="25"/>
  <c r="Q245" i="25"/>
  <c r="Q250" i="25"/>
  <c r="Q251" i="25"/>
  <c r="Q252" i="25"/>
  <c r="Q253" i="25"/>
  <c r="Q254" i="25"/>
  <c r="Q255" i="25"/>
  <c r="Q256" i="25"/>
  <c r="Q257" i="25"/>
  <c r="Q258" i="25"/>
  <c r="Q259" i="25"/>
  <c r="Q260" i="25"/>
  <c r="Q261" i="25"/>
  <c r="Q262" i="25"/>
  <c r="Q263" i="25"/>
  <c r="Q264" i="25"/>
  <c r="Q265" i="25"/>
  <c r="Q267" i="25"/>
  <c r="Q268" i="25"/>
  <c r="Q269" i="25"/>
  <c r="Q270" i="25"/>
  <c r="Q271" i="25"/>
  <c r="Q272" i="25"/>
  <c r="Q278" i="25"/>
  <c r="Q279" i="25"/>
  <c r="Q280" i="25"/>
  <c r="Q281" i="25"/>
  <c r="Q282" i="25"/>
  <c r="Q283" i="25"/>
  <c r="Q284" i="25"/>
  <c r="Q285" i="25"/>
  <c r="Q286" i="25"/>
  <c r="Q287" i="25"/>
  <c r="Q288" i="25"/>
  <c r="Q289" i="25"/>
  <c r="Q290" i="25"/>
  <c r="Q291" i="25"/>
  <c r="Q292" i="25"/>
  <c r="Q293" i="25"/>
  <c r="Q294" i="25"/>
  <c r="Q295" i="25"/>
  <c r="Q296" i="25"/>
  <c r="Q297" i="25"/>
  <c r="Q298" i="25"/>
  <c r="Q299" i="25"/>
  <c r="Q300" i="25"/>
  <c r="Q308" i="25"/>
  <c r="Q309" i="25"/>
  <c r="Q310" i="25"/>
  <c r="Q311" i="25"/>
  <c r="Q312" i="25"/>
  <c r="Q313" i="25"/>
  <c r="Q314" i="25"/>
  <c r="Q315" i="25"/>
  <c r="Q316" i="25"/>
  <c r="Q329" i="25"/>
  <c r="Q330" i="25"/>
  <c r="Q331" i="25"/>
  <c r="Q332" i="25"/>
  <c r="Q333" i="25"/>
  <c r="Q334" i="25"/>
  <c r="Q335" i="25"/>
  <c r="S13" i="25"/>
  <c r="Q13" i="25"/>
  <c r="A20" i="8" l="1"/>
  <c r="A21" i="8" s="1"/>
  <c r="A22" i="8" s="1"/>
  <c r="A23" i="8" s="1"/>
  <c r="A14" i="25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K184" i="25"/>
  <c r="K249" i="25"/>
  <c r="K199" i="25"/>
  <c r="K186" i="25"/>
  <c r="K180" i="25"/>
  <c r="K176" i="25"/>
  <c r="K181" i="25"/>
  <c r="K185" i="25"/>
  <c r="K200" i="25"/>
  <c r="K248" i="25"/>
  <c r="K261" i="25" s="1"/>
  <c r="K188" i="25" l="1"/>
  <c r="K209" i="25"/>
  <c r="A29" i="25"/>
  <c r="A30" i="25" s="1"/>
  <c r="A43" i="25" s="1"/>
  <c r="A44" i="25" s="1"/>
  <c r="A45" i="25" s="1"/>
  <c r="A46" i="25" s="1"/>
  <c r="A47" i="25" s="1"/>
  <c r="A48" i="25" s="1"/>
  <c r="A49" i="25" s="1"/>
  <c r="A50" i="25" s="1"/>
  <c r="A51" i="25" s="1"/>
  <c r="A52" i="25" s="1"/>
  <c r="A53" i="25" s="1"/>
  <c r="A54" i="25" s="1"/>
  <c r="L44" i="24"/>
  <c r="B14" i="24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B27" i="24" s="1"/>
  <c r="B40" i="24" s="1"/>
  <c r="B41" i="24" s="1"/>
  <c r="B42" i="24" s="1"/>
  <c r="B43" i="24" s="1"/>
  <c r="B44" i="24" s="1"/>
  <c r="B45" i="24" s="1"/>
  <c r="B46" i="24" s="1"/>
  <c r="K46" i="23"/>
  <c r="A14" i="23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42" i="23" s="1"/>
  <c r="A43" i="23" s="1"/>
  <c r="A44" i="23" s="1"/>
  <c r="A45" i="23" s="1"/>
  <c r="A46" i="23" s="1"/>
  <c r="A47" i="23" s="1"/>
  <c r="A48" i="23" s="1"/>
  <c r="K336" i="25" l="1"/>
  <c r="K338" i="25" s="1"/>
  <c r="A55" i="25"/>
  <c r="A56" i="25" s="1"/>
  <c r="A57" i="25" s="1"/>
  <c r="A58" i="25" s="1"/>
  <c r="A59" i="25" s="1"/>
  <c r="A60" i="25" s="1"/>
  <c r="A61" i="25" s="1"/>
  <c r="A73" i="25" s="1"/>
  <c r="A74" i="25" s="1"/>
  <c r="A75" i="25" s="1"/>
  <c r="A76" i="25" s="1"/>
  <c r="A77" i="25" s="1"/>
  <c r="A78" i="25" s="1"/>
  <c r="A79" i="25" s="1"/>
  <c r="A80" i="25" s="1"/>
  <c r="A81" i="25" s="1"/>
  <c r="A82" i="25" s="1"/>
  <c r="A83" i="25" s="1"/>
  <c r="A84" i="25" s="1"/>
  <c r="A85" i="25" s="1"/>
  <c r="A86" i="25" s="1"/>
  <c r="A87" i="25" s="1"/>
  <c r="A88" i="25" s="1"/>
  <c r="A89" i="25" s="1"/>
  <c r="A90" i="25" s="1"/>
  <c r="A91" i="25" s="1"/>
  <c r="A92" i="25" s="1"/>
  <c r="A93" i="25" s="1"/>
  <c r="A105" i="25" s="1"/>
  <c r="A106" i="25" s="1"/>
  <c r="A107" i="25" s="1"/>
  <c r="A108" i="25" s="1"/>
  <c r="A109" i="25" s="1"/>
  <c r="A110" i="25" s="1"/>
  <c r="A111" i="25" s="1"/>
  <c r="A112" i="25" s="1"/>
  <c r="A113" i="25" s="1"/>
  <c r="A114" i="25" s="1"/>
  <c r="A115" i="25" s="1"/>
  <c r="A116" i="25" s="1"/>
  <c r="A117" i="25" s="1"/>
  <c r="A118" i="25" s="1"/>
  <c r="A119" i="25" s="1"/>
  <c r="A120" i="25" s="1"/>
  <c r="A121" i="25" s="1"/>
  <c r="A122" i="25" s="1"/>
  <c r="A123" i="25" s="1"/>
  <c r="A135" i="25" s="1"/>
  <c r="A136" i="25" s="1"/>
  <c r="A137" i="25" s="1"/>
  <c r="A138" i="25" s="1"/>
  <c r="A139" i="25" s="1"/>
  <c r="A140" i="25" s="1"/>
  <c r="A141" i="25" s="1"/>
  <c r="A142" i="25" s="1"/>
  <c r="A143" i="25" s="1"/>
  <c r="A144" i="25" s="1"/>
  <c r="A145" i="25" s="1"/>
  <c r="A146" i="25" s="1"/>
  <c r="A147" i="25" s="1"/>
  <c r="A148" i="25" s="1"/>
  <c r="A149" i="25" s="1"/>
  <c r="A150" i="25" s="1"/>
  <c r="A151" i="25" s="1"/>
  <c r="A152" i="25" s="1"/>
  <c r="A153" i="25" s="1"/>
  <c r="A154" i="25" s="1"/>
  <c r="A155" i="25" s="1"/>
  <c r="A156" i="25" s="1"/>
  <c r="A169" i="25" s="1"/>
  <c r="A170" i="25" s="1"/>
  <c r="A171" i="25" s="1"/>
  <c r="A172" i="25" s="1"/>
  <c r="A173" i="25" s="1"/>
  <c r="A174" i="25" s="1"/>
  <c r="A175" i="25" s="1"/>
  <c r="A176" i="25" s="1"/>
  <c r="A177" i="25" s="1"/>
  <c r="A178" i="25" s="1"/>
  <c r="A179" i="25" s="1"/>
  <c r="A180" i="25" s="1"/>
  <c r="A181" i="25" s="1"/>
  <c r="A182" i="25" s="1"/>
  <c r="A183" i="25" s="1"/>
  <c r="A184" i="25" s="1"/>
  <c r="A185" i="25" s="1"/>
  <c r="A186" i="25" s="1"/>
  <c r="A187" i="25" s="1"/>
  <c r="A198" i="25" s="1"/>
  <c r="A199" i="25" s="1"/>
  <c r="A200" i="25" s="1"/>
  <c r="A201" i="25" s="1"/>
  <c r="A202" i="25" s="1"/>
  <c r="A203" i="25" s="1"/>
  <c r="A204" i="25" s="1"/>
  <c r="A205" i="25" s="1"/>
  <c r="A206" i="25" s="1"/>
  <c r="A207" i="25" s="1"/>
  <c r="A208" i="25" s="1"/>
  <c r="A220" i="25" s="1"/>
  <c r="A221" i="25" s="1"/>
  <c r="A222" i="25" s="1"/>
  <c r="A223" i="25" s="1"/>
  <c r="A224" i="25" s="1"/>
  <c r="A225" i="25" s="1"/>
  <c r="A226" i="25" s="1"/>
  <c r="A227" i="25" s="1"/>
  <c r="A228" i="25" s="1"/>
  <c r="A229" i="25" s="1"/>
  <c r="A230" i="25" s="1"/>
  <c r="A231" i="25" s="1"/>
  <c r="A232" i="25" s="1"/>
  <c r="A233" i="25" s="1"/>
  <c r="A234" i="25" s="1"/>
  <c r="A235" i="25" s="1"/>
  <c r="A236" i="25" s="1"/>
  <c r="A246" i="25" s="1"/>
  <c r="A247" i="25" s="1"/>
  <c r="A248" i="25" s="1"/>
  <c r="A249" i="25" s="1"/>
  <c r="A250" i="25" s="1"/>
  <c r="A251" i="25" s="1"/>
  <c r="A252" i="25" s="1"/>
  <c r="A253" i="25" s="1"/>
  <c r="A254" i="25" s="1"/>
  <c r="A255" i="25" s="1"/>
  <c r="A256" i="25" s="1"/>
  <c r="A257" i="25" s="1"/>
  <c r="A258" i="25" s="1"/>
  <c r="A259" i="25" s="1"/>
  <c r="A260" i="25" s="1"/>
  <c r="A273" i="25" s="1"/>
  <c r="A274" i="25" s="1"/>
  <c r="A275" i="25" s="1"/>
  <c r="A276" i="25" s="1"/>
  <c r="A277" i="25" s="1"/>
  <c r="A278" i="25" s="1"/>
  <c r="A279" i="25" s="1"/>
  <c r="A280" i="25" s="1"/>
  <c r="A281" i="25" s="1"/>
  <c r="A282" i="25" s="1"/>
  <c r="A283" i="25" s="1"/>
  <c r="A284" i="25" s="1"/>
  <c r="A285" i="25" s="1"/>
  <c r="A286" i="25" s="1"/>
  <c r="A287" i="25" s="1"/>
  <c r="A301" i="25" s="1"/>
  <c r="A302" i="25" s="1"/>
  <c r="A303" i="25" s="1"/>
  <c r="A304" i="25" s="1"/>
  <c r="A305" i="25" s="1"/>
  <c r="A306" i="25" s="1"/>
  <c r="A307" i="25" s="1"/>
  <c r="A308" i="25" s="1"/>
  <c r="A309" i="25" s="1"/>
  <c r="A310" i="25" s="1"/>
  <c r="A311" i="25" s="1"/>
  <c r="A312" i="25" s="1"/>
  <c r="A313" i="25" s="1"/>
  <c r="A314" i="25" s="1"/>
  <c r="A315" i="25" s="1"/>
  <c r="A316" i="25" s="1"/>
  <c r="A317" i="25" s="1"/>
  <c r="A330" i="25" s="1"/>
  <c r="A331" i="25" s="1"/>
  <c r="A332" i="25" s="1"/>
  <c r="A333" i="25" s="1"/>
  <c r="A334" i="25" s="1"/>
  <c r="A335" i="25" s="1"/>
  <c r="A84" i="23"/>
  <c r="A49" i="23"/>
  <c r="A50" i="23" s="1"/>
  <c r="A51" i="23" s="1"/>
  <c r="A52" i="23" s="1"/>
  <c r="A53" i="23" s="1"/>
  <c r="A54" i="23" s="1"/>
  <c r="A55" i="23" s="1"/>
  <c r="A56" i="23" s="1"/>
  <c r="A57" i="23" s="1"/>
  <c r="A58" i="23" s="1"/>
  <c r="A85" i="23" s="1"/>
  <c r="A59" i="23" s="1"/>
  <c r="A71" i="23" s="1"/>
  <c r="A72" i="23" s="1"/>
  <c r="B83" i="24"/>
  <c r="B47" i="24"/>
  <c r="B48" i="24" s="1"/>
  <c r="B49" i="24" s="1"/>
  <c r="B50" i="24" s="1"/>
  <c r="B51" i="24" s="1"/>
  <c r="B52" i="24" s="1"/>
  <c r="B53" i="24" s="1"/>
  <c r="B54" i="24" s="1"/>
  <c r="B55" i="24" s="1"/>
  <c r="B68" i="24" s="1"/>
  <c r="B84" i="24" s="1"/>
  <c r="B69" i="24" s="1"/>
  <c r="B70" i="24" s="1"/>
  <c r="B71" i="24" s="1"/>
  <c r="A14" i="21"/>
  <c r="B13" i="1" l="1"/>
  <c r="B14" i="1" s="1"/>
  <c r="B15" i="1" s="1"/>
  <c r="B16" i="1" s="1"/>
  <c r="B17" i="1" s="1"/>
  <c r="B18" i="1" s="1"/>
  <c r="B19" i="1" s="1"/>
  <c r="B20" i="1" s="1"/>
  <c r="B21" i="1" s="1"/>
  <c r="K15" i="7" l="1"/>
  <c r="A14" i="19" l="1"/>
  <c r="A15" i="19" s="1"/>
  <c r="A16" i="19" s="1"/>
  <c r="A17" i="19" s="1"/>
  <c r="A18" i="19" s="1"/>
  <c r="L42" i="20"/>
  <c r="L41" i="20"/>
  <c r="L40" i="20"/>
  <c r="A14" i="20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40" i="20" s="1"/>
  <c r="A41" i="20" s="1"/>
  <c r="A42" i="20" s="1"/>
  <c r="A43" i="20" s="1"/>
  <c r="A44" i="20" s="1"/>
  <c r="A19" i="19" l="1"/>
  <c r="A14" i="10" l="1"/>
  <c r="A15" i="10" s="1"/>
  <c r="A16" i="10" s="1"/>
  <c r="A17" i="10" s="1"/>
  <c r="A18" i="10" s="1"/>
  <c r="A19" i="10" s="1"/>
  <c r="A20" i="10" s="1"/>
  <c r="A21" i="10" s="1"/>
  <c r="A13" i="7"/>
  <c r="A14" i="7" s="1"/>
  <c r="A14" i="5"/>
  <c r="A15" i="7" l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K51" i="15"/>
  <c r="A14" i="15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l="1"/>
  <c r="A53" i="15" s="1"/>
  <c r="A54" i="15" s="1"/>
  <c r="A55" i="15" s="1"/>
  <c r="A56" i="15" s="1"/>
  <c r="A57" i="15" s="1"/>
  <c r="A14" i="16"/>
  <c r="A14" i="14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L42" i="18"/>
  <c r="L41" i="18"/>
  <c r="L40" i="18"/>
  <c r="L26" i="18"/>
  <c r="L25" i="18"/>
  <c r="L44" i="18"/>
  <c r="L43" i="18"/>
  <c r="L24" i="18"/>
  <c r="A14" i="18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40" i="18" s="1"/>
  <c r="A41" i="18" s="1"/>
  <c r="A42" i="18" s="1"/>
  <c r="A43" i="18" s="1"/>
  <c r="A44" i="18" s="1"/>
  <c r="A26" i="14" l="1"/>
  <c r="A15" i="16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41" i="16" s="1"/>
  <c r="A42" i="16" s="1"/>
  <c r="A43" i="16" s="1"/>
  <c r="A44" i="16" s="1"/>
  <c r="A45" i="16" s="1"/>
  <c r="A27" i="14" l="1"/>
  <c r="A42" i="14" s="1"/>
  <c r="A43" i="14" s="1"/>
  <c r="A44" i="14" s="1"/>
  <c r="A45" i="14" s="1"/>
  <c r="A46" i="14" s="1"/>
  <c r="A47" i="14" s="1"/>
  <c r="K39" i="15"/>
  <c r="A14" i="11"/>
  <c r="A15" i="11" s="1"/>
  <c r="A16" i="11" s="1"/>
  <c r="A17" i="11" s="1"/>
  <c r="A18" i="11" s="1"/>
  <c r="A19" i="11" s="1"/>
  <c r="K44" i="16"/>
  <c r="K43" i="16"/>
  <c r="K45" i="16"/>
  <c r="A14" i="6"/>
  <c r="A15" i="6" s="1"/>
  <c r="A16" i="6" s="1"/>
  <c r="A17" i="6" s="1"/>
  <c r="A18" i="6" s="1"/>
  <c r="A14" i="4"/>
  <c r="A15" i="4" s="1"/>
  <c r="A16" i="4" s="1"/>
  <c r="A17" i="4" s="1"/>
  <c r="A18" i="4" s="1"/>
  <c r="A19" i="4" s="1"/>
  <c r="A20" i="4" s="1"/>
  <c r="A15" i="5"/>
  <c r="A48" i="14" l="1"/>
  <c r="A16" i="5"/>
  <c r="A17" i="5" s="1"/>
  <c r="A18" i="5" s="1"/>
  <c r="A19" i="5" s="1"/>
  <c r="A20" i="5" s="1"/>
  <c r="A21" i="5" s="1"/>
  <c r="K46" i="14"/>
  <c r="A14" i="17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14" i="2"/>
  <c r="A15" i="2" s="1"/>
  <c r="A16" i="2" s="1"/>
  <c r="A17" i="2" s="1"/>
  <c r="A18" i="2" s="1"/>
  <c r="A19" i="2" s="1"/>
  <c r="A20" i="2" s="1"/>
  <c r="A14" i="9"/>
  <c r="A15" i="9" s="1"/>
  <c r="A16" i="9" s="1"/>
  <c r="A17" i="9" s="1"/>
  <c r="A18" i="9" s="1"/>
  <c r="A19" i="9" s="1"/>
  <c r="A20" i="9" s="1"/>
  <c r="A84" i="14" l="1"/>
  <c r="A49" i="14"/>
  <c r="A58" i="15"/>
  <c r="A59" i="15" s="1"/>
  <c r="A60" i="15" s="1"/>
  <c r="A14" i="13"/>
  <c r="A15" i="13" s="1"/>
  <c r="A16" i="13" s="1"/>
  <c r="A17" i="13" s="1"/>
  <c r="A18" i="13" s="1"/>
  <c r="A19" i="13" s="1"/>
  <c r="A20" i="13" s="1"/>
  <c r="A21" i="13" s="1"/>
  <c r="A50" i="14" l="1"/>
  <c r="A51" i="14" s="1"/>
  <c r="A52" i="14" s="1"/>
  <c r="A53" i="14" s="1"/>
  <c r="A54" i="14" s="1"/>
  <c r="A55" i="14" s="1"/>
  <c r="A56" i="14" s="1"/>
  <c r="A57" i="14" s="1"/>
  <c r="A58" i="14" s="1"/>
  <c r="A85" i="14" s="1"/>
  <c r="A59" i="14" s="1"/>
  <c r="A71" i="14" s="1"/>
  <c r="A72" i="14" s="1"/>
  <c r="A22" i="13"/>
  <c r="A23" i="13" s="1"/>
  <c r="A61" i="15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14" i="12"/>
  <c r="A15" i="12" s="1"/>
  <c r="A16" i="12" s="1"/>
  <c r="A17" i="12" s="1"/>
  <c r="A18" i="12" s="1"/>
  <c r="A19" i="12" s="1"/>
  <c r="A76" i="15" l="1"/>
  <c r="A87" i="15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K14" i="7" l="1"/>
  <c r="K13" i="7"/>
  <c r="K18" i="4" l="1"/>
  <c r="K52" i="3" l="1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L19" i="1" l="1"/>
</calcChain>
</file>

<file path=xl/sharedStrings.xml><?xml version="1.0" encoding="utf-8"?>
<sst xmlns="http://schemas.openxmlformats.org/spreadsheetml/2006/main" count="5788" uniqueCount="586">
  <si>
    <t>KARTU INVENTARIS RUANGAN</t>
  </si>
  <si>
    <t>MODEL INV. 6</t>
  </si>
  <si>
    <t>Kab/Kota</t>
  </si>
  <si>
    <t>Propinsi</t>
  </si>
  <si>
    <t>Satuan Kerja</t>
  </si>
  <si>
    <t>Ruangan</t>
  </si>
  <si>
    <t xml:space="preserve">NO.KODE LOKASI : </t>
  </si>
  <si>
    <t>No.</t>
  </si>
  <si>
    <t>Nama Barang</t>
  </si>
  <si>
    <t>Merk/</t>
  </si>
  <si>
    <t>No. Seri</t>
  </si>
  <si>
    <t>Ukuran</t>
  </si>
  <si>
    <t>Bahan</t>
  </si>
  <si>
    <t xml:space="preserve">Tahun </t>
  </si>
  <si>
    <t xml:space="preserve">No/. Kode Barang </t>
  </si>
  <si>
    <t xml:space="preserve">Jumlah </t>
  </si>
  <si>
    <t xml:space="preserve">Harga </t>
  </si>
  <si>
    <t xml:space="preserve">Keadaan Barang </t>
  </si>
  <si>
    <t>Keterangan</t>
  </si>
  <si>
    <t>Urut</t>
  </si>
  <si>
    <t>Jenis Barang</t>
  </si>
  <si>
    <t>Model</t>
  </si>
  <si>
    <t>Pabrik</t>
  </si>
  <si>
    <t>Pembuatan</t>
  </si>
  <si>
    <t>Barang</t>
  </si>
  <si>
    <t>Beli/</t>
  </si>
  <si>
    <t>Baik</t>
  </si>
  <si>
    <t>Kurang Baik</t>
  </si>
  <si>
    <t>Rusak Berat</t>
  </si>
  <si>
    <t>Mutasi dll</t>
  </si>
  <si>
    <t>Atau Pembelian</t>
  </si>
  <si>
    <t>Register x)</t>
  </si>
  <si>
    <t>Perolehan</t>
  </si>
  <si>
    <t>(B)</t>
  </si>
  <si>
    <t>(KB)</t>
  </si>
  <si>
    <t>(RB)</t>
  </si>
  <si>
    <t>Mengetahui :</t>
  </si>
  <si>
    <t>Pengurus Barang</t>
  </si>
  <si>
    <t>Kota Banjarmasin</t>
  </si>
  <si>
    <t>Pembina Utama Muda</t>
  </si>
  <si>
    <t>Kalimantan Selatan</t>
  </si>
  <si>
    <t>Badan Kesatuan Bangsa dan Politik Kota Banjarmasin</t>
  </si>
  <si>
    <t>Kayu Partikel</t>
  </si>
  <si>
    <t>0001</t>
  </si>
  <si>
    <t>Sofa</t>
  </si>
  <si>
    <t>02.06.02.01.049</t>
  </si>
  <si>
    <t>Meja Kerja Pejabat Eselon II</t>
  </si>
  <si>
    <t>Zetta MT 301/Esselon II</t>
  </si>
  <si>
    <t>02.06.04.01.004</t>
  </si>
  <si>
    <t>Kursi Kerja Pejabat Eselon III</t>
  </si>
  <si>
    <t>Besi Plastik</t>
  </si>
  <si>
    <t>02.06.04.03.005</t>
  </si>
  <si>
    <t>AC Unit</t>
  </si>
  <si>
    <t>02.06.02.04.003</t>
  </si>
  <si>
    <t>0002</t>
  </si>
  <si>
    <t>Lemari Es</t>
  </si>
  <si>
    <t>Besi</t>
  </si>
  <si>
    <t>02.06.02.04.001</t>
  </si>
  <si>
    <t>0007</t>
  </si>
  <si>
    <t>1 PK</t>
  </si>
  <si>
    <t>0014</t>
  </si>
  <si>
    <t>Kursi Putar</t>
  </si>
  <si>
    <t>02.06.02.01.030</t>
  </si>
  <si>
    <t>0038</t>
  </si>
  <si>
    <t>0031</t>
  </si>
  <si>
    <t>Televisi</t>
  </si>
  <si>
    <t>02.06.02.06.003</t>
  </si>
  <si>
    <t>0005</t>
  </si>
  <si>
    <t>Kepala Badan</t>
  </si>
  <si>
    <t>LEXUS / 321</t>
  </si>
  <si>
    <t>Meja Panjang</t>
  </si>
  <si>
    <t>Lokal / Handmade</t>
  </si>
  <si>
    <t>Kayu</t>
  </si>
  <si>
    <t>Samsung./ 43n5001</t>
  </si>
  <si>
    <t>0006</t>
  </si>
  <si>
    <t>Lemari dan Arsip Pejabat Lain-lain</t>
  </si>
  <si>
    <t xml:space="preserve">Informa MC Glass Door/Lemari Buku </t>
  </si>
  <si>
    <t>02.06.04.07.009</t>
  </si>
  <si>
    <t>2739.13</t>
  </si>
  <si>
    <t>3.2.1. In Frame IF 007Hitam/CT Royal 0198/Espresso 0197</t>
  </si>
  <si>
    <t>Kulit Hitam</t>
  </si>
  <si>
    <t>9384350.04</t>
  </si>
  <si>
    <t>Daikin/FTV25CXV</t>
  </si>
  <si>
    <t>0015</t>
  </si>
  <si>
    <t>Printer</t>
  </si>
  <si>
    <t>Laptop</t>
  </si>
  <si>
    <t>Asus/ X455L</t>
  </si>
  <si>
    <t>02.06.03.02.002</t>
  </si>
  <si>
    <t>0018</t>
  </si>
  <si>
    <t>0016</t>
  </si>
  <si>
    <t>Epson ECO Tank L3110N /-</t>
  </si>
  <si>
    <t>Campuran</t>
  </si>
  <si>
    <t>02.06.03.05.003</t>
  </si>
  <si>
    <t>0033</t>
  </si>
  <si>
    <t>Kursi Lipat</t>
  </si>
  <si>
    <t>MATRIX / -</t>
  </si>
  <si>
    <t>02.06.02.01.034</t>
  </si>
  <si>
    <t>0008</t>
  </si>
  <si>
    <t>SEKRETARIAT</t>
  </si>
  <si>
    <t>Lemari Besi</t>
  </si>
  <si>
    <t>BROTHER / -</t>
  </si>
  <si>
    <t>02.06.01.04.001</t>
  </si>
  <si>
    <t>LION / L 33 Swing Door</t>
  </si>
  <si>
    <t>Brother / B-203</t>
  </si>
  <si>
    <t>Filling Besi / Metal</t>
  </si>
  <si>
    <t>02.06.01.04.004</t>
  </si>
  <si>
    <t>Di KIB Kurang Baik</t>
  </si>
  <si>
    <t>0003</t>
  </si>
  <si>
    <t>Secure Line / -</t>
  </si>
  <si>
    <t>BROTHER / BS - 102</t>
  </si>
  <si>
    <t>0010</t>
  </si>
  <si>
    <t>0013</t>
  </si>
  <si>
    <t>Meja Kerja Pejabat Lain-lain</t>
  </si>
  <si>
    <t xml:space="preserve">EXPO / MT301 </t>
  </si>
  <si>
    <t>02.06.04.01.009</t>
  </si>
  <si>
    <t>0001 s/d 0008</t>
  </si>
  <si>
    <t>USHUTO / Kursi Kerja 6033</t>
  </si>
  <si>
    <t>0025</t>
  </si>
  <si>
    <t>0027</t>
  </si>
  <si>
    <t>Indachi / D 920</t>
  </si>
  <si>
    <t>0032</t>
  </si>
  <si>
    <t>0041</t>
  </si>
  <si>
    <t>Kursi Rapat</t>
  </si>
  <si>
    <t>Chitose / Warna Biru</t>
  </si>
  <si>
    <t>02.06.02.01.027</t>
  </si>
  <si>
    <t>0004</t>
  </si>
  <si>
    <t xml:space="preserve">Printer </t>
  </si>
  <si>
    <t>EPSON / L 120</t>
  </si>
  <si>
    <t>0024</t>
  </si>
  <si>
    <t xml:space="preserve">BROTHER / INKJET MULTIFUNCTION MFC-T4500DW </t>
  </si>
  <si>
    <t>0030</t>
  </si>
  <si>
    <t>EPSON / L 3110</t>
  </si>
  <si>
    <t>0035</t>
  </si>
  <si>
    <t>PC Unit</t>
  </si>
  <si>
    <t>Intel - Casing DE Case-LG Pentium ® G 2020 Asrock HG1-LG LED16</t>
  </si>
  <si>
    <t>2013                       16 Inci</t>
  </si>
  <si>
    <t>02.06.03.02.001</t>
  </si>
  <si>
    <t>0012</t>
  </si>
  <si>
    <t>Lenovo / C260</t>
  </si>
  <si>
    <t>Lenovo / 330 -20 GM AIO</t>
  </si>
  <si>
    <t>0020</t>
  </si>
  <si>
    <t>Kasubbag Keuangan</t>
  </si>
  <si>
    <t>Meja Kerja Pejabat Eselon IV</t>
  </si>
  <si>
    <t>Pro Design/Meja Kerja VPM 120</t>
  </si>
  <si>
    <t>02.06.04.01.006</t>
  </si>
  <si>
    <t>0021</t>
  </si>
  <si>
    <t>Kursi Kerja Pejabat Eselon IV</t>
  </si>
  <si>
    <t>02.06.04.03.006</t>
  </si>
  <si>
    <t>DAIKIN/FTNE25JEV14</t>
  </si>
  <si>
    <t>0011</t>
  </si>
  <si>
    <t>Lemari Kaca</t>
  </si>
  <si>
    <t>Brother / Besi Kaca</t>
  </si>
  <si>
    <t>Besi Kaca</t>
  </si>
  <si>
    <t>02.06.01.04.012</t>
  </si>
  <si>
    <t>Lemari Kayu</t>
  </si>
  <si>
    <t>02.06.01.04.014</t>
  </si>
  <si>
    <t>02/06.01.04.001</t>
  </si>
  <si>
    <t>Dispenser</t>
  </si>
  <si>
    <t>Toshiba / RWFW1830</t>
  </si>
  <si>
    <t>02.06.02.06.039</t>
  </si>
  <si>
    <t>Kasubbag Umum dan Kepegawaian</t>
  </si>
  <si>
    <t>ZETTA / MT201</t>
  </si>
  <si>
    <t>0040</t>
  </si>
  <si>
    <t>Indachi D 920</t>
  </si>
  <si>
    <t>0045</t>
  </si>
  <si>
    <t>Secure Line /-</t>
  </si>
  <si>
    <t>0009</t>
  </si>
  <si>
    <t>BROTHER / BS-102</t>
  </si>
  <si>
    <t>EPSON /L360</t>
  </si>
  <si>
    <t>0029</t>
  </si>
  <si>
    <t>KRISBROW / KW 17 - 195</t>
  </si>
  <si>
    <t>Daikin/ FTNE25MV</t>
  </si>
  <si>
    <t>2018                                         1 PK</t>
  </si>
  <si>
    <t>DEL INSPIRON / 14-3458</t>
  </si>
  <si>
    <t>Kasubbag Penyusunan Program</t>
  </si>
  <si>
    <t>Meja Kerja Pejabat Eselon III</t>
  </si>
  <si>
    <t>ZETTA/MT-201 / Esselon III</t>
  </si>
  <si>
    <t>02.06.04.01.005</t>
  </si>
  <si>
    <t>Samsung/AR09 HCFSTWKNSE</t>
  </si>
  <si>
    <t>Besi Plastik     1 PK</t>
  </si>
  <si>
    <t>Brother / Besi Kaca 8304</t>
  </si>
  <si>
    <t>MATRIX/-</t>
  </si>
  <si>
    <t>Meja Rapat Pejabat Lain-Lain</t>
  </si>
  <si>
    <t>GALANT / -</t>
  </si>
  <si>
    <t>02.06.04.02.14</t>
  </si>
  <si>
    <t>Daikin / FTNE25JEV14</t>
  </si>
  <si>
    <t xml:space="preserve">2016                                    1 PK             </t>
  </si>
  <si>
    <t>Daikin / FTV25CXV</t>
  </si>
  <si>
    <t>Kursi Rapat Pejabat Lain-lain</t>
  </si>
  <si>
    <t>Matrix KSS-01 /-</t>
  </si>
  <si>
    <t>02.06.04.04.008</t>
  </si>
  <si>
    <t>0001 s/d 0030</t>
  </si>
  <si>
    <t>Sound System</t>
  </si>
  <si>
    <t>Soundqueen/ SK210</t>
  </si>
  <si>
    <t>02.06.02.06.008</t>
  </si>
  <si>
    <t>0002 s/d 0003</t>
  </si>
  <si>
    <t>RAPAT</t>
  </si>
  <si>
    <t>Meja Reception</t>
  </si>
  <si>
    <t>Kayu / Plywood</t>
  </si>
  <si>
    <t>02.06.02.01.017</t>
  </si>
  <si>
    <t>0017</t>
  </si>
  <si>
    <t>PELAYANAN</t>
  </si>
  <si>
    <t>Kabid Ideologi dan Wawasan Kebangsaan</t>
  </si>
  <si>
    <t>ZETTA / MT2015</t>
  </si>
  <si>
    <t>0028</t>
  </si>
  <si>
    <t>Brother / -</t>
  </si>
  <si>
    <t>Active / Meja Kerja Staf</t>
  </si>
  <si>
    <t>Kayu Partike;</t>
  </si>
  <si>
    <t>Kursi Besi / Metal</t>
  </si>
  <si>
    <t>- // Warna Crean</t>
  </si>
  <si>
    <t>02.06.02.01.005</t>
  </si>
  <si>
    <t>148648.50</t>
  </si>
  <si>
    <t>Kabid Ketahanan Seni, Budaya, Agama, Kemasyarakatan dan Ekonomi</t>
  </si>
  <si>
    <t>ZETTA / MT201S / Esselon III</t>
  </si>
  <si>
    <t>Kayu Pertikel</t>
  </si>
  <si>
    <t>0023</t>
  </si>
  <si>
    <t>Brother /             B 203</t>
  </si>
  <si>
    <t>Isabel 325 T / -</t>
  </si>
  <si>
    <t>Kayu Kaca</t>
  </si>
  <si>
    <t>Kabid Politik</t>
  </si>
  <si>
    <t>ZETTA / MT 201 / Esselon III</t>
  </si>
  <si>
    <t xml:space="preserve">Indachi D 821 CR/ Kursi Kerja Staf </t>
  </si>
  <si>
    <t>Kursi Besi/Metal</t>
  </si>
  <si>
    <t>- / Warna Cream</t>
  </si>
  <si>
    <t>KRISBROW / KW17-195</t>
  </si>
  <si>
    <t>Meja Komputer</t>
  </si>
  <si>
    <t>AZTEC / CD 800 P</t>
  </si>
  <si>
    <t>Serbuk Kayu</t>
  </si>
  <si>
    <t>02.06.02.01.037</t>
  </si>
  <si>
    <t>588424.11</t>
  </si>
  <si>
    <t>ZETTA / MT-301 / Esselon III</t>
  </si>
  <si>
    <t>BROTHER / B - 104</t>
  </si>
  <si>
    <t>SELASAR</t>
  </si>
  <si>
    <t>Platinum / Alba -</t>
  </si>
  <si>
    <t>di KIB Kurang Baik</t>
  </si>
  <si>
    <t>Lion / -</t>
  </si>
  <si>
    <t>DEPAN BIDANG</t>
  </si>
  <si>
    <t>Ruang Sekretaris</t>
  </si>
  <si>
    <t>Ruang Kaban</t>
  </si>
  <si>
    <t>Sekretaris</t>
  </si>
  <si>
    <t>Ruang Sekretariat</t>
  </si>
  <si>
    <t>Tiger T804/  Esselon III</t>
  </si>
  <si>
    <t>Kulkas SHARP/    SJ19BHTB</t>
  </si>
  <si>
    <t>Daikin/   FTV25BXV</t>
  </si>
  <si>
    <t>THOSIBA/   47L2400VJ</t>
  </si>
  <si>
    <t>Indachi/         D 920</t>
  </si>
  <si>
    <t xml:space="preserve">REKAP </t>
  </si>
  <si>
    <t>0037</t>
  </si>
  <si>
    <t>ZETTA /MT201</t>
  </si>
  <si>
    <t>ZETTA MT201/ Meja Kerja Staf</t>
  </si>
  <si>
    <t>0039</t>
  </si>
  <si>
    <t>0022</t>
  </si>
  <si>
    <t>SAGA OD 022/ Meja Kerja Staf</t>
  </si>
  <si>
    <t>Intel - Casing ATX-LG/MB MSI G41M-P28- LG wide 16</t>
  </si>
  <si>
    <t>2012                     6 inci</t>
  </si>
  <si>
    <t>General/ Meja Kerja Staf</t>
  </si>
  <si>
    <t>EPSON /L120</t>
  </si>
  <si>
    <t>0034</t>
  </si>
  <si>
    <t>Blue Shark/ Meja Kerja</t>
  </si>
  <si>
    <t>RAKUDA/ RK 235</t>
  </si>
  <si>
    <t>Tiger T98 AH /Esselon IV</t>
  </si>
  <si>
    <t>Solid MTS-2805/ Meja Kerja Staf</t>
  </si>
  <si>
    <t>Toshiba/ Satellite L510</t>
  </si>
  <si>
    <t>Ibu Tati</t>
  </si>
  <si>
    <t>0036</t>
  </si>
  <si>
    <t>SAGA MTB 120/ Meja Kerja Staf</t>
  </si>
  <si>
    <t>Indachi /       D 910</t>
  </si>
  <si>
    <t>Besi dan Plastik</t>
  </si>
  <si>
    <t>0046</t>
  </si>
  <si>
    <t>Indachi /        D 920</t>
  </si>
  <si>
    <t>EPSON /        L 360</t>
  </si>
  <si>
    <t>SAGA / Meja Kerja</t>
  </si>
  <si>
    <t>02.06.02.01.009</t>
  </si>
  <si>
    <t>Camera Video</t>
  </si>
  <si>
    <t>CCTV/UVR SPC 8 CH / KAMERA SPC 2 MP</t>
  </si>
  <si>
    <t>02.06.02.06.021</t>
  </si>
  <si>
    <t>LENOVO V130 / -</t>
  </si>
  <si>
    <t>Banjarmasin,        Juli 2021</t>
  </si>
  <si>
    <t>INDACHI / 741 CR</t>
  </si>
  <si>
    <t xml:space="preserve">Sekretaris </t>
  </si>
  <si>
    <t>Tiger T904 Esselon III</t>
  </si>
  <si>
    <t>Zetta MT 301 / Esselon II</t>
  </si>
  <si>
    <t>Kursi Tamu</t>
  </si>
  <si>
    <t>02.06.02.01.019</t>
  </si>
  <si>
    <t>Lokal /                 Hand Made</t>
  </si>
  <si>
    <t>Kayu/ Playwood</t>
  </si>
  <si>
    <t>02.06.02.01.001</t>
  </si>
  <si>
    <t>DAPUR</t>
  </si>
  <si>
    <t>EPSON /L3110</t>
  </si>
  <si>
    <t>- / -</t>
  </si>
  <si>
    <t>INDACHI/ 741 CR</t>
  </si>
  <si>
    <t>Ibu Ida</t>
  </si>
  <si>
    <t>Arief</t>
  </si>
  <si>
    <t>Big Panel /               4 Rak</t>
  </si>
  <si>
    <t>Brother /                               4 Rak</t>
  </si>
  <si>
    <t>Lion / Brangkas</t>
  </si>
  <si>
    <t>Indachi                D 821 CR/Kursi Kerja Staf</t>
  </si>
  <si>
    <t>Besi Plastik                             1 PK</t>
  </si>
  <si>
    <t>Buatan Lokal / Kayu Kaca</t>
  </si>
  <si>
    <t>Intel - Casing DE Case-LG / Pentium ® G 2020Asrock HGI-LG LED 16</t>
  </si>
  <si>
    <t>BROTHER BG 510 AN / Kursi Kerja</t>
  </si>
  <si>
    <t>ASUS X407UA</t>
  </si>
  <si>
    <t xml:space="preserve">Asus Expertboox/ P3540FB EJ7820T </t>
  </si>
  <si>
    <t>0026</t>
  </si>
  <si>
    <t>ASUS X441UB / -</t>
  </si>
  <si>
    <t>Sepeda Motor</t>
  </si>
  <si>
    <t>Honda Supra Fit / NF 100 SLD</t>
  </si>
  <si>
    <t>MH1HB421X6K0994</t>
  </si>
  <si>
    <t>Besi Platik</t>
  </si>
  <si>
    <t>02.03.01.05.001</t>
  </si>
  <si>
    <t>Suzuku Smash / FK 110 SDK6</t>
  </si>
  <si>
    <t>MH8BE4DFA6J-1731</t>
  </si>
  <si>
    <t>Honda 125 / NF 125 SD</t>
  </si>
  <si>
    <t>MH1JB51186K87086</t>
  </si>
  <si>
    <t>Lemari ES</t>
  </si>
  <si>
    <t>LG / GR602JLC</t>
  </si>
  <si>
    <t>Lenovo/ G400S</t>
  </si>
  <si>
    <t xml:space="preserve">Olip </t>
  </si>
  <si>
    <t>Mini Bus (Penumpang 14 Orang ke bawah</t>
  </si>
  <si>
    <t>TOYOTA / AVANZA 1500 S</t>
  </si>
  <si>
    <t>I-05815753</t>
  </si>
  <si>
    <t>1498 CC</t>
  </si>
  <si>
    <t>02.03.01.02.003</t>
  </si>
  <si>
    <t>TOYOTA / KF 70 biru metalik</t>
  </si>
  <si>
    <t>MHF11KF701003</t>
  </si>
  <si>
    <t>1781 C</t>
  </si>
  <si>
    <t>1500 cc</t>
  </si>
  <si>
    <t>TOYOTA / Rush 1.5 MT / Station Wagon</t>
  </si>
  <si>
    <t>MHFE2C13JFK09</t>
  </si>
  <si>
    <t>MHIHB11164K30</t>
  </si>
  <si>
    <t>SAGA RB 2800/ Lemari Buku</t>
  </si>
  <si>
    <t>Suzuki New Smash / FK 110  SDKS</t>
  </si>
  <si>
    <t>MH8BE4DFA973</t>
  </si>
  <si>
    <t>Nomor</t>
  </si>
  <si>
    <t>Rangka</t>
  </si>
  <si>
    <t>Mesin</t>
  </si>
  <si>
    <t>Polisi</t>
  </si>
  <si>
    <t>BPKB</t>
  </si>
  <si>
    <t>DA 826 AF</t>
  </si>
  <si>
    <t>Pemegang</t>
  </si>
  <si>
    <t>Suzuki/                   Ertiga GX</t>
  </si>
  <si>
    <t>1400 CC</t>
  </si>
  <si>
    <t>MHYKZE81SFJ25</t>
  </si>
  <si>
    <t>DA 251 A</t>
  </si>
  <si>
    <t>DA 1250 IJ</t>
  </si>
  <si>
    <t>Da 2820 IZ</t>
  </si>
  <si>
    <t>DA 2215 IZ</t>
  </si>
  <si>
    <t>Operasional</t>
  </si>
  <si>
    <t>DA 4056 IZ</t>
  </si>
  <si>
    <t>DA 2140 IZ</t>
  </si>
  <si>
    <t>DA 443 NF</t>
  </si>
  <si>
    <t>Suzuki TITAN/ FW 110 D</t>
  </si>
  <si>
    <t>113 CC</t>
  </si>
  <si>
    <t>MH8BE4DTADJ-1</t>
  </si>
  <si>
    <t>Suzuki Axelo / FL 125 RCD1</t>
  </si>
  <si>
    <t>125 CC</t>
  </si>
  <si>
    <t>MH8BF45SADJ-1</t>
  </si>
  <si>
    <t>Banyaknya</t>
  </si>
  <si>
    <t>DA 4437 VA</t>
  </si>
  <si>
    <t>Honda Blade / AFP12W21C08</t>
  </si>
  <si>
    <t>NH1JBM115FK08</t>
  </si>
  <si>
    <t>Honda Supra X 125/ FICW</t>
  </si>
  <si>
    <t>MH1JBP111GK40</t>
  </si>
  <si>
    <t>Bend Pengeluaran</t>
  </si>
  <si>
    <t>Penyusun Laporan Keuangan</t>
  </si>
  <si>
    <t>Perencanaan / Siska</t>
  </si>
  <si>
    <t>INVENTARIS KANTOR</t>
  </si>
  <si>
    <t>DA 4201 IZ</t>
  </si>
  <si>
    <t>DA 4895 IZ</t>
  </si>
  <si>
    <t>DA 4896 IZ</t>
  </si>
  <si>
    <t>DA 2123 NZ</t>
  </si>
  <si>
    <t>DA 2124 NZ</t>
  </si>
  <si>
    <t>DA 2125 NZ</t>
  </si>
  <si>
    <t>Da 2126 NZ</t>
  </si>
  <si>
    <t>DA 2211 NZ</t>
  </si>
  <si>
    <t>DA 2212 NZ</t>
  </si>
  <si>
    <t>Type</t>
  </si>
  <si>
    <t>Kasubbid Agama Ekantyasrini</t>
  </si>
  <si>
    <t>Kabid Hansenibud</t>
  </si>
  <si>
    <t>Ansara</t>
  </si>
  <si>
    <t>0042</t>
  </si>
  <si>
    <t>USHUTO/ Kursi Kerja 6033</t>
  </si>
  <si>
    <t>0019</t>
  </si>
  <si>
    <t>KENDARAAN DINAS</t>
  </si>
  <si>
    <t>Ruang Sekretariat by Siska</t>
  </si>
  <si>
    <t>Kabid Bina Ideologi &amp; Wasbang</t>
  </si>
  <si>
    <t>Kasubbid Imple Kebijakan &amp; Pendidikan Politik</t>
  </si>
  <si>
    <t>Kasubbid Was Dini, Pora &amp; Lemb Asing</t>
  </si>
  <si>
    <t>Kasubbid Penanganan Konflik</t>
  </si>
  <si>
    <t>Opearsiona'</t>
  </si>
  <si>
    <t>Opearsional</t>
  </si>
  <si>
    <t>Kasubbid Bina Ideologi</t>
  </si>
  <si>
    <t>Kasubbid Wasbang</t>
  </si>
  <si>
    <t>Usul Penghapusan</t>
  </si>
  <si>
    <t>Sekretaris Rusak dr Rekanan</t>
  </si>
  <si>
    <t>Yanti</t>
  </si>
  <si>
    <t>Rosy</t>
  </si>
  <si>
    <t>Siska</t>
  </si>
  <si>
    <t>Indra H</t>
  </si>
  <si>
    <t>Indra A</t>
  </si>
  <si>
    <t>Roisy</t>
  </si>
  <si>
    <t>Ibu Taty</t>
  </si>
  <si>
    <t>Ibu TAty</t>
  </si>
  <si>
    <t xml:space="preserve">0001 </t>
  </si>
  <si>
    <t>Ibu Tay</t>
  </si>
  <si>
    <t>Samping Bu Tay</t>
  </si>
  <si>
    <t>Lenovo / 330 -201 GM AIO</t>
  </si>
  <si>
    <t>EPSON / L 360</t>
  </si>
  <si>
    <t>Olympic/ -</t>
  </si>
  <si>
    <t>Katerina</t>
  </si>
  <si>
    <t>Adytia</t>
  </si>
  <si>
    <t>Kurang Baik Keyboard Rusak</t>
  </si>
  <si>
    <t>ZYREX / SKY 2712 Intel Pentium (R) SU 2700</t>
  </si>
  <si>
    <t>Axioo / M72SR/M720SR/TVS</t>
  </si>
  <si>
    <t>Acer/Aspire 4736Z-441G25MN</t>
  </si>
  <si>
    <t>Thosiba / Satellite L740-1228U</t>
  </si>
  <si>
    <t xml:space="preserve">Thosiba Satellite L735 </t>
  </si>
  <si>
    <t>Thosiba / C40-A</t>
  </si>
  <si>
    <t>Usul Penghapusan / Kabid Ideologi</t>
  </si>
  <si>
    <t>Lenovo / G 400 S</t>
  </si>
  <si>
    <t>ASUS / X441UA</t>
  </si>
  <si>
    <t>EPSON /L 120</t>
  </si>
  <si>
    <t>Indachi / D 910</t>
  </si>
  <si>
    <t>02.06.02.01.05.</t>
  </si>
  <si>
    <t>Kursi Besi/ Metal</t>
  </si>
  <si>
    <t>Samsung / AS09TSMNXEA</t>
  </si>
  <si>
    <t>Indachi D 800 / Esselon IV</t>
  </si>
  <si>
    <t>0043</t>
  </si>
  <si>
    <t>0044</t>
  </si>
  <si>
    <t>BROTHER BG 510 An / Kursi Kerja</t>
  </si>
  <si>
    <t>Tiger T98 AH / Esselon IV</t>
  </si>
  <si>
    <t>Indhaci / D 920</t>
  </si>
  <si>
    <t>LENOVO / AIO 330 (A6)</t>
  </si>
  <si>
    <t>Basi</t>
  </si>
  <si>
    <t>DA 783 AI / DA 16 A / DA 25 A</t>
  </si>
  <si>
    <t>Dihapu</t>
  </si>
  <si>
    <t>Dihapus</t>
  </si>
  <si>
    <t>Tdk ada BPKB</t>
  </si>
  <si>
    <t>Cek kembali nomor</t>
  </si>
  <si>
    <t>Overhead Projektor</t>
  </si>
  <si>
    <t>Toshiba / - Program / -</t>
  </si>
  <si>
    <t>02.06.01.05.028</t>
  </si>
  <si>
    <t>Honda Supra Fit / NF 100 L SLD</t>
  </si>
  <si>
    <t>MHIHB11164K30552</t>
  </si>
  <si>
    <t>MH8BE4DFA97J-716</t>
  </si>
  <si>
    <t>Mesin Ketik Manual Standar (14-16)</t>
  </si>
  <si>
    <t>Deluxe / Deluxe M200</t>
  </si>
  <si>
    <t>02.06.01.01.002</t>
  </si>
  <si>
    <t>LG Pearl Black / LG 21FU RL-T3</t>
  </si>
  <si>
    <t>02.06.01.05.008</t>
  </si>
  <si>
    <t>Papan Tulis</t>
  </si>
  <si>
    <t>Papan Data Nominatif / Buatan Lokal</t>
  </si>
  <si>
    <t>Papan</t>
  </si>
  <si>
    <t>MHF11KF701003367</t>
  </si>
  <si>
    <t>MH8BE4DTABJ-1288</t>
  </si>
  <si>
    <t>Mesin Absensi</t>
  </si>
  <si>
    <t>02.06.01.05.017</t>
  </si>
  <si>
    <t>Toshiba / 32PB2</t>
  </si>
  <si>
    <t>32 inci</t>
  </si>
  <si>
    <t>Alat Pembantu Pemadam Kebakaran</t>
  </si>
  <si>
    <t>FIREFORT- POWDER FP.40/ Tabung Pemadam Kebakaran</t>
  </si>
  <si>
    <t>02.06.02.07.016</t>
  </si>
  <si>
    <t>MH8BF45SADJ-1764</t>
  </si>
  <si>
    <t>Suzuki Axelo / FL 125 RCD1764</t>
  </si>
  <si>
    <t xml:space="preserve">ROYAL / Express </t>
  </si>
  <si>
    <t>13 inchi</t>
  </si>
  <si>
    <t>MHFE2CJ3JFK)9835</t>
  </si>
  <si>
    <t>MH1JBM117FK08134</t>
  </si>
  <si>
    <t>NH1JBM11XFK08132</t>
  </si>
  <si>
    <t>NH1JBM115FK08130</t>
  </si>
  <si>
    <t>MH1JBM115FK08136</t>
  </si>
  <si>
    <t>Honda Supra X 125/ FI CW</t>
  </si>
  <si>
    <t>MH1JBP111GK40324</t>
  </si>
  <si>
    <t>MH1JBP111GK39617</t>
  </si>
  <si>
    <t>Alat Penghancur Kertas</t>
  </si>
  <si>
    <t>KRISBOW / 5340 PAPPER SHREDDER</t>
  </si>
  <si>
    <t>02.06.01.05.005</t>
  </si>
  <si>
    <t>MBIO / MB 007c</t>
  </si>
  <si>
    <t>Proyektor + Attachment</t>
  </si>
  <si>
    <t>INFOCUS / INI24STX</t>
  </si>
  <si>
    <t>02.07.01.01.003</t>
  </si>
  <si>
    <t>Buatan Lokal / kayu kaca</t>
  </si>
  <si>
    <t>Mutasi Ke Bagian Kesra</t>
  </si>
  <si>
    <t>BARANG MUTASI</t>
  </si>
  <si>
    <t>Milik Bagian Umum Setda</t>
  </si>
  <si>
    <t>BARANG YANG MASIH HARUS DICARI</t>
  </si>
  <si>
    <t>Sdh dilelang 2019</t>
  </si>
  <si>
    <t>Ex Atan</t>
  </si>
  <si>
    <t>Depan Bid Ideologi</t>
  </si>
  <si>
    <t>Depan Bid Hansenibud</t>
  </si>
  <si>
    <t>Ibu Yani</t>
  </si>
  <si>
    <t>Riyan</t>
  </si>
  <si>
    <t>Arin</t>
  </si>
  <si>
    <t>Bu Jannah</t>
  </si>
  <si>
    <t>Olip</t>
  </si>
  <si>
    <t>Adit</t>
  </si>
  <si>
    <t>Rini</t>
  </si>
  <si>
    <t>Lutfi</t>
  </si>
  <si>
    <t>Ibu Sanah</t>
  </si>
  <si>
    <t>Ibu Jannah</t>
  </si>
  <si>
    <t>Inu Yani</t>
  </si>
  <si>
    <t>bu Jannah</t>
  </si>
  <si>
    <t>Adir</t>
  </si>
  <si>
    <t>Aan</t>
  </si>
  <si>
    <t>Baitie</t>
  </si>
  <si>
    <t>Bu Yani</t>
  </si>
  <si>
    <t>Bu Hanna</t>
  </si>
  <si>
    <t>Untung</t>
  </si>
  <si>
    <t>Bu Baity</t>
  </si>
  <si>
    <t>No Name Depan Wasnas</t>
  </si>
  <si>
    <t>Tidak ada padanKIB</t>
  </si>
  <si>
    <t xml:space="preserve">Lemari Kayu </t>
  </si>
  <si>
    <t xml:space="preserve">Buatan Lokal / - </t>
  </si>
  <si>
    <t>ALL RUANGAN</t>
  </si>
  <si>
    <t>Kabid Wasnas</t>
  </si>
  <si>
    <t>Kabid Ideologi</t>
  </si>
  <si>
    <t>Ruang Dapur</t>
  </si>
  <si>
    <t>Ruang Daput</t>
  </si>
  <si>
    <t>Ruang Dapur / Usul Peng- hapusan</t>
  </si>
  <si>
    <t>Ruang Pelayanan</t>
  </si>
  <si>
    <t>Ruang Rapat</t>
  </si>
  <si>
    <t>02.06.04.02.014</t>
  </si>
  <si>
    <t>Selasar</t>
  </si>
  <si>
    <t>Selasar/Selamat</t>
  </si>
  <si>
    <t>Subbag Sunram</t>
  </si>
  <si>
    <t>Subbag Umpeg</t>
  </si>
  <si>
    <t>Subbag Keuangan</t>
  </si>
  <si>
    <t>Ruang Sekretariat (Ex Atan)</t>
  </si>
  <si>
    <t>Ruang Sekretariat (Yanti)</t>
  </si>
  <si>
    <t>Ruang Sekretariat (b Taty)</t>
  </si>
  <si>
    <t>Ruang Sekretariat (Rosy)</t>
  </si>
  <si>
    <t>Ruang Sekretariat (Siska)</t>
  </si>
  <si>
    <t>Ruang Sekretariat (Indra H)</t>
  </si>
  <si>
    <t>Ruang Sekretariat (Indra A)</t>
  </si>
  <si>
    <t>Ruang Sekretariat (Smping bu Taty)</t>
  </si>
  <si>
    <t>Ruang Sekretariat Orerasional</t>
  </si>
  <si>
    <t>Yang</t>
  </si>
  <si>
    <t>-</t>
  </si>
  <si>
    <t xml:space="preserve">1992, 1994,2000, 2008, 2009, 2012, 2013, 2014, </t>
  </si>
  <si>
    <t>0003 &amp; 0005</t>
  </si>
  <si>
    <t>;0011</t>
  </si>
  <si>
    <t>;0001 &amp; 0002</t>
  </si>
  <si>
    <t>;0001</t>
  </si>
  <si>
    <t>Banjarmasin, 1  Juli 2021</t>
  </si>
  <si>
    <t xml:space="preserve">No. Kode Barang </t>
  </si>
  <si>
    <t xml:space="preserve">Indra H </t>
  </si>
  <si>
    <t>- / Warna Crean</t>
  </si>
  <si>
    <t>-/Warna Cream</t>
  </si>
  <si>
    <t>Indachi / D910</t>
  </si>
  <si>
    <t>Indachi / D920</t>
  </si>
  <si>
    <t>EPSON / L120</t>
  </si>
  <si>
    <t>1997</t>
  </si>
  <si>
    <t>2014</t>
  </si>
  <si>
    <t>2017</t>
  </si>
  <si>
    <t>;2017</t>
  </si>
  <si>
    <t>Kabid Kewaspadaan Nasional</t>
  </si>
  <si>
    <t>Indachi</t>
  </si>
  <si>
    <t>02.06.03.01.037</t>
  </si>
  <si>
    <t>usulan penghapusan</t>
  </si>
  <si>
    <t>barang sudah pindah</t>
  </si>
  <si>
    <t>sudah dipindahkan</t>
  </si>
  <si>
    <t>02.05.02.04.002</t>
  </si>
  <si>
    <t>barang dipinjam bidang</t>
  </si>
  <si>
    <t>Filling kabinet</t>
  </si>
  <si>
    <t>BROTHER</t>
  </si>
  <si>
    <t>barang sudah dipindahkan</t>
  </si>
  <si>
    <t>Barang sudah dipindahkan</t>
  </si>
  <si>
    <t>Barang di pinjamkan ke staf</t>
  </si>
  <si>
    <t>Filing Kabinet</t>
  </si>
  <si>
    <t>barang dipinjamkan ke staf</t>
  </si>
  <si>
    <t>Barang Baru</t>
  </si>
  <si>
    <t xml:space="preserve">Ruang Sekretariat </t>
  </si>
  <si>
    <t>Kepala Bakesbangpol Kota Banjarmasin,</t>
  </si>
  <si>
    <t>Dr. H. LUKMAN FADLUN, SH, MH</t>
  </si>
  <si>
    <t>NIP. 19691013 200003 1 004</t>
  </si>
  <si>
    <t>Banjarmasin,        Desember 2025</t>
  </si>
  <si>
    <t>TRISNAWATI M ULYO HAPSARI, SE</t>
  </si>
  <si>
    <t>NIP. 19721124 200604 2 005</t>
  </si>
  <si>
    <t>Banjarmasin,     Desember 2025</t>
  </si>
  <si>
    <t>Banjarmasin,      Desember 2025</t>
  </si>
  <si>
    <t>Pengurus Barang,</t>
  </si>
  <si>
    <t>Banjarmasin,    Desember 2025</t>
  </si>
  <si>
    <t>Banjarmasin,    Dersember 2025</t>
  </si>
  <si>
    <t>Banjarmasin,   Desember 2025</t>
  </si>
  <si>
    <t>Banjarmasin,       Desember 2025</t>
  </si>
  <si>
    <t>Kursi rapat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</si>
</sst>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name val="Times New Roman"/>
    </font>
    <font>
      <b/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2"/>
      <color rgb="FFFF0000"/>
      <name val="Times New Roman"/>
      <family val="1"/>
    </font>
    <font>
      <i/>
      <sz val="12"/>
      <name val="Times New Roman"/>
      <family val="1"/>
    </font>
    <font>
      <sz val="14"/>
      <name val="Arial"/>
      <family val="2"/>
    </font>
    <font>
      <sz val="12"/>
      <color theme="0"/>
      <name val="Times New Roman"/>
      <family val="1"/>
    </font>
    <font>
      <sz val="14"/>
      <name val="Times New Roman"/>
      <family val="1"/>
    </font>
    <font>
      <b/>
      <sz val="14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name val="Arial"/>
      <family val="2"/>
      <charset val="1"/>
    </font>
    <font>
      <sz val="14"/>
      <color rgb="FFFF0000"/>
      <name val="Arial"/>
      <family val="2"/>
    </font>
    <font>
      <sz val="14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9">
    <xf numFmtId="0" fontId="0" fillId="0" borderId="0" xfId="0"/>
    <xf numFmtId="0" fontId="1" fillId="0" borderId="0" xfId="0" applyFon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 vertical="top"/>
    </xf>
    <xf numFmtId="0" fontId="0" fillId="0" borderId="2" xfId="0" quotePrefix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wrapText="1"/>
    </xf>
    <xf numFmtId="0" fontId="3" fillId="0" borderId="2" xfId="0" quotePrefix="1" applyFont="1" applyBorder="1" applyAlignment="1">
      <alignment horizontal="center" vertical="top"/>
    </xf>
    <xf numFmtId="0" fontId="3" fillId="0" borderId="2" xfId="0" applyFont="1" applyBorder="1"/>
    <xf numFmtId="0" fontId="3" fillId="0" borderId="0" xfId="0" applyFont="1"/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4" fontId="0" fillId="0" borderId="2" xfId="0" applyNumberFormat="1" applyBorder="1" applyAlignment="1">
      <alignment horizontal="right" vertical="top"/>
    </xf>
    <xf numFmtId="4" fontId="3" fillId="0" borderId="2" xfId="0" applyNumberFormat="1" applyFont="1" applyBorder="1" applyAlignment="1">
      <alignment horizontal="right" vertical="top"/>
    </xf>
    <xf numFmtId="0" fontId="4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2" xfId="0" applyFont="1" applyBorder="1" applyAlignment="1">
      <alignment vertical="top" wrapText="1"/>
    </xf>
    <xf numFmtId="0" fontId="0" fillId="0" borderId="2" xfId="0" applyBorder="1" applyAlignment="1">
      <alignment vertical="top"/>
    </xf>
    <xf numFmtId="37" fontId="0" fillId="0" borderId="2" xfId="0" applyNumberFormat="1" applyBorder="1" applyAlignment="1">
      <alignment horizontal="right" vertical="top"/>
    </xf>
    <xf numFmtId="0" fontId="7" fillId="0" borderId="0" xfId="0" applyFont="1"/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vertical="top"/>
    </xf>
    <xf numFmtId="37" fontId="3" fillId="0" borderId="2" xfId="0" applyNumberFormat="1" applyFont="1" applyBorder="1" applyAlignment="1">
      <alignment horizontal="center" vertical="top"/>
    </xf>
    <xf numFmtId="0" fontId="3" fillId="0" borderId="2" xfId="0" applyFont="1" applyBorder="1" applyAlignment="1">
      <alignment horizontal="center" wrapText="1"/>
    </xf>
    <xf numFmtId="0" fontId="8" fillId="0" borderId="2" xfId="0" applyFont="1" applyBorder="1"/>
    <xf numFmtId="0" fontId="8" fillId="0" borderId="2" xfId="0" applyFont="1" applyBorder="1" applyAlignment="1">
      <alignment horizontal="center" vertical="top"/>
    </xf>
    <xf numFmtId="0" fontId="8" fillId="0" borderId="2" xfId="0" applyFont="1" applyBorder="1" applyAlignment="1">
      <alignment vertical="top" wrapText="1"/>
    </xf>
    <xf numFmtId="0" fontId="3" fillId="0" borderId="2" xfId="0" quotePrefix="1" applyFont="1" applyBorder="1" applyAlignment="1">
      <alignment wrapText="1"/>
    </xf>
    <xf numFmtId="0" fontId="0" fillId="2" borderId="2" xfId="0" applyFill="1" applyBorder="1" applyAlignment="1">
      <alignment horizontal="center" vertical="top"/>
    </xf>
    <xf numFmtId="0" fontId="3" fillId="2" borderId="2" xfId="0" applyFont="1" applyFill="1" applyBorder="1" applyAlignment="1">
      <alignment vertical="top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/>
    </xf>
    <xf numFmtId="0" fontId="3" fillId="2" borderId="2" xfId="0" quotePrefix="1" applyFont="1" applyFill="1" applyBorder="1" applyAlignment="1">
      <alignment horizontal="center" vertical="top"/>
    </xf>
    <xf numFmtId="0" fontId="8" fillId="2" borderId="2" xfId="0" applyFont="1" applyFill="1" applyBorder="1"/>
    <xf numFmtId="0" fontId="0" fillId="2" borderId="2" xfId="0" applyFill="1" applyBorder="1"/>
    <xf numFmtId="0" fontId="2" fillId="0" borderId="2" xfId="0" applyFont="1" applyBorder="1" applyAlignment="1">
      <alignment horizontal="center" vertical="top"/>
    </xf>
    <xf numFmtId="0" fontId="3" fillId="2" borderId="2" xfId="0" applyFont="1" applyFill="1" applyBorder="1" applyAlignment="1">
      <alignment wrapText="1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vertical="top" wrapText="1"/>
    </xf>
    <xf numFmtId="0" fontId="8" fillId="0" borderId="2" xfId="0" applyFont="1" applyBorder="1" applyAlignment="1">
      <alignment vertical="top"/>
    </xf>
    <xf numFmtId="37" fontId="0" fillId="0" borderId="2" xfId="0" applyNumberFormat="1" applyBorder="1" applyAlignment="1">
      <alignment horizontal="center"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2" xfId="0" applyFill="1" applyBorder="1" applyAlignment="1">
      <alignment wrapText="1"/>
    </xf>
    <xf numFmtId="0" fontId="0" fillId="2" borderId="2" xfId="0" quotePrefix="1" applyFill="1" applyBorder="1" applyAlignment="1">
      <alignment horizontal="center" vertical="top"/>
    </xf>
    <xf numFmtId="37" fontId="0" fillId="2" borderId="2" xfId="0" applyNumberFormat="1" applyFill="1" applyBorder="1" applyAlignment="1">
      <alignment horizontal="right" vertical="top"/>
    </xf>
    <xf numFmtId="0" fontId="3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vertical="top" wrapText="1"/>
    </xf>
    <xf numFmtId="0" fontId="0" fillId="2" borderId="2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4" fontId="3" fillId="2" borderId="2" xfId="0" applyNumberFormat="1" applyFont="1" applyFill="1" applyBorder="1" applyAlignment="1">
      <alignment horizontal="right" vertical="top"/>
    </xf>
    <xf numFmtId="4" fontId="0" fillId="2" borderId="2" xfId="0" applyNumberFormat="1" applyFill="1" applyBorder="1" applyAlignment="1">
      <alignment horizontal="right"/>
    </xf>
    <xf numFmtId="4" fontId="3" fillId="2" borderId="2" xfId="0" applyNumberFormat="1" applyFont="1" applyFill="1" applyBorder="1" applyAlignment="1">
      <alignment vertical="top"/>
    </xf>
    <xf numFmtId="0" fontId="0" fillId="0" borderId="0" xfId="0" applyBorder="1" applyAlignment="1">
      <alignment horizontal="center" vertical="top"/>
    </xf>
    <xf numFmtId="0" fontId="3" fillId="0" borderId="0" xfId="0" applyFont="1" applyBorder="1" applyAlignment="1">
      <alignment horizontal="left" vertical="top"/>
    </xf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vertical="top"/>
    </xf>
    <xf numFmtId="0" fontId="3" fillId="0" borderId="0" xfId="0" applyFont="1" applyBorder="1" applyAlignment="1">
      <alignment horizontal="center" vertical="top"/>
    </xf>
    <xf numFmtId="0" fontId="3" fillId="0" borderId="0" xfId="0" quotePrefix="1" applyFont="1" applyBorder="1" applyAlignment="1">
      <alignment horizontal="center" vertical="top"/>
    </xf>
    <xf numFmtId="4" fontId="3" fillId="0" borderId="0" xfId="0" applyNumberFormat="1" applyFont="1" applyBorder="1" applyAlignment="1">
      <alignment horizontal="right" vertical="top"/>
    </xf>
    <xf numFmtId="0" fontId="0" fillId="0" borderId="7" xfId="0" applyBorder="1" applyAlignment="1">
      <alignment horizontal="center" vertical="top"/>
    </xf>
    <xf numFmtId="0" fontId="3" fillId="0" borderId="7" xfId="0" applyFont="1" applyBorder="1" applyAlignment="1">
      <alignment horizontal="left" vertical="top"/>
    </xf>
    <xf numFmtId="0" fontId="0" fillId="0" borderId="7" xfId="0" applyBorder="1"/>
    <xf numFmtId="0" fontId="3" fillId="0" borderId="7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/>
    </xf>
    <xf numFmtId="0" fontId="3" fillId="0" borderId="7" xfId="0" quotePrefix="1" applyFont="1" applyBorder="1" applyAlignment="1">
      <alignment horizontal="center" vertical="top"/>
    </xf>
    <xf numFmtId="0" fontId="0" fillId="0" borderId="0" xfId="0" applyBorder="1"/>
    <xf numFmtId="0" fontId="3" fillId="0" borderId="0" xfId="0" applyFont="1" applyBorder="1" applyAlignment="1">
      <alignment horizontal="center" vertical="top" wrapText="1"/>
    </xf>
    <xf numFmtId="0" fontId="0" fillId="0" borderId="8" xfId="0" applyBorder="1" applyAlignment="1">
      <alignment horizontal="center" vertical="top"/>
    </xf>
    <xf numFmtId="0" fontId="3" fillId="0" borderId="8" xfId="0" applyFont="1" applyBorder="1" applyAlignment="1">
      <alignment horizontal="left" vertical="top"/>
    </xf>
    <xf numFmtId="0" fontId="3" fillId="0" borderId="8" xfId="0" applyFont="1" applyBorder="1" applyAlignment="1">
      <alignment vertical="top" wrapText="1"/>
    </xf>
    <xf numFmtId="0" fontId="0" fillId="0" borderId="8" xfId="0" applyBorder="1"/>
    <xf numFmtId="0" fontId="3" fillId="0" borderId="8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/>
    </xf>
    <xf numFmtId="0" fontId="3" fillId="0" borderId="8" xfId="0" quotePrefix="1" applyFont="1" applyBorder="1" applyAlignment="1">
      <alignment horizontal="center" vertical="top"/>
    </xf>
    <xf numFmtId="0" fontId="3" fillId="0" borderId="0" xfId="0" applyFont="1" applyBorder="1"/>
    <xf numFmtId="39" fontId="3" fillId="0" borderId="2" xfId="0" applyNumberFormat="1" applyFont="1" applyBorder="1" applyAlignment="1">
      <alignment horizontal="right" vertical="top"/>
    </xf>
    <xf numFmtId="4" fontId="0" fillId="2" borderId="2" xfId="0" applyNumberFormat="1" applyFill="1" applyBorder="1" applyAlignment="1">
      <alignment horizontal="right" vertical="top"/>
    </xf>
    <xf numFmtId="0" fontId="3" fillId="2" borderId="2" xfId="0" quotePrefix="1" applyFont="1" applyFill="1" applyBorder="1" applyAlignment="1">
      <alignment horizontal="center" wrapText="1"/>
    </xf>
    <xf numFmtId="0" fontId="0" fillId="0" borderId="3" xfId="0" applyBorder="1" applyAlignment="1">
      <alignment horizontal="center" vertical="top"/>
    </xf>
    <xf numFmtId="0" fontId="3" fillId="2" borderId="2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2" borderId="0" xfId="0" applyFill="1" applyBorder="1" applyAlignment="1">
      <alignment horizontal="left" vertical="top"/>
    </xf>
    <xf numFmtId="0" fontId="3" fillId="0" borderId="0" xfId="0" applyFont="1" applyBorder="1" applyAlignment="1">
      <alignment wrapText="1"/>
    </xf>
    <xf numFmtId="0" fontId="3" fillId="0" borderId="7" xfId="0" applyFont="1" applyBorder="1" applyAlignment="1">
      <alignment horizontal="left" vertical="top" wrapText="1"/>
    </xf>
    <xf numFmtId="4" fontId="0" fillId="0" borderId="7" xfId="0" applyNumberFormat="1" applyBorder="1" applyAlignment="1">
      <alignment horizontal="right" vertical="top"/>
    </xf>
    <xf numFmtId="0" fontId="3" fillId="0" borderId="0" xfId="0" applyFont="1" applyBorder="1" applyAlignment="1">
      <alignment horizontal="left" vertical="top" wrapText="1"/>
    </xf>
    <xf numFmtId="4" fontId="0" fillId="0" borderId="0" xfId="0" applyNumberFormat="1" applyBorder="1" applyAlignment="1">
      <alignment horizontal="right" vertical="top"/>
    </xf>
    <xf numFmtId="4" fontId="0" fillId="0" borderId="8" xfId="0" applyNumberFormat="1" applyBorder="1" applyAlignment="1">
      <alignment horizontal="right" vertical="top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center"/>
    </xf>
    <xf numFmtId="0" fontId="2" fillId="0" borderId="0" xfId="0" applyFont="1"/>
    <xf numFmtId="0" fontId="3" fillId="2" borderId="2" xfId="0" applyFont="1" applyFill="1" applyBorder="1" applyAlignment="1">
      <alignment vertical="top"/>
    </xf>
    <xf numFmtId="0" fontId="0" fillId="0" borderId="0" xfId="0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8" xfId="0" applyBorder="1" applyAlignment="1">
      <alignment vertical="top"/>
    </xf>
    <xf numFmtId="0" fontId="3" fillId="0" borderId="8" xfId="0" applyFont="1" applyBorder="1"/>
    <xf numFmtId="4" fontId="3" fillId="0" borderId="8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0" borderId="2" xfId="0" quotePrefix="1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3" fillId="2" borderId="0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wrapText="1"/>
    </xf>
    <xf numFmtId="0" fontId="3" fillId="2" borderId="0" xfId="0" applyFont="1" applyFill="1" applyBorder="1"/>
    <xf numFmtId="0" fontId="3" fillId="2" borderId="0" xfId="0" quotePrefix="1" applyFont="1" applyFill="1" applyBorder="1" applyAlignment="1">
      <alignment horizontal="center" vertical="top"/>
    </xf>
    <xf numFmtId="4" fontId="3" fillId="2" borderId="0" xfId="0" applyNumberFormat="1" applyFont="1" applyFill="1" applyBorder="1" applyAlignment="1">
      <alignment horizontal="center" vertical="top"/>
    </xf>
    <xf numFmtId="0" fontId="3" fillId="2" borderId="7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wrapText="1"/>
    </xf>
    <xf numFmtId="0" fontId="3" fillId="2" borderId="7" xfId="0" applyFont="1" applyFill="1" applyBorder="1"/>
    <xf numFmtId="0" fontId="3" fillId="2" borderId="7" xfId="0" applyFont="1" applyFill="1" applyBorder="1" applyAlignment="1">
      <alignment horizontal="center" vertical="top"/>
    </xf>
    <xf numFmtId="0" fontId="3" fillId="2" borderId="7" xfId="0" quotePrefix="1" applyFont="1" applyFill="1" applyBorder="1" applyAlignment="1">
      <alignment horizontal="center" vertical="top"/>
    </xf>
    <xf numFmtId="4" fontId="3" fillId="2" borderId="7" xfId="0" applyNumberFormat="1" applyFont="1" applyFill="1" applyBorder="1" applyAlignment="1">
      <alignment horizontal="right" vertical="top"/>
    </xf>
    <xf numFmtId="4" fontId="3" fillId="2" borderId="0" xfId="0" applyNumberFormat="1" applyFont="1" applyFill="1" applyBorder="1" applyAlignment="1">
      <alignment horizontal="right" vertical="top"/>
    </xf>
    <xf numFmtId="0" fontId="3" fillId="2" borderId="8" xfId="0" applyFont="1" applyFill="1" applyBorder="1" applyAlignment="1">
      <alignment horizontal="left" vertical="top"/>
    </xf>
    <xf numFmtId="0" fontId="3" fillId="2" borderId="8" xfId="0" applyFont="1" applyFill="1" applyBorder="1" applyAlignment="1">
      <alignment wrapText="1"/>
    </xf>
    <xf numFmtId="0" fontId="3" fillId="2" borderId="8" xfId="0" applyFont="1" applyFill="1" applyBorder="1"/>
    <xf numFmtId="0" fontId="3" fillId="2" borderId="8" xfId="0" applyFont="1" applyFill="1" applyBorder="1" applyAlignment="1">
      <alignment horizontal="center" vertical="top"/>
    </xf>
    <xf numFmtId="0" fontId="3" fillId="2" borderId="8" xfId="0" quotePrefix="1" applyFont="1" applyFill="1" applyBorder="1" applyAlignment="1">
      <alignment horizontal="center" vertical="top"/>
    </xf>
    <xf numFmtId="4" fontId="3" fillId="2" borderId="8" xfId="0" applyNumberFormat="1" applyFont="1" applyFill="1" applyBorder="1" applyAlignment="1">
      <alignment horizontal="right" vertical="top"/>
    </xf>
    <xf numFmtId="0" fontId="8" fillId="0" borderId="2" xfId="0" quotePrefix="1" applyFont="1" applyBorder="1" applyAlignment="1">
      <alignment horizontal="center" vertical="top"/>
    </xf>
    <xf numFmtId="4" fontId="8" fillId="0" borderId="2" xfId="0" applyNumberFormat="1" applyFont="1" applyBorder="1" applyAlignment="1">
      <alignment horizontal="right" vertical="top"/>
    </xf>
    <xf numFmtId="0" fontId="0" fillId="0" borderId="3" xfId="0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39" fontId="0" fillId="0" borderId="2" xfId="0" applyNumberFormat="1" applyBorder="1" applyAlignment="1">
      <alignment horizontal="right" vertical="top"/>
    </xf>
    <xf numFmtId="39" fontId="3" fillId="2" borderId="2" xfId="0" applyNumberFormat="1" applyFont="1" applyFill="1" applyBorder="1" applyAlignment="1">
      <alignment horizontal="right" vertical="top"/>
    </xf>
    <xf numFmtId="39" fontId="0" fillId="2" borderId="2" xfId="0" applyNumberFormat="1" applyFill="1" applyBorder="1" applyAlignment="1">
      <alignment horizontal="right" vertical="top"/>
    </xf>
    <xf numFmtId="0" fontId="0" fillId="0" borderId="3" xfId="0" applyBorder="1" applyAlignment="1">
      <alignment vertical="top"/>
    </xf>
    <xf numFmtId="0" fontId="2" fillId="0" borderId="0" xfId="0" applyFont="1" applyBorder="1" applyAlignment="1">
      <alignment horizontal="center" vertical="top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vertical="top" wrapText="1"/>
    </xf>
    <xf numFmtId="0" fontId="3" fillId="2" borderId="0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2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left" vertical="top" wrapText="1"/>
    </xf>
    <xf numFmtId="0" fontId="0" fillId="2" borderId="2" xfId="0" applyFill="1" applyBorder="1" applyAlignment="1"/>
    <xf numFmtId="0" fontId="3" fillId="2" borderId="2" xfId="0" quotePrefix="1" applyFont="1" applyFill="1" applyBorder="1" applyAlignment="1">
      <alignment vertical="top" wrapText="1"/>
    </xf>
    <xf numFmtId="37" fontId="3" fillId="0" borderId="2" xfId="0" applyNumberFormat="1" applyFont="1" applyBorder="1" applyAlignment="1">
      <alignment horizontal="right" vertical="top"/>
    </xf>
    <xf numFmtId="37" fontId="3" fillId="2" borderId="2" xfId="0" applyNumberFormat="1" applyFont="1" applyFill="1" applyBorder="1" applyAlignment="1">
      <alignment horizontal="right" vertical="top"/>
    </xf>
    <xf numFmtId="0" fontId="3" fillId="3" borderId="2" xfId="0" applyFont="1" applyFill="1" applyBorder="1" applyAlignment="1">
      <alignment wrapText="1"/>
    </xf>
    <xf numFmtId="0" fontId="3" fillId="3" borderId="2" xfId="0" applyFont="1" applyFill="1" applyBorder="1"/>
    <xf numFmtId="0" fontId="3" fillId="3" borderId="2" xfId="0" applyFont="1" applyFill="1" applyBorder="1" applyAlignment="1">
      <alignment horizontal="center" vertical="top"/>
    </xf>
    <xf numFmtId="0" fontId="3" fillId="3" borderId="2" xfId="0" quotePrefix="1" applyFont="1" applyFill="1" applyBorder="1" applyAlignment="1">
      <alignment horizontal="center" vertical="top"/>
    </xf>
    <xf numFmtId="4" fontId="3" fillId="3" borderId="2" xfId="0" applyNumberFormat="1" applyFont="1" applyFill="1" applyBorder="1" applyAlignment="1">
      <alignment horizontal="right" vertical="top"/>
    </xf>
    <xf numFmtId="0" fontId="3" fillId="3" borderId="2" xfId="0" applyFont="1" applyFill="1" applyBorder="1" applyAlignment="1">
      <alignment vertical="top" wrapText="1"/>
    </xf>
    <xf numFmtId="0" fontId="3" fillId="3" borderId="2" xfId="0" applyFont="1" applyFill="1" applyBorder="1" applyAlignment="1">
      <alignment horizontal="center" vertical="top" wrapText="1"/>
    </xf>
    <xf numFmtId="0" fontId="0" fillId="3" borderId="2" xfId="0" applyFill="1" applyBorder="1"/>
    <xf numFmtId="0" fontId="3" fillId="3" borderId="2" xfId="0" applyFont="1" applyFill="1" applyBorder="1" applyAlignment="1">
      <alignment vertical="top"/>
    </xf>
    <xf numFmtId="0" fontId="0" fillId="0" borderId="2" xfId="0" applyBorder="1" applyAlignment="1">
      <alignment wrapText="1"/>
    </xf>
    <xf numFmtId="39" fontId="3" fillId="3" borderId="2" xfId="0" applyNumberFormat="1" applyFont="1" applyFill="1" applyBorder="1" applyAlignment="1">
      <alignment horizontal="right" vertical="top"/>
    </xf>
    <xf numFmtId="0" fontId="0" fillId="3" borderId="2" xfId="0" applyFill="1" applyBorder="1" applyAlignment="1">
      <alignment vertical="top" wrapText="1"/>
    </xf>
    <xf numFmtId="0" fontId="2" fillId="0" borderId="8" xfId="0" applyFont="1" applyBorder="1" applyAlignment="1">
      <alignment horizontal="center" vertical="top"/>
    </xf>
    <xf numFmtId="0" fontId="3" fillId="0" borderId="8" xfId="0" applyFont="1" applyBorder="1" applyAlignment="1">
      <alignment wrapText="1"/>
    </xf>
    <xf numFmtId="0" fontId="3" fillId="2" borderId="7" xfId="0" applyFont="1" applyFill="1" applyBorder="1" applyAlignment="1">
      <alignment vertical="top" wrapText="1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3" fillId="2" borderId="8" xfId="0" applyFont="1" applyFill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37" fontId="0" fillId="0" borderId="0" xfId="0" applyNumberFormat="1" applyBorder="1" applyAlignment="1">
      <alignment horizontal="right" vertical="top"/>
    </xf>
    <xf numFmtId="37" fontId="0" fillId="0" borderId="8" xfId="0" applyNumberFormat="1" applyBorder="1" applyAlignment="1">
      <alignment horizontal="right" vertical="top"/>
    </xf>
    <xf numFmtId="0" fontId="8" fillId="2" borderId="0" xfId="0" applyFont="1" applyFill="1" applyBorder="1"/>
    <xf numFmtId="0" fontId="3" fillId="2" borderId="0" xfId="0" applyFont="1" applyFill="1" applyBorder="1" applyAlignment="1">
      <alignment vertical="top"/>
    </xf>
    <xf numFmtId="0" fontId="3" fillId="2" borderId="8" xfId="0" applyFont="1" applyFill="1" applyBorder="1" applyAlignment="1">
      <alignment horizontal="center" vertical="top" wrapText="1"/>
    </xf>
    <xf numFmtId="0" fontId="8" fillId="2" borderId="8" xfId="0" applyFont="1" applyFill="1" applyBorder="1"/>
    <xf numFmtId="0" fontId="3" fillId="2" borderId="8" xfId="0" applyFont="1" applyFill="1" applyBorder="1" applyAlignment="1">
      <alignment vertical="top"/>
    </xf>
    <xf numFmtId="0" fontId="0" fillId="2" borderId="0" xfId="0" applyFill="1" applyBorder="1" applyAlignment="1">
      <alignment vertical="top"/>
    </xf>
    <xf numFmtId="0" fontId="0" fillId="2" borderId="0" xfId="0" applyFill="1" applyBorder="1" applyAlignment="1">
      <alignment horizontal="center" vertical="top"/>
    </xf>
    <xf numFmtId="0" fontId="0" fillId="2" borderId="0" xfId="0" quotePrefix="1" applyFill="1" applyBorder="1" applyAlignment="1">
      <alignment horizontal="center" vertical="top"/>
    </xf>
    <xf numFmtId="39" fontId="0" fillId="2" borderId="0" xfId="0" applyNumberFormat="1" applyFill="1" applyBorder="1" applyAlignment="1">
      <alignment horizontal="right" vertical="top"/>
    </xf>
    <xf numFmtId="0" fontId="0" fillId="2" borderId="8" xfId="0" applyFill="1" applyBorder="1" applyAlignment="1">
      <alignment horizontal="left" vertical="top"/>
    </xf>
    <xf numFmtId="0" fontId="0" fillId="2" borderId="8" xfId="0" applyFill="1" applyBorder="1" applyAlignment="1">
      <alignment vertical="top"/>
    </xf>
    <xf numFmtId="0" fontId="0" fillId="2" borderId="8" xfId="0" applyFill="1" applyBorder="1" applyAlignment="1">
      <alignment horizontal="center" vertical="top"/>
    </xf>
    <xf numFmtId="0" fontId="0" fillId="2" borderId="8" xfId="0" quotePrefix="1" applyFill="1" applyBorder="1" applyAlignment="1">
      <alignment horizontal="center" vertical="top"/>
    </xf>
    <xf numFmtId="39" fontId="0" fillId="2" borderId="8" xfId="0" applyNumberFormat="1" applyFill="1" applyBorder="1" applyAlignment="1">
      <alignment horizontal="right" vertical="top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center"/>
    </xf>
    <xf numFmtId="0" fontId="5" fillId="0" borderId="0" xfId="0" applyFont="1"/>
    <xf numFmtId="0" fontId="10" fillId="0" borderId="0" xfId="0" applyFont="1"/>
    <xf numFmtId="0" fontId="10" fillId="0" borderId="0" xfId="0" applyFont="1" applyAlignment="1">
      <alignment vertical="top"/>
    </xf>
    <xf numFmtId="0" fontId="10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5" fillId="0" borderId="0" xfId="0" quotePrefix="1" applyFont="1" applyAlignment="1">
      <alignment vertical="top"/>
    </xf>
    <xf numFmtId="0" fontId="5" fillId="0" borderId="0" xfId="0" quotePrefix="1" applyFont="1" applyAlignment="1">
      <alignment horizontal="center" vertical="top"/>
    </xf>
    <xf numFmtId="0" fontId="0" fillId="0" borderId="0" xfId="0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/>
    </xf>
    <xf numFmtId="0" fontId="3" fillId="2" borderId="1" xfId="0" quotePrefix="1" applyFont="1" applyFill="1" applyBorder="1" applyAlignment="1">
      <alignment horizontal="center" vertical="top"/>
    </xf>
    <xf numFmtId="4" fontId="3" fillId="2" borderId="1" xfId="0" applyNumberFormat="1" applyFont="1" applyFill="1" applyBorder="1" applyAlignment="1">
      <alignment horizontal="right" vertical="top"/>
    </xf>
    <xf numFmtId="0" fontId="3" fillId="0" borderId="1" xfId="0" applyFont="1" applyBorder="1" applyAlignment="1">
      <alignment vertical="top"/>
    </xf>
    <xf numFmtId="4" fontId="11" fillId="2" borderId="7" xfId="0" applyNumberFormat="1" applyFont="1" applyFill="1" applyBorder="1" applyAlignment="1">
      <alignment horizontal="right" vertical="top"/>
    </xf>
    <xf numFmtId="4" fontId="11" fillId="0" borderId="7" xfId="0" applyNumberFormat="1" applyFont="1" applyBorder="1"/>
    <xf numFmtId="4" fontId="11" fillId="0" borderId="0" xfId="0" applyNumberFormat="1" applyFont="1"/>
    <xf numFmtId="39" fontId="11" fillId="0" borderId="0" xfId="0" applyNumberFormat="1" applyFont="1"/>
    <xf numFmtId="4" fontId="11" fillId="0" borderId="0" xfId="0" applyNumberFormat="1" applyFont="1" applyBorder="1"/>
    <xf numFmtId="0" fontId="11" fillId="2" borderId="0" xfId="0" quotePrefix="1" applyFont="1" applyFill="1" applyBorder="1" applyAlignment="1">
      <alignment horizontal="center" vertical="top"/>
    </xf>
    <xf numFmtId="4" fontId="11" fillId="2" borderId="0" xfId="0" applyNumberFormat="1" applyFont="1" applyFill="1" applyBorder="1" applyAlignment="1">
      <alignment horizontal="right" vertical="top"/>
    </xf>
    <xf numFmtId="39" fontId="11" fillId="2" borderId="7" xfId="0" quotePrefix="1" applyNumberFormat="1" applyFont="1" applyFill="1" applyBorder="1" applyAlignment="1">
      <alignment horizontal="center" vertical="top"/>
    </xf>
    <xf numFmtId="4" fontId="11" fillId="2" borderId="12" xfId="0" applyNumberFormat="1" applyFont="1" applyFill="1" applyBorder="1" applyAlignment="1">
      <alignment horizontal="right" vertical="top"/>
    </xf>
    <xf numFmtId="0" fontId="12" fillId="0" borderId="0" xfId="0" applyFont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center"/>
    </xf>
    <xf numFmtId="0" fontId="12" fillId="2" borderId="2" xfId="0" applyFont="1" applyFill="1" applyBorder="1" applyAlignment="1">
      <alignment vertical="top" wrapText="1"/>
    </xf>
    <xf numFmtId="0" fontId="12" fillId="2" borderId="2" xfId="0" applyFont="1" applyFill="1" applyBorder="1"/>
    <xf numFmtId="0" fontId="12" fillId="2" borderId="2" xfId="0" applyFont="1" applyFill="1" applyBorder="1" applyAlignment="1">
      <alignment horizontal="center" vertical="top" wrapText="1"/>
    </xf>
    <xf numFmtId="0" fontId="12" fillId="2" borderId="2" xfId="0" applyFont="1" applyFill="1" applyBorder="1" applyAlignment="1">
      <alignment horizontal="center" vertical="top"/>
    </xf>
    <xf numFmtId="0" fontId="12" fillId="2" borderId="2" xfId="0" quotePrefix="1" applyFont="1" applyFill="1" applyBorder="1" applyAlignment="1">
      <alignment horizontal="center" vertical="top"/>
    </xf>
    <xf numFmtId="4" fontId="12" fillId="2" borderId="2" xfId="0" applyNumberFormat="1" applyFont="1" applyFill="1" applyBorder="1" applyAlignment="1">
      <alignment horizontal="right" vertical="top"/>
    </xf>
    <xf numFmtId="0" fontId="12" fillId="0" borderId="2" xfId="0" applyFont="1" applyBorder="1" applyAlignment="1">
      <alignment horizontal="center" vertical="top"/>
    </xf>
    <xf numFmtId="0" fontId="12" fillId="0" borderId="2" xfId="0" applyFont="1" applyBorder="1" applyAlignment="1">
      <alignment vertical="top" wrapText="1"/>
    </xf>
    <xf numFmtId="0" fontId="12" fillId="0" borderId="2" xfId="0" applyFont="1" applyBorder="1" applyAlignment="1">
      <alignment vertical="top"/>
    </xf>
    <xf numFmtId="0" fontId="12" fillId="0" borderId="2" xfId="0" quotePrefix="1" applyFont="1" applyBorder="1" applyAlignment="1">
      <alignment horizontal="center" vertical="top"/>
    </xf>
    <xf numFmtId="4" fontId="12" fillId="0" borderId="2" xfId="0" applyNumberFormat="1" applyFont="1" applyBorder="1" applyAlignment="1">
      <alignment horizontal="right" vertical="top"/>
    </xf>
    <xf numFmtId="0" fontId="12" fillId="0" borderId="0" xfId="0" applyFont="1" applyBorder="1" applyAlignment="1">
      <alignment horizontal="center" vertical="top"/>
    </xf>
    <xf numFmtId="0" fontId="12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 vertical="top"/>
    </xf>
    <xf numFmtId="0" fontId="13" fillId="0" borderId="3" xfId="0" applyFont="1" applyBorder="1" applyAlignment="1">
      <alignment horizontal="center" vertical="top"/>
    </xf>
    <xf numFmtId="0" fontId="13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top"/>
    </xf>
    <xf numFmtId="0" fontId="10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/>
    </xf>
    <xf numFmtId="0" fontId="10" fillId="0" borderId="2" xfId="0" quotePrefix="1" applyFont="1" applyBorder="1" applyAlignment="1">
      <alignment horizontal="center" vertical="top"/>
    </xf>
    <xf numFmtId="39" fontId="10" fillId="0" borderId="2" xfId="0" applyNumberFormat="1" applyFont="1" applyBorder="1" applyAlignment="1">
      <alignment horizontal="right" vertical="top"/>
    </xf>
    <xf numFmtId="0" fontId="10" fillId="2" borderId="2" xfId="0" applyFont="1" applyFill="1" applyBorder="1" applyAlignment="1">
      <alignment vertical="top" wrapText="1"/>
    </xf>
    <xf numFmtId="0" fontId="10" fillId="2" borderId="2" xfId="0" applyFont="1" applyFill="1" applyBorder="1" applyAlignment="1">
      <alignment vertical="top"/>
    </xf>
    <xf numFmtId="0" fontId="10" fillId="2" borderId="2" xfId="0" applyFont="1" applyFill="1" applyBorder="1" applyAlignment="1">
      <alignment horizontal="center" vertical="top"/>
    </xf>
    <xf numFmtId="0" fontId="10" fillId="2" borderId="2" xfId="0" quotePrefix="1" applyFont="1" applyFill="1" applyBorder="1" applyAlignment="1">
      <alignment horizontal="center" vertical="top"/>
    </xf>
    <xf numFmtId="39" fontId="10" fillId="2" borderId="2" xfId="0" applyNumberFormat="1" applyFont="1" applyFill="1" applyBorder="1" applyAlignment="1">
      <alignment horizontal="right" vertical="top"/>
    </xf>
    <xf numFmtId="37" fontId="10" fillId="2" borderId="2" xfId="0" applyNumberFormat="1" applyFont="1" applyFill="1" applyBorder="1" applyAlignment="1">
      <alignment horizontal="right" vertical="top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4" fontId="10" fillId="0" borderId="2" xfId="0" applyNumberFormat="1" applyFont="1" applyBorder="1" applyAlignment="1">
      <alignment horizontal="right" vertical="top"/>
    </xf>
    <xf numFmtId="0" fontId="10" fillId="0" borderId="2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left" vertical="top"/>
    </xf>
    <xf numFmtId="0" fontId="10" fillId="0" borderId="0" xfId="0" applyFont="1" applyBorder="1" applyAlignment="1">
      <alignment vertical="top" wrapText="1"/>
    </xf>
    <xf numFmtId="0" fontId="10" fillId="0" borderId="0" xfId="0" applyFont="1" applyBorder="1" applyAlignment="1">
      <alignment vertical="top"/>
    </xf>
    <xf numFmtId="0" fontId="10" fillId="0" borderId="0" xfId="0" applyFont="1" applyBorder="1" applyAlignment="1">
      <alignment horizontal="center" vertical="top" wrapText="1"/>
    </xf>
    <xf numFmtId="0" fontId="10" fillId="0" borderId="0" xfId="0" quotePrefix="1" applyFont="1" applyBorder="1" applyAlignment="1">
      <alignment horizontal="center" vertical="top"/>
    </xf>
    <xf numFmtId="4" fontId="10" fillId="0" borderId="0" xfId="0" applyNumberFormat="1" applyFont="1" applyBorder="1" applyAlignment="1">
      <alignment horizontal="right" vertical="top"/>
    </xf>
    <xf numFmtId="4" fontId="10" fillId="0" borderId="2" xfId="0" applyNumberFormat="1" applyFont="1" applyBorder="1" applyAlignment="1">
      <alignment vertical="top"/>
    </xf>
    <xf numFmtId="37" fontId="10" fillId="0" borderId="2" xfId="0" applyNumberFormat="1" applyFont="1" applyBorder="1" applyAlignment="1">
      <alignment horizontal="right" vertical="top"/>
    </xf>
    <xf numFmtId="0" fontId="10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/>
    </xf>
    <xf numFmtId="0" fontId="10" fillId="0" borderId="1" xfId="0" applyFont="1" applyBorder="1" applyAlignment="1">
      <alignment horizontal="center" vertical="top" wrapText="1"/>
    </xf>
    <xf numFmtId="0" fontId="10" fillId="0" borderId="1" xfId="0" quotePrefix="1" applyFont="1" applyBorder="1" applyAlignment="1">
      <alignment horizontal="center" vertical="top"/>
    </xf>
    <xf numFmtId="4" fontId="10" fillId="0" borderId="1" xfId="0" applyNumberFormat="1" applyFont="1" applyBorder="1" applyAlignment="1">
      <alignment horizontal="right" vertical="top"/>
    </xf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0" fillId="0" borderId="15" xfId="0" applyFont="1" applyBorder="1" applyAlignment="1">
      <alignment horizontal="center" vertical="top"/>
    </xf>
    <xf numFmtId="0" fontId="10" fillId="0" borderId="15" xfId="0" applyFont="1" applyBorder="1" applyAlignment="1">
      <alignment horizontal="left" vertical="top"/>
    </xf>
    <xf numFmtId="0" fontId="10" fillId="0" borderId="15" xfId="0" applyFont="1" applyBorder="1" applyAlignment="1">
      <alignment vertical="top" wrapText="1"/>
    </xf>
    <xf numFmtId="0" fontId="10" fillId="0" borderId="15" xfId="0" applyFont="1" applyBorder="1" applyAlignment="1">
      <alignment vertical="top"/>
    </xf>
    <xf numFmtId="0" fontId="10" fillId="0" borderId="15" xfId="0" applyFont="1" applyBorder="1" applyAlignment="1">
      <alignment horizontal="center" vertical="top" wrapText="1"/>
    </xf>
    <xf numFmtId="0" fontId="10" fillId="0" borderId="15" xfId="0" quotePrefix="1" applyFont="1" applyBorder="1" applyAlignment="1">
      <alignment horizontal="center" vertical="top"/>
    </xf>
    <xf numFmtId="4" fontId="10" fillId="0" borderId="15" xfId="0" applyNumberFormat="1" applyFont="1" applyBorder="1" applyAlignment="1">
      <alignment horizontal="right" vertical="top"/>
    </xf>
    <xf numFmtId="0" fontId="10" fillId="0" borderId="16" xfId="0" applyFont="1" applyBorder="1" applyAlignment="1">
      <alignment horizontal="center" vertical="top"/>
    </xf>
    <xf numFmtId="0" fontId="10" fillId="0" borderId="16" xfId="0" applyFont="1" applyBorder="1" applyAlignment="1">
      <alignment horizontal="left" vertical="top"/>
    </xf>
    <xf numFmtId="0" fontId="10" fillId="0" borderId="16" xfId="0" applyFont="1" applyBorder="1" applyAlignment="1">
      <alignment vertical="top" wrapText="1"/>
    </xf>
    <xf numFmtId="0" fontId="10" fillId="0" borderId="16" xfId="0" applyFont="1" applyBorder="1" applyAlignment="1">
      <alignment vertical="top"/>
    </xf>
    <xf numFmtId="0" fontId="10" fillId="0" borderId="16" xfId="0" applyFont="1" applyBorder="1" applyAlignment="1">
      <alignment horizontal="center" vertical="top" wrapText="1"/>
    </xf>
    <xf numFmtId="0" fontId="10" fillId="0" borderId="16" xfId="0" quotePrefix="1" applyFont="1" applyBorder="1" applyAlignment="1">
      <alignment horizontal="center" vertical="top"/>
    </xf>
    <xf numFmtId="4" fontId="10" fillId="0" borderId="16" xfId="0" applyNumberFormat="1" applyFont="1" applyBorder="1" applyAlignment="1">
      <alignment horizontal="right" vertical="top"/>
    </xf>
    <xf numFmtId="0" fontId="13" fillId="0" borderId="3" xfId="0" applyFont="1" applyBorder="1" applyAlignment="1">
      <alignment horizontal="center" vertical="top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0" xfId="0" applyFont="1" applyAlignment="1">
      <alignment vertical="center"/>
    </xf>
    <xf numFmtId="0" fontId="13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top"/>
    </xf>
    <xf numFmtId="0" fontId="13" fillId="0" borderId="4" xfId="0" applyFont="1" applyBorder="1" applyAlignment="1">
      <alignment horizontal="center" vertical="top"/>
    </xf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0" xfId="0" applyFont="1"/>
    <xf numFmtId="0" fontId="16" fillId="0" borderId="0" xfId="0" applyFont="1"/>
    <xf numFmtId="0" fontId="10" fillId="0" borderId="3" xfId="0" applyFont="1" applyBorder="1" applyAlignment="1">
      <alignment horizontal="center" vertical="top"/>
    </xf>
    <xf numFmtId="0" fontId="17" fillId="0" borderId="2" xfId="0" applyFont="1" applyBorder="1" applyAlignment="1">
      <alignment vertical="top"/>
    </xf>
    <xf numFmtId="0" fontId="10" fillId="0" borderId="2" xfId="0" applyFont="1" applyBorder="1"/>
    <xf numFmtId="0" fontId="10" fillId="0" borderId="2" xfId="0" applyFont="1" applyBorder="1" applyAlignment="1">
      <alignment horizontal="center" wrapText="1"/>
    </xf>
    <xf numFmtId="0" fontId="17" fillId="0" borderId="2" xfId="0" applyFont="1" applyBorder="1"/>
    <xf numFmtId="0" fontId="10" fillId="0" borderId="2" xfId="0" applyFont="1" applyBorder="1" applyAlignment="1">
      <alignment wrapText="1"/>
    </xf>
    <xf numFmtId="0" fontId="13" fillId="0" borderId="0" xfId="0" applyFont="1" applyAlignment="1">
      <alignment horizontal="left"/>
    </xf>
    <xf numFmtId="0" fontId="10" fillId="2" borderId="2" xfId="0" applyFont="1" applyFill="1" applyBorder="1" applyAlignment="1">
      <alignment horizontal="center" vertical="top" wrapText="1"/>
    </xf>
    <xf numFmtId="4" fontId="10" fillId="2" borderId="2" xfId="0" applyNumberFormat="1" applyFont="1" applyFill="1" applyBorder="1" applyAlignment="1">
      <alignment horizontal="right" vertical="top"/>
    </xf>
    <xf numFmtId="0" fontId="10" fillId="0" borderId="3" xfId="0" applyFont="1" applyBorder="1" applyAlignment="1">
      <alignment vertical="top"/>
    </xf>
    <xf numFmtId="37" fontId="10" fillId="0" borderId="2" xfId="0" applyNumberFormat="1" applyFont="1" applyBorder="1" applyAlignment="1">
      <alignment horizontal="center" vertical="top"/>
    </xf>
    <xf numFmtId="0" fontId="10" fillId="0" borderId="2" xfId="0" quotePrefix="1" applyFont="1" applyBorder="1" applyAlignment="1">
      <alignment vertical="top" wrapText="1"/>
    </xf>
    <xf numFmtId="0" fontId="10" fillId="0" borderId="2" xfId="0" quotePrefix="1" applyFont="1" applyBorder="1" applyAlignment="1">
      <alignment wrapText="1"/>
    </xf>
    <xf numFmtId="0" fontId="10" fillId="2" borderId="2" xfId="0" applyFont="1" applyFill="1" applyBorder="1" applyAlignment="1">
      <alignment wrapText="1"/>
    </xf>
    <xf numFmtId="0" fontId="10" fillId="2" borderId="2" xfId="0" applyFont="1" applyFill="1" applyBorder="1"/>
    <xf numFmtId="0" fontId="17" fillId="2" borderId="2" xfId="0" applyFont="1" applyFill="1" applyBorder="1"/>
    <xf numFmtId="0" fontId="10" fillId="2" borderId="2" xfId="0" quotePrefix="1" applyFont="1" applyFill="1" applyBorder="1" applyAlignment="1">
      <alignment wrapText="1"/>
    </xf>
    <xf numFmtId="0" fontId="10" fillId="2" borderId="2" xfId="0" applyFont="1" applyFill="1" applyBorder="1" applyAlignment="1">
      <alignment horizontal="left" vertical="top" wrapText="1"/>
    </xf>
    <xf numFmtId="0" fontId="13" fillId="0" borderId="7" xfId="0" applyFont="1" applyBorder="1" applyAlignment="1">
      <alignment horizontal="center" vertical="top"/>
    </xf>
    <xf numFmtId="0" fontId="10" fillId="0" borderId="7" xfId="0" applyFont="1" applyBorder="1"/>
    <xf numFmtId="0" fontId="10" fillId="2" borderId="2" xfId="0" applyFont="1" applyFill="1" applyBorder="1" applyAlignment="1">
      <alignment horizontal="center"/>
    </xf>
    <xf numFmtId="37" fontId="10" fillId="2" borderId="2" xfId="0" applyNumberFormat="1" applyFont="1" applyFill="1" applyBorder="1" applyAlignment="1">
      <alignment vertical="top"/>
    </xf>
    <xf numFmtId="4" fontId="10" fillId="2" borderId="2" xfId="0" applyNumberFormat="1" applyFont="1" applyFill="1" applyBorder="1" applyAlignment="1">
      <alignment vertical="top"/>
    </xf>
    <xf numFmtId="0" fontId="10" fillId="2" borderId="0" xfId="0" applyFont="1" applyFill="1" applyBorder="1" applyAlignment="1">
      <alignment horizontal="left" vertical="top"/>
    </xf>
    <xf numFmtId="0" fontId="10" fillId="2" borderId="0" xfId="0" applyFont="1" applyFill="1" applyBorder="1" applyAlignment="1">
      <alignment wrapText="1"/>
    </xf>
    <xf numFmtId="0" fontId="10" fillId="2" borderId="0" xfId="0" applyFont="1" applyFill="1" applyBorder="1"/>
    <xf numFmtId="0" fontId="10" fillId="2" borderId="0" xfId="0" applyFont="1" applyFill="1" applyBorder="1" applyAlignment="1">
      <alignment horizontal="center" vertical="top"/>
    </xf>
    <xf numFmtId="0" fontId="10" fillId="2" borderId="0" xfId="0" quotePrefix="1" applyFont="1" applyFill="1" applyBorder="1" applyAlignment="1">
      <alignment horizontal="center" vertical="top"/>
    </xf>
    <xf numFmtId="4" fontId="10" fillId="2" borderId="0" xfId="0" applyNumberFormat="1" applyFont="1" applyFill="1" applyBorder="1" applyAlignment="1">
      <alignment horizontal="right" vertical="top"/>
    </xf>
    <xf numFmtId="0" fontId="10" fillId="0" borderId="8" xfId="0" applyFont="1" applyBorder="1" applyAlignment="1">
      <alignment horizontal="center" vertical="top"/>
    </xf>
    <xf numFmtId="0" fontId="10" fillId="2" borderId="8" xfId="0" applyFont="1" applyFill="1" applyBorder="1" applyAlignment="1">
      <alignment horizontal="left" vertical="top"/>
    </xf>
    <xf numFmtId="0" fontId="10" fillId="2" borderId="8" xfId="0" applyFont="1" applyFill="1" applyBorder="1" applyAlignment="1">
      <alignment wrapText="1"/>
    </xf>
    <xf numFmtId="0" fontId="10" fillId="2" borderId="8" xfId="0" applyFont="1" applyFill="1" applyBorder="1"/>
    <xf numFmtId="0" fontId="10" fillId="2" borderId="8" xfId="0" applyFont="1" applyFill="1" applyBorder="1" applyAlignment="1">
      <alignment horizontal="center" vertical="top"/>
    </xf>
    <xf numFmtId="0" fontId="10" fillId="2" borderId="8" xfId="0" quotePrefix="1" applyFont="1" applyFill="1" applyBorder="1" applyAlignment="1">
      <alignment horizontal="center" vertical="top"/>
    </xf>
    <xf numFmtId="4" fontId="10" fillId="2" borderId="8" xfId="0" applyNumberFormat="1" applyFont="1" applyFill="1" applyBorder="1" applyAlignment="1">
      <alignment horizontal="right" vertical="top"/>
    </xf>
    <xf numFmtId="4" fontId="10" fillId="2" borderId="0" xfId="0" applyNumberFormat="1" applyFont="1" applyFill="1" applyBorder="1" applyAlignment="1">
      <alignment horizontal="center" vertical="top"/>
    </xf>
    <xf numFmtId="0" fontId="10" fillId="0" borderId="4" xfId="0" applyFont="1" applyBorder="1" applyAlignment="1">
      <alignment horizontal="center" vertical="top"/>
    </xf>
    <xf numFmtId="0" fontId="10" fillId="0" borderId="17" xfId="0" applyFont="1" applyBorder="1" applyAlignment="1">
      <alignment vertical="top"/>
    </xf>
    <xf numFmtId="0" fontId="10" fillId="2" borderId="5" xfId="0" applyFont="1" applyFill="1" applyBorder="1" applyAlignment="1">
      <alignment horizontal="left" vertical="top"/>
    </xf>
    <xf numFmtId="0" fontId="10" fillId="2" borderId="6" xfId="0" applyFont="1" applyFill="1" applyBorder="1" applyAlignment="1">
      <alignment horizontal="left" vertical="top"/>
    </xf>
    <xf numFmtId="0" fontId="10" fillId="3" borderId="2" xfId="0" applyFont="1" applyFill="1" applyBorder="1" applyAlignment="1">
      <alignment horizontal="center" vertical="top"/>
    </xf>
    <xf numFmtId="0" fontId="10" fillId="3" borderId="2" xfId="0" applyFont="1" applyFill="1" applyBorder="1" applyAlignment="1">
      <alignment vertical="top" wrapText="1"/>
    </xf>
    <xf numFmtId="0" fontId="10" fillId="3" borderId="2" xfId="0" applyFont="1" applyFill="1" applyBorder="1" applyAlignment="1">
      <alignment vertical="top"/>
    </xf>
    <xf numFmtId="0" fontId="10" fillId="3" borderId="2" xfId="0" quotePrefix="1" applyFont="1" applyFill="1" applyBorder="1" applyAlignment="1">
      <alignment horizontal="center" vertical="top"/>
    </xf>
    <xf numFmtId="39" fontId="10" fillId="3" borderId="2" xfId="0" applyNumberFormat="1" applyFont="1" applyFill="1" applyBorder="1" applyAlignment="1">
      <alignment horizontal="right" vertical="top"/>
    </xf>
    <xf numFmtId="0" fontId="10" fillId="3" borderId="2" xfId="0" applyFont="1" applyFill="1" applyBorder="1"/>
    <xf numFmtId="0" fontId="10" fillId="3" borderId="2" xfId="0" applyFont="1" applyFill="1" applyBorder="1" applyAlignment="1">
      <alignment horizontal="center" wrapText="1"/>
    </xf>
    <xf numFmtId="0" fontId="10" fillId="3" borderId="2" xfId="0" applyFont="1" applyFill="1" applyBorder="1" applyAlignment="1">
      <alignment horizontal="center" vertical="top" wrapText="1"/>
    </xf>
    <xf numFmtId="4" fontId="10" fillId="3" borderId="2" xfId="0" applyNumberFormat="1" applyFont="1" applyFill="1" applyBorder="1" applyAlignment="1">
      <alignment horizontal="right" vertical="top"/>
    </xf>
    <xf numFmtId="0" fontId="10" fillId="4" borderId="2" xfId="0" applyFont="1" applyFill="1" applyBorder="1" applyAlignment="1">
      <alignment horizontal="center" vertical="top"/>
    </xf>
    <xf numFmtId="0" fontId="10" fillId="4" borderId="2" xfId="0" quotePrefix="1" applyFont="1" applyFill="1" applyBorder="1" applyAlignment="1">
      <alignment vertical="top" wrapText="1"/>
    </xf>
    <xf numFmtId="0" fontId="10" fillId="4" borderId="2" xfId="0" applyFont="1" applyFill="1" applyBorder="1"/>
    <xf numFmtId="0" fontId="10" fillId="4" borderId="2" xfId="0" applyFont="1" applyFill="1" applyBorder="1" applyAlignment="1">
      <alignment horizontal="center" vertical="top" wrapText="1"/>
    </xf>
    <xf numFmtId="0" fontId="10" fillId="4" borderId="2" xfId="0" quotePrefix="1" applyFont="1" applyFill="1" applyBorder="1" applyAlignment="1">
      <alignment horizontal="center" vertical="top"/>
    </xf>
    <xf numFmtId="4" fontId="10" fillId="4" borderId="2" xfId="0" applyNumberFormat="1" applyFont="1" applyFill="1" applyBorder="1" applyAlignment="1">
      <alignment horizontal="right" vertical="top"/>
    </xf>
    <xf numFmtId="0" fontId="10" fillId="4" borderId="2" xfId="0" applyFont="1" applyFill="1" applyBorder="1" applyAlignment="1">
      <alignment vertical="center"/>
    </xf>
    <xf numFmtId="0" fontId="10" fillId="4" borderId="2" xfId="0" applyFont="1" applyFill="1" applyBorder="1" applyAlignment="1">
      <alignment wrapText="1"/>
    </xf>
    <xf numFmtId="0" fontId="10" fillId="4" borderId="2" xfId="0" applyFont="1" applyFill="1" applyBorder="1" applyAlignment="1">
      <alignment vertical="top" wrapText="1"/>
    </xf>
    <xf numFmtId="1" fontId="10" fillId="0" borderId="2" xfId="0" quotePrefix="1" applyNumberFormat="1" applyFont="1" applyBorder="1" applyAlignment="1">
      <alignment horizontal="center" vertical="top"/>
    </xf>
    <xf numFmtId="0" fontId="10" fillId="5" borderId="2" xfId="0" applyFont="1" applyFill="1" applyBorder="1" applyAlignment="1">
      <alignment horizontal="center" vertical="top"/>
    </xf>
    <xf numFmtId="0" fontId="10" fillId="5" borderId="2" xfId="0" applyFont="1" applyFill="1" applyBorder="1" applyAlignment="1">
      <alignment vertical="top" wrapText="1"/>
    </xf>
    <xf numFmtId="0" fontId="10" fillId="5" borderId="2" xfId="0" applyFont="1" applyFill="1" applyBorder="1"/>
    <xf numFmtId="0" fontId="10" fillId="5" borderId="2" xfId="0" quotePrefix="1" applyFont="1" applyFill="1" applyBorder="1" applyAlignment="1">
      <alignment horizontal="center" vertical="top"/>
    </xf>
    <xf numFmtId="37" fontId="10" fillId="5" borderId="2" xfId="0" applyNumberFormat="1" applyFont="1" applyFill="1" applyBorder="1" applyAlignment="1">
      <alignment horizontal="center" vertical="top"/>
    </xf>
    <xf numFmtId="0" fontId="10" fillId="0" borderId="2" xfId="0" applyFont="1" applyFill="1" applyBorder="1" applyAlignment="1">
      <alignment horizontal="center" vertical="top"/>
    </xf>
    <xf numFmtId="0" fontId="10" fillId="0" borderId="2" xfId="0" applyFont="1" applyFill="1" applyBorder="1"/>
    <xf numFmtId="0" fontId="10" fillId="0" borderId="2" xfId="0" quotePrefix="1" applyFont="1" applyFill="1" applyBorder="1" applyAlignment="1">
      <alignment horizontal="center" vertical="top"/>
    </xf>
    <xf numFmtId="0" fontId="10" fillId="0" borderId="2" xfId="0" applyFont="1" applyFill="1" applyBorder="1" applyAlignment="1">
      <alignment vertical="top" wrapText="1"/>
    </xf>
    <xf numFmtId="0" fontId="10" fillId="3" borderId="2" xfId="0" quotePrefix="1" applyFont="1" applyFill="1" applyBorder="1" applyAlignment="1">
      <alignment wrapText="1"/>
    </xf>
    <xf numFmtId="37" fontId="10" fillId="3" borderId="2" xfId="0" applyNumberFormat="1" applyFont="1" applyFill="1" applyBorder="1" applyAlignment="1">
      <alignment horizontal="center" vertical="top"/>
    </xf>
    <xf numFmtId="0" fontId="12" fillId="3" borderId="2" xfId="0" applyFont="1" applyFill="1" applyBorder="1" applyAlignment="1">
      <alignment horizontal="center" vertical="top"/>
    </xf>
    <xf numFmtId="0" fontId="12" fillId="3" borderId="2" xfId="0" applyFont="1" applyFill="1" applyBorder="1" applyAlignment="1">
      <alignment vertical="top" wrapText="1"/>
    </xf>
    <xf numFmtId="0" fontId="10" fillId="0" borderId="2" xfId="0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top"/>
    </xf>
    <xf numFmtId="0" fontId="10" fillId="6" borderId="2" xfId="0" applyFont="1" applyFill="1" applyBorder="1" applyAlignment="1">
      <alignment vertical="top" wrapText="1"/>
    </xf>
    <xf numFmtId="0" fontId="10" fillId="6" borderId="2" xfId="0" applyFont="1" applyFill="1" applyBorder="1" applyAlignment="1">
      <alignment vertical="top"/>
    </xf>
    <xf numFmtId="0" fontId="10" fillId="6" borderId="2" xfId="0" applyFont="1" applyFill="1" applyBorder="1" applyAlignment="1">
      <alignment horizontal="center" vertical="top" wrapText="1"/>
    </xf>
    <xf numFmtId="0" fontId="10" fillId="6" borderId="2" xfId="0" applyFont="1" applyFill="1" applyBorder="1" applyAlignment="1">
      <alignment horizontal="center" vertical="center"/>
    </xf>
    <xf numFmtId="0" fontId="10" fillId="6" borderId="2" xfId="0" quotePrefix="1" applyFont="1" applyFill="1" applyBorder="1" applyAlignment="1">
      <alignment horizontal="center" vertical="top"/>
    </xf>
    <xf numFmtId="39" fontId="10" fillId="6" borderId="2" xfId="0" applyNumberFormat="1" applyFont="1" applyFill="1" applyBorder="1" applyAlignment="1">
      <alignment horizontal="right" vertical="top"/>
    </xf>
    <xf numFmtId="0" fontId="10" fillId="3" borderId="2" xfId="0" applyFont="1" applyFill="1" applyBorder="1" applyAlignment="1">
      <alignment wrapText="1"/>
    </xf>
    <xf numFmtId="0" fontId="12" fillId="3" borderId="2" xfId="0" quotePrefix="1" applyFont="1" applyFill="1" applyBorder="1" applyAlignment="1">
      <alignment horizontal="center" vertical="top"/>
    </xf>
    <xf numFmtId="4" fontId="12" fillId="3" borderId="2" xfId="0" applyNumberFormat="1" applyFont="1" applyFill="1" applyBorder="1" applyAlignment="1">
      <alignment horizontal="right" vertical="top"/>
    </xf>
    <xf numFmtId="0" fontId="10" fillId="7" borderId="2" xfId="0" applyFont="1" applyFill="1" applyBorder="1" applyAlignment="1">
      <alignment horizontal="center" vertical="top"/>
    </xf>
    <xf numFmtId="0" fontId="10" fillId="7" borderId="2" xfId="0" applyFont="1" applyFill="1" applyBorder="1" applyAlignment="1">
      <alignment vertical="top" wrapText="1"/>
    </xf>
    <xf numFmtId="0" fontId="10" fillId="7" borderId="2" xfId="0" applyFont="1" applyFill="1" applyBorder="1" applyAlignment="1">
      <alignment vertical="top"/>
    </xf>
    <xf numFmtId="0" fontId="10" fillId="7" borderId="2" xfId="0" applyFont="1" applyFill="1" applyBorder="1" applyAlignment="1">
      <alignment horizontal="center" vertical="top" wrapText="1"/>
    </xf>
    <xf numFmtId="0" fontId="10" fillId="7" borderId="2" xfId="0" quotePrefix="1" applyFont="1" applyFill="1" applyBorder="1" applyAlignment="1">
      <alignment horizontal="center" vertical="top"/>
    </xf>
    <xf numFmtId="4" fontId="10" fillId="7" borderId="2" xfId="0" applyNumberFormat="1" applyFont="1" applyFill="1" applyBorder="1" applyAlignment="1">
      <alignment horizontal="right" vertical="top"/>
    </xf>
    <xf numFmtId="0" fontId="10" fillId="2" borderId="2" xfId="0" applyFont="1" applyFill="1" applyBorder="1" applyAlignment="1">
      <alignment vertical="center" wrapText="1"/>
    </xf>
    <xf numFmtId="1" fontId="10" fillId="2" borderId="2" xfId="0" quotePrefix="1" applyNumberFormat="1" applyFont="1" applyFill="1" applyBorder="1" applyAlignment="1">
      <alignment horizontal="center" vertical="top"/>
    </xf>
    <xf numFmtId="0" fontId="10" fillId="2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top"/>
    </xf>
    <xf numFmtId="0" fontId="10" fillId="6" borderId="2" xfId="0" applyFont="1" applyFill="1" applyBorder="1" applyAlignment="1">
      <alignment wrapText="1"/>
    </xf>
    <xf numFmtId="0" fontId="10" fillId="6" borderId="2" xfId="0" applyFont="1" applyFill="1" applyBorder="1"/>
    <xf numFmtId="37" fontId="10" fillId="6" borderId="2" xfId="0" applyNumberFormat="1" applyFont="1" applyFill="1" applyBorder="1" applyAlignment="1">
      <alignment horizontal="center" vertical="top"/>
    </xf>
    <xf numFmtId="0" fontId="0" fillId="6" borderId="0" xfId="0" applyFill="1"/>
    <xf numFmtId="0" fontId="10" fillId="0" borderId="2" xfId="0" applyFont="1" applyBorder="1" applyAlignment="1">
      <alignment vertical="center" wrapText="1"/>
    </xf>
    <xf numFmtId="0" fontId="10" fillId="0" borderId="2" xfId="0" applyFont="1" applyBorder="1" applyAlignment="1">
      <alignment vertical="center"/>
    </xf>
    <xf numFmtId="0" fontId="10" fillId="0" borderId="2" xfId="0" applyFont="1" applyFill="1" applyBorder="1" applyAlignment="1">
      <alignment horizontal="center" vertical="top" wrapText="1"/>
    </xf>
    <xf numFmtId="4" fontId="10" fillId="0" borderId="2" xfId="0" applyNumberFormat="1" applyFont="1" applyFill="1" applyBorder="1" applyAlignment="1">
      <alignment horizontal="right" vertical="top"/>
    </xf>
    <xf numFmtId="0" fontId="17" fillId="0" borderId="2" xfId="0" applyFont="1" applyFill="1" applyBorder="1"/>
    <xf numFmtId="0" fontId="10" fillId="0" borderId="2" xfId="0" applyFont="1" applyFill="1" applyBorder="1" applyAlignment="1">
      <alignment vertical="center" wrapText="1"/>
    </xf>
    <xf numFmtId="0" fontId="10" fillId="8" borderId="2" xfId="0" applyFont="1" applyFill="1" applyBorder="1" applyAlignment="1">
      <alignment wrapText="1"/>
    </xf>
    <xf numFmtId="0" fontId="10" fillId="8" borderId="2" xfId="0" applyFont="1" applyFill="1" applyBorder="1"/>
    <xf numFmtId="0" fontId="10" fillId="8" borderId="2" xfId="0" quotePrefix="1" applyFont="1" applyFill="1" applyBorder="1" applyAlignment="1">
      <alignment horizontal="center" vertical="top"/>
    </xf>
    <xf numFmtId="4" fontId="10" fillId="8" borderId="2" xfId="0" applyNumberFormat="1" applyFont="1" applyFill="1" applyBorder="1" applyAlignment="1">
      <alignment horizontal="right" vertical="top"/>
    </xf>
    <xf numFmtId="0" fontId="10" fillId="8" borderId="2" xfId="0" applyFont="1" applyFill="1" applyBorder="1" applyAlignment="1">
      <alignment vertical="center"/>
    </xf>
    <xf numFmtId="0" fontId="13" fillId="0" borderId="2" xfId="0" applyFont="1" applyBorder="1" applyAlignment="1">
      <alignment horizontal="center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2" borderId="5" xfId="0" applyFill="1" applyBorder="1" applyAlignment="1">
      <alignment horizontal="left" vertical="top"/>
    </xf>
    <xf numFmtId="0" fontId="0" fillId="2" borderId="6" xfId="0" applyFill="1" applyBorder="1" applyAlignment="1">
      <alignment horizontal="left" vertical="top"/>
    </xf>
    <xf numFmtId="0" fontId="0" fillId="2" borderId="5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/>
    </xf>
    <xf numFmtId="0" fontId="9" fillId="0" borderId="6" xfId="0" applyFont="1" applyBorder="1" applyAlignment="1">
      <alignment horizontal="left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2" fillId="0" borderId="5" xfId="0" applyFont="1" applyBorder="1" applyAlignment="1">
      <alignment horizontal="left" vertical="top"/>
    </xf>
    <xf numFmtId="0" fontId="12" fillId="0" borderId="6" xfId="0" applyFont="1" applyBorder="1" applyAlignment="1">
      <alignment horizontal="left" vertical="top"/>
    </xf>
    <xf numFmtId="0" fontId="12" fillId="2" borderId="5" xfId="0" applyFont="1" applyFill="1" applyBorder="1" applyAlignment="1">
      <alignment horizontal="left" vertical="top"/>
    </xf>
    <xf numFmtId="0" fontId="12" fillId="2" borderId="6" xfId="0" applyFont="1" applyFill="1" applyBorder="1" applyAlignment="1">
      <alignment horizontal="left" vertical="top"/>
    </xf>
    <xf numFmtId="0" fontId="13" fillId="0" borderId="3" xfId="0" applyFont="1" applyBorder="1" applyAlignment="1">
      <alignment horizontal="center" vertical="top"/>
    </xf>
    <xf numFmtId="0" fontId="13" fillId="0" borderId="4" xfId="0" applyFont="1" applyBorder="1" applyAlignment="1">
      <alignment horizontal="center" vertical="top"/>
    </xf>
    <xf numFmtId="0" fontId="13" fillId="0" borderId="5" xfId="0" applyFont="1" applyBorder="1" applyAlignment="1">
      <alignment horizontal="center" vertical="top"/>
    </xf>
    <xf numFmtId="0" fontId="13" fillId="0" borderId="6" xfId="0" applyFont="1" applyBorder="1" applyAlignment="1">
      <alignment horizontal="center" vertical="top"/>
    </xf>
    <xf numFmtId="0" fontId="10" fillId="2" borderId="5" xfId="0" applyFont="1" applyFill="1" applyBorder="1" applyAlignment="1">
      <alignment horizontal="left" vertical="top" wrapText="1"/>
    </xf>
    <xf numFmtId="0" fontId="10" fillId="2" borderId="6" xfId="0" applyFont="1" applyFill="1" applyBorder="1" applyAlignment="1">
      <alignment horizontal="left" vertical="top" wrapText="1"/>
    </xf>
    <xf numFmtId="0" fontId="10" fillId="2" borderId="5" xfId="0" applyFont="1" applyFill="1" applyBorder="1" applyAlignment="1">
      <alignment horizontal="left" vertical="top"/>
    </xf>
    <xf numFmtId="0" fontId="10" fillId="2" borderId="6" xfId="0" applyFont="1" applyFill="1" applyBorder="1" applyAlignment="1">
      <alignment horizontal="left" vertical="top"/>
    </xf>
    <xf numFmtId="0" fontId="13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top"/>
    </xf>
    <xf numFmtId="0" fontId="10" fillId="0" borderId="6" xfId="0" applyFont="1" applyBorder="1" applyAlignment="1">
      <alignment horizontal="left" vertical="top"/>
    </xf>
    <xf numFmtId="0" fontId="13" fillId="0" borderId="2" xfId="0" applyFont="1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0" fillId="0" borderId="11" xfId="0" applyFont="1" applyBorder="1" applyAlignment="1">
      <alignment horizontal="left" vertical="top"/>
    </xf>
    <xf numFmtId="0" fontId="10" fillId="0" borderId="12" xfId="0" applyFont="1" applyBorder="1" applyAlignment="1">
      <alignment horizontal="left" vertical="top"/>
    </xf>
    <xf numFmtId="0" fontId="13" fillId="0" borderId="3" xfId="0" applyFont="1" applyBorder="1" applyAlignment="1">
      <alignment horizontal="center"/>
    </xf>
    <xf numFmtId="0" fontId="10" fillId="0" borderId="5" xfId="0" applyFont="1" applyBorder="1" applyAlignment="1">
      <alignment vertical="top"/>
    </xf>
    <xf numFmtId="0" fontId="10" fillId="0" borderId="6" xfId="0" applyFont="1" applyBorder="1" applyAlignment="1">
      <alignment vertical="top"/>
    </xf>
    <xf numFmtId="0" fontId="10" fillId="6" borderId="5" xfId="0" applyFont="1" applyFill="1" applyBorder="1" applyAlignment="1">
      <alignment horizontal="left" vertical="top"/>
    </xf>
    <xf numFmtId="0" fontId="10" fillId="6" borderId="6" xfId="0" applyFont="1" applyFill="1" applyBorder="1" applyAlignment="1">
      <alignment horizontal="left" vertical="top"/>
    </xf>
    <xf numFmtId="0" fontId="10" fillId="3" borderId="5" xfId="0" applyFont="1" applyFill="1" applyBorder="1" applyAlignment="1">
      <alignment horizontal="left" vertical="top"/>
    </xf>
    <xf numFmtId="0" fontId="10" fillId="3" borderId="6" xfId="0" applyFont="1" applyFill="1" applyBorder="1" applyAlignment="1">
      <alignment horizontal="left" vertical="top"/>
    </xf>
    <xf numFmtId="0" fontId="16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0" fillId="2" borderId="5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left" vertical="top" wrapText="1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0" fillId="0" borderId="17" xfId="0" applyFont="1" applyBorder="1" applyAlignment="1">
      <alignment horizontal="left" vertical="top"/>
    </xf>
    <xf numFmtId="0" fontId="10" fillId="0" borderId="0" xfId="0" applyFont="1" applyAlignment="1">
      <alignment horizontal="center"/>
    </xf>
    <xf numFmtId="0" fontId="10" fillId="3" borderId="17" xfId="0" applyFont="1" applyFill="1" applyBorder="1" applyAlignment="1">
      <alignment horizontal="left" vertical="top"/>
    </xf>
    <xf numFmtId="0" fontId="10" fillId="4" borderId="5" xfId="0" applyFont="1" applyFill="1" applyBorder="1" applyAlignment="1">
      <alignment horizontal="left" vertical="top"/>
    </xf>
    <xf numFmtId="0" fontId="10" fillId="4" borderId="6" xfId="0" applyFont="1" applyFill="1" applyBorder="1" applyAlignment="1">
      <alignment horizontal="left" vertical="top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5" borderId="5" xfId="0" applyFont="1" applyFill="1" applyBorder="1" applyAlignment="1">
      <alignment horizontal="left" vertical="top"/>
    </xf>
    <xf numFmtId="0" fontId="10" fillId="5" borderId="6" xfId="0" applyFont="1" applyFill="1" applyBorder="1" applyAlignment="1">
      <alignment horizontal="left" vertical="top"/>
    </xf>
    <xf numFmtId="0" fontId="10" fillId="0" borderId="5" xfId="0" applyFont="1" applyFill="1" applyBorder="1" applyAlignment="1">
      <alignment horizontal="left" vertical="top"/>
    </xf>
    <xf numFmtId="0" fontId="10" fillId="0" borderId="6" xfId="0" applyFont="1" applyFill="1" applyBorder="1" applyAlignment="1">
      <alignment horizontal="left" vertical="top"/>
    </xf>
    <xf numFmtId="0" fontId="10" fillId="8" borderId="5" xfId="0" applyFont="1" applyFill="1" applyBorder="1" applyAlignment="1">
      <alignment horizontal="left" vertical="top"/>
    </xf>
    <xf numFmtId="0" fontId="10" fillId="8" borderId="6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left" vertical="top"/>
    </xf>
    <xf numFmtId="0" fontId="3" fillId="2" borderId="12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/>
    </xf>
    <xf numFmtId="0" fontId="3" fillId="3" borderId="6" xfId="0" applyFont="1" applyFill="1" applyBorder="1" applyAlignment="1">
      <alignment horizontal="left" vertical="top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3" fillId="0" borderId="9" xfId="0" applyFont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2" fillId="0" borderId="11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3" fillId="2" borderId="2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2" xfId="0" applyFont="1" applyBorder="1" applyAlignment="1">
      <alignment horizontal="left" vertical="top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2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8" fillId="0" borderId="2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0" xfId="0" applyFont="1" applyAlignment="1">
      <alignment horizontal="center"/>
    </xf>
    <xf numFmtId="0" fontId="10" fillId="0" borderId="2" xfId="0" quotePrefix="1" applyFont="1" applyBorder="1" applyAlignment="1">
      <alignment horizontal="left" vertical="top" wrapText="1"/>
    </xf>
    <xf numFmtId="0" fontId="13" fillId="0" borderId="2" xfId="0" applyFont="1" applyBorder="1" applyAlignment="1">
      <alignment horizontal="center" vertical="center"/>
    </xf>
    <xf numFmtId="4" fontId="10" fillId="3" borderId="2" xfId="0" applyNumberFormat="1" applyFont="1" applyFill="1" applyBorder="1" applyAlignment="1">
      <alignment vertical="top"/>
    </xf>
    <xf numFmtId="0" fontId="10" fillId="0" borderId="2" xfId="0" applyFont="1" applyBorder="1" applyAlignment="1">
      <alignment horizontal="center"/>
    </xf>
    <xf numFmtId="0" fontId="18" fillId="0" borderId="2" xfId="0" quotePrefix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"/>
  <sheetViews>
    <sheetView view="pageBreakPreview" topLeftCell="A58" zoomScaleNormal="55" workbookViewId="0">
      <selection activeCell="U188" sqref="U188"/>
    </sheetView>
  </sheetViews>
  <sheetFormatPr defaultRowHeight="15.75" x14ac:dyDescent="0.25"/>
  <cols>
    <col min="2" max="2" width="7" customWidth="1"/>
    <col min="3" max="3" width="17.75" customWidth="1"/>
    <col min="4" max="4" width="10.875" customWidth="1"/>
    <col min="5" max="5" width="11.25" customWidth="1"/>
    <col min="6" max="6" width="11.5" customWidth="1"/>
    <col min="7" max="7" width="11.625" customWidth="1"/>
    <col min="8" max="8" width="15.5" customWidth="1"/>
    <col min="9" max="9" width="18.75" customWidth="1"/>
    <col min="10" max="10" width="15.375" customWidth="1"/>
    <col min="11" max="11" width="15.125" customWidth="1"/>
    <col min="13" max="13" width="11" customWidth="1"/>
    <col min="14" max="14" width="10.625" customWidth="1"/>
    <col min="15" max="15" width="9.625" customWidth="1"/>
    <col min="258" max="258" width="7" customWidth="1"/>
    <col min="259" max="259" width="17.75" customWidth="1"/>
    <col min="260" max="260" width="10.875" customWidth="1"/>
    <col min="261" max="261" width="11.25" customWidth="1"/>
    <col min="262" max="262" width="11.5" customWidth="1"/>
    <col min="263" max="263" width="11.625" customWidth="1"/>
    <col min="264" max="264" width="15.5" customWidth="1"/>
    <col min="265" max="265" width="18.75" customWidth="1"/>
    <col min="266" max="266" width="15.375" customWidth="1"/>
    <col min="267" max="267" width="15.125" customWidth="1"/>
    <col min="269" max="269" width="11" customWidth="1"/>
    <col min="270" max="270" width="10.625" customWidth="1"/>
    <col min="271" max="271" width="9.625" customWidth="1"/>
    <col min="514" max="514" width="7" customWidth="1"/>
    <col min="515" max="515" width="17.75" customWidth="1"/>
    <col min="516" max="516" width="10.875" customWidth="1"/>
    <col min="517" max="517" width="11.25" customWidth="1"/>
    <col min="518" max="518" width="11.5" customWidth="1"/>
    <col min="519" max="519" width="11.625" customWidth="1"/>
    <col min="520" max="520" width="15.5" customWidth="1"/>
    <col min="521" max="521" width="18.75" customWidth="1"/>
    <col min="522" max="522" width="15.375" customWidth="1"/>
    <col min="523" max="523" width="15.125" customWidth="1"/>
    <col min="525" max="525" width="11" customWidth="1"/>
    <col min="526" max="526" width="10.625" customWidth="1"/>
    <col min="527" max="527" width="9.625" customWidth="1"/>
    <col min="770" max="770" width="7" customWidth="1"/>
    <col min="771" max="771" width="17.75" customWidth="1"/>
    <col min="772" max="772" width="10.875" customWidth="1"/>
    <col min="773" max="773" width="11.25" customWidth="1"/>
    <col min="774" max="774" width="11.5" customWidth="1"/>
    <col min="775" max="775" width="11.625" customWidth="1"/>
    <col min="776" max="776" width="15.5" customWidth="1"/>
    <col min="777" max="777" width="18.75" customWidth="1"/>
    <col min="778" max="778" width="15.375" customWidth="1"/>
    <col min="779" max="779" width="15.125" customWidth="1"/>
    <col min="781" max="781" width="11" customWidth="1"/>
    <col min="782" max="782" width="10.625" customWidth="1"/>
    <col min="783" max="783" width="9.625" customWidth="1"/>
    <col min="1026" max="1026" width="7" customWidth="1"/>
    <col min="1027" max="1027" width="17.75" customWidth="1"/>
    <col min="1028" max="1028" width="10.875" customWidth="1"/>
    <col min="1029" max="1029" width="11.25" customWidth="1"/>
    <col min="1030" max="1030" width="11.5" customWidth="1"/>
    <col min="1031" max="1031" width="11.625" customWidth="1"/>
    <col min="1032" max="1032" width="15.5" customWidth="1"/>
    <col min="1033" max="1033" width="18.75" customWidth="1"/>
    <col min="1034" max="1034" width="15.375" customWidth="1"/>
    <col min="1035" max="1035" width="15.125" customWidth="1"/>
    <col min="1037" max="1037" width="11" customWidth="1"/>
    <col min="1038" max="1038" width="10.625" customWidth="1"/>
    <col min="1039" max="1039" width="9.625" customWidth="1"/>
    <col min="1282" max="1282" width="7" customWidth="1"/>
    <col min="1283" max="1283" width="17.75" customWidth="1"/>
    <col min="1284" max="1284" width="10.875" customWidth="1"/>
    <col min="1285" max="1285" width="11.25" customWidth="1"/>
    <col min="1286" max="1286" width="11.5" customWidth="1"/>
    <col min="1287" max="1287" width="11.625" customWidth="1"/>
    <col min="1288" max="1288" width="15.5" customWidth="1"/>
    <col min="1289" max="1289" width="18.75" customWidth="1"/>
    <col min="1290" max="1290" width="15.375" customWidth="1"/>
    <col min="1291" max="1291" width="15.125" customWidth="1"/>
    <col min="1293" max="1293" width="11" customWidth="1"/>
    <col min="1294" max="1294" width="10.625" customWidth="1"/>
    <col min="1295" max="1295" width="9.625" customWidth="1"/>
    <col min="1538" max="1538" width="7" customWidth="1"/>
    <col min="1539" max="1539" width="17.75" customWidth="1"/>
    <col min="1540" max="1540" width="10.875" customWidth="1"/>
    <col min="1541" max="1541" width="11.25" customWidth="1"/>
    <col min="1542" max="1542" width="11.5" customWidth="1"/>
    <col min="1543" max="1543" width="11.625" customWidth="1"/>
    <col min="1544" max="1544" width="15.5" customWidth="1"/>
    <col min="1545" max="1545" width="18.75" customWidth="1"/>
    <col min="1546" max="1546" width="15.375" customWidth="1"/>
    <col min="1547" max="1547" width="15.125" customWidth="1"/>
    <col min="1549" max="1549" width="11" customWidth="1"/>
    <col min="1550" max="1550" width="10.625" customWidth="1"/>
    <col min="1551" max="1551" width="9.625" customWidth="1"/>
    <col min="1794" max="1794" width="7" customWidth="1"/>
    <col min="1795" max="1795" width="17.75" customWidth="1"/>
    <col min="1796" max="1796" width="10.875" customWidth="1"/>
    <col min="1797" max="1797" width="11.25" customWidth="1"/>
    <col min="1798" max="1798" width="11.5" customWidth="1"/>
    <col min="1799" max="1799" width="11.625" customWidth="1"/>
    <col min="1800" max="1800" width="15.5" customWidth="1"/>
    <col min="1801" max="1801" width="18.75" customWidth="1"/>
    <col min="1802" max="1802" width="15.375" customWidth="1"/>
    <col min="1803" max="1803" width="15.125" customWidth="1"/>
    <col min="1805" max="1805" width="11" customWidth="1"/>
    <col min="1806" max="1806" width="10.625" customWidth="1"/>
    <col min="1807" max="1807" width="9.625" customWidth="1"/>
    <col min="2050" max="2050" width="7" customWidth="1"/>
    <col min="2051" max="2051" width="17.75" customWidth="1"/>
    <col min="2052" max="2052" width="10.875" customWidth="1"/>
    <col min="2053" max="2053" width="11.25" customWidth="1"/>
    <col min="2054" max="2054" width="11.5" customWidth="1"/>
    <col min="2055" max="2055" width="11.625" customWidth="1"/>
    <col min="2056" max="2056" width="15.5" customWidth="1"/>
    <col min="2057" max="2057" width="18.75" customWidth="1"/>
    <col min="2058" max="2058" width="15.375" customWidth="1"/>
    <col min="2059" max="2059" width="15.125" customWidth="1"/>
    <col min="2061" max="2061" width="11" customWidth="1"/>
    <col min="2062" max="2062" width="10.625" customWidth="1"/>
    <col min="2063" max="2063" width="9.625" customWidth="1"/>
    <col min="2306" max="2306" width="7" customWidth="1"/>
    <col min="2307" max="2307" width="17.75" customWidth="1"/>
    <col min="2308" max="2308" width="10.875" customWidth="1"/>
    <col min="2309" max="2309" width="11.25" customWidth="1"/>
    <col min="2310" max="2310" width="11.5" customWidth="1"/>
    <col min="2311" max="2311" width="11.625" customWidth="1"/>
    <col min="2312" max="2312" width="15.5" customWidth="1"/>
    <col min="2313" max="2313" width="18.75" customWidth="1"/>
    <col min="2314" max="2314" width="15.375" customWidth="1"/>
    <col min="2315" max="2315" width="15.125" customWidth="1"/>
    <col min="2317" max="2317" width="11" customWidth="1"/>
    <col min="2318" max="2318" width="10.625" customWidth="1"/>
    <col min="2319" max="2319" width="9.625" customWidth="1"/>
    <col min="2562" max="2562" width="7" customWidth="1"/>
    <col min="2563" max="2563" width="17.75" customWidth="1"/>
    <col min="2564" max="2564" width="10.875" customWidth="1"/>
    <col min="2565" max="2565" width="11.25" customWidth="1"/>
    <col min="2566" max="2566" width="11.5" customWidth="1"/>
    <col min="2567" max="2567" width="11.625" customWidth="1"/>
    <col min="2568" max="2568" width="15.5" customWidth="1"/>
    <col min="2569" max="2569" width="18.75" customWidth="1"/>
    <col min="2570" max="2570" width="15.375" customWidth="1"/>
    <col min="2571" max="2571" width="15.125" customWidth="1"/>
    <col min="2573" max="2573" width="11" customWidth="1"/>
    <col min="2574" max="2574" width="10.625" customWidth="1"/>
    <col min="2575" max="2575" width="9.625" customWidth="1"/>
    <col min="2818" max="2818" width="7" customWidth="1"/>
    <col min="2819" max="2819" width="17.75" customWidth="1"/>
    <col min="2820" max="2820" width="10.875" customWidth="1"/>
    <col min="2821" max="2821" width="11.25" customWidth="1"/>
    <col min="2822" max="2822" width="11.5" customWidth="1"/>
    <col min="2823" max="2823" width="11.625" customWidth="1"/>
    <col min="2824" max="2824" width="15.5" customWidth="1"/>
    <col min="2825" max="2825" width="18.75" customWidth="1"/>
    <col min="2826" max="2826" width="15.375" customWidth="1"/>
    <col min="2827" max="2827" width="15.125" customWidth="1"/>
    <col min="2829" max="2829" width="11" customWidth="1"/>
    <col min="2830" max="2830" width="10.625" customWidth="1"/>
    <col min="2831" max="2831" width="9.625" customWidth="1"/>
    <col min="3074" max="3074" width="7" customWidth="1"/>
    <col min="3075" max="3075" width="17.75" customWidth="1"/>
    <col min="3076" max="3076" width="10.875" customWidth="1"/>
    <col min="3077" max="3077" width="11.25" customWidth="1"/>
    <col min="3078" max="3078" width="11.5" customWidth="1"/>
    <col min="3079" max="3079" width="11.625" customWidth="1"/>
    <col min="3080" max="3080" width="15.5" customWidth="1"/>
    <col min="3081" max="3081" width="18.75" customWidth="1"/>
    <col min="3082" max="3082" width="15.375" customWidth="1"/>
    <col min="3083" max="3083" width="15.125" customWidth="1"/>
    <col min="3085" max="3085" width="11" customWidth="1"/>
    <col min="3086" max="3086" width="10.625" customWidth="1"/>
    <col min="3087" max="3087" width="9.625" customWidth="1"/>
    <col min="3330" max="3330" width="7" customWidth="1"/>
    <col min="3331" max="3331" width="17.75" customWidth="1"/>
    <col min="3332" max="3332" width="10.875" customWidth="1"/>
    <col min="3333" max="3333" width="11.25" customWidth="1"/>
    <col min="3334" max="3334" width="11.5" customWidth="1"/>
    <col min="3335" max="3335" width="11.625" customWidth="1"/>
    <col min="3336" max="3336" width="15.5" customWidth="1"/>
    <col min="3337" max="3337" width="18.75" customWidth="1"/>
    <col min="3338" max="3338" width="15.375" customWidth="1"/>
    <col min="3339" max="3339" width="15.125" customWidth="1"/>
    <col min="3341" max="3341" width="11" customWidth="1"/>
    <col min="3342" max="3342" width="10.625" customWidth="1"/>
    <col min="3343" max="3343" width="9.625" customWidth="1"/>
    <col min="3586" max="3586" width="7" customWidth="1"/>
    <col min="3587" max="3587" width="17.75" customWidth="1"/>
    <col min="3588" max="3588" width="10.875" customWidth="1"/>
    <col min="3589" max="3589" width="11.25" customWidth="1"/>
    <col min="3590" max="3590" width="11.5" customWidth="1"/>
    <col min="3591" max="3591" width="11.625" customWidth="1"/>
    <col min="3592" max="3592" width="15.5" customWidth="1"/>
    <col min="3593" max="3593" width="18.75" customWidth="1"/>
    <col min="3594" max="3594" width="15.375" customWidth="1"/>
    <col min="3595" max="3595" width="15.125" customWidth="1"/>
    <col min="3597" max="3597" width="11" customWidth="1"/>
    <col min="3598" max="3598" width="10.625" customWidth="1"/>
    <col min="3599" max="3599" width="9.625" customWidth="1"/>
    <col min="3842" max="3842" width="7" customWidth="1"/>
    <col min="3843" max="3843" width="17.75" customWidth="1"/>
    <col min="3844" max="3844" width="10.875" customWidth="1"/>
    <col min="3845" max="3845" width="11.25" customWidth="1"/>
    <col min="3846" max="3846" width="11.5" customWidth="1"/>
    <col min="3847" max="3847" width="11.625" customWidth="1"/>
    <col min="3848" max="3848" width="15.5" customWidth="1"/>
    <col min="3849" max="3849" width="18.75" customWidth="1"/>
    <col min="3850" max="3850" width="15.375" customWidth="1"/>
    <col min="3851" max="3851" width="15.125" customWidth="1"/>
    <col min="3853" max="3853" width="11" customWidth="1"/>
    <col min="3854" max="3854" width="10.625" customWidth="1"/>
    <col min="3855" max="3855" width="9.625" customWidth="1"/>
    <col min="4098" max="4098" width="7" customWidth="1"/>
    <col min="4099" max="4099" width="17.75" customWidth="1"/>
    <col min="4100" max="4100" width="10.875" customWidth="1"/>
    <col min="4101" max="4101" width="11.25" customWidth="1"/>
    <col min="4102" max="4102" width="11.5" customWidth="1"/>
    <col min="4103" max="4103" width="11.625" customWidth="1"/>
    <col min="4104" max="4104" width="15.5" customWidth="1"/>
    <col min="4105" max="4105" width="18.75" customWidth="1"/>
    <col min="4106" max="4106" width="15.375" customWidth="1"/>
    <col min="4107" max="4107" width="15.125" customWidth="1"/>
    <col min="4109" max="4109" width="11" customWidth="1"/>
    <col min="4110" max="4110" width="10.625" customWidth="1"/>
    <col min="4111" max="4111" width="9.625" customWidth="1"/>
    <col min="4354" max="4354" width="7" customWidth="1"/>
    <col min="4355" max="4355" width="17.75" customWidth="1"/>
    <col min="4356" max="4356" width="10.875" customWidth="1"/>
    <col min="4357" max="4357" width="11.25" customWidth="1"/>
    <col min="4358" max="4358" width="11.5" customWidth="1"/>
    <col min="4359" max="4359" width="11.625" customWidth="1"/>
    <col min="4360" max="4360" width="15.5" customWidth="1"/>
    <col min="4361" max="4361" width="18.75" customWidth="1"/>
    <col min="4362" max="4362" width="15.375" customWidth="1"/>
    <col min="4363" max="4363" width="15.125" customWidth="1"/>
    <col min="4365" max="4365" width="11" customWidth="1"/>
    <col min="4366" max="4366" width="10.625" customWidth="1"/>
    <col min="4367" max="4367" width="9.625" customWidth="1"/>
    <col min="4610" max="4610" width="7" customWidth="1"/>
    <col min="4611" max="4611" width="17.75" customWidth="1"/>
    <col min="4612" max="4612" width="10.875" customWidth="1"/>
    <col min="4613" max="4613" width="11.25" customWidth="1"/>
    <col min="4614" max="4614" width="11.5" customWidth="1"/>
    <col min="4615" max="4615" width="11.625" customWidth="1"/>
    <col min="4616" max="4616" width="15.5" customWidth="1"/>
    <col min="4617" max="4617" width="18.75" customWidth="1"/>
    <col min="4618" max="4618" width="15.375" customWidth="1"/>
    <col min="4619" max="4619" width="15.125" customWidth="1"/>
    <col min="4621" max="4621" width="11" customWidth="1"/>
    <col min="4622" max="4622" width="10.625" customWidth="1"/>
    <col min="4623" max="4623" width="9.625" customWidth="1"/>
    <col min="4866" max="4866" width="7" customWidth="1"/>
    <col min="4867" max="4867" width="17.75" customWidth="1"/>
    <col min="4868" max="4868" width="10.875" customWidth="1"/>
    <col min="4869" max="4869" width="11.25" customWidth="1"/>
    <col min="4870" max="4870" width="11.5" customWidth="1"/>
    <col min="4871" max="4871" width="11.625" customWidth="1"/>
    <col min="4872" max="4872" width="15.5" customWidth="1"/>
    <col min="4873" max="4873" width="18.75" customWidth="1"/>
    <col min="4874" max="4874" width="15.375" customWidth="1"/>
    <col min="4875" max="4875" width="15.125" customWidth="1"/>
    <col min="4877" max="4877" width="11" customWidth="1"/>
    <col min="4878" max="4878" width="10.625" customWidth="1"/>
    <col min="4879" max="4879" width="9.625" customWidth="1"/>
    <col min="5122" max="5122" width="7" customWidth="1"/>
    <col min="5123" max="5123" width="17.75" customWidth="1"/>
    <col min="5124" max="5124" width="10.875" customWidth="1"/>
    <col min="5125" max="5125" width="11.25" customWidth="1"/>
    <col min="5126" max="5126" width="11.5" customWidth="1"/>
    <col min="5127" max="5127" width="11.625" customWidth="1"/>
    <col min="5128" max="5128" width="15.5" customWidth="1"/>
    <col min="5129" max="5129" width="18.75" customWidth="1"/>
    <col min="5130" max="5130" width="15.375" customWidth="1"/>
    <col min="5131" max="5131" width="15.125" customWidth="1"/>
    <col min="5133" max="5133" width="11" customWidth="1"/>
    <col min="5134" max="5134" width="10.625" customWidth="1"/>
    <col min="5135" max="5135" width="9.625" customWidth="1"/>
    <col min="5378" max="5378" width="7" customWidth="1"/>
    <col min="5379" max="5379" width="17.75" customWidth="1"/>
    <col min="5380" max="5380" width="10.875" customWidth="1"/>
    <col min="5381" max="5381" width="11.25" customWidth="1"/>
    <col min="5382" max="5382" width="11.5" customWidth="1"/>
    <col min="5383" max="5383" width="11.625" customWidth="1"/>
    <col min="5384" max="5384" width="15.5" customWidth="1"/>
    <col min="5385" max="5385" width="18.75" customWidth="1"/>
    <col min="5386" max="5386" width="15.375" customWidth="1"/>
    <col min="5387" max="5387" width="15.125" customWidth="1"/>
    <col min="5389" max="5389" width="11" customWidth="1"/>
    <col min="5390" max="5390" width="10.625" customWidth="1"/>
    <col min="5391" max="5391" width="9.625" customWidth="1"/>
    <col min="5634" max="5634" width="7" customWidth="1"/>
    <col min="5635" max="5635" width="17.75" customWidth="1"/>
    <col min="5636" max="5636" width="10.875" customWidth="1"/>
    <col min="5637" max="5637" width="11.25" customWidth="1"/>
    <col min="5638" max="5638" width="11.5" customWidth="1"/>
    <col min="5639" max="5639" width="11.625" customWidth="1"/>
    <col min="5640" max="5640" width="15.5" customWidth="1"/>
    <col min="5641" max="5641" width="18.75" customWidth="1"/>
    <col min="5642" max="5642" width="15.375" customWidth="1"/>
    <col min="5643" max="5643" width="15.125" customWidth="1"/>
    <col min="5645" max="5645" width="11" customWidth="1"/>
    <col min="5646" max="5646" width="10.625" customWidth="1"/>
    <col min="5647" max="5647" width="9.625" customWidth="1"/>
    <col min="5890" max="5890" width="7" customWidth="1"/>
    <col min="5891" max="5891" width="17.75" customWidth="1"/>
    <col min="5892" max="5892" width="10.875" customWidth="1"/>
    <col min="5893" max="5893" width="11.25" customWidth="1"/>
    <col min="5894" max="5894" width="11.5" customWidth="1"/>
    <col min="5895" max="5895" width="11.625" customWidth="1"/>
    <col min="5896" max="5896" width="15.5" customWidth="1"/>
    <col min="5897" max="5897" width="18.75" customWidth="1"/>
    <col min="5898" max="5898" width="15.375" customWidth="1"/>
    <col min="5899" max="5899" width="15.125" customWidth="1"/>
    <col min="5901" max="5901" width="11" customWidth="1"/>
    <col min="5902" max="5902" width="10.625" customWidth="1"/>
    <col min="5903" max="5903" width="9.625" customWidth="1"/>
    <col min="6146" max="6146" width="7" customWidth="1"/>
    <col min="6147" max="6147" width="17.75" customWidth="1"/>
    <col min="6148" max="6148" width="10.875" customWidth="1"/>
    <col min="6149" max="6149" width="11.25" customWidth="1"/>
    <col min="6150" max="6150" width="11.5" customWidth="1"/>
    <col min="6151" max="6151" width="11.625" customWidth="1"/>
    <col min="6152" max="6152" width="15.5" customWidth="1"/>
    <col min="6153" max="6153" width="18.75" customWidth="1"/>
    <col min="6154" max="6154" width="15.375" customWidth="1"/>
    <col min="6155" max="6155" width="15.125" customWidth="1"/>
    <col min="6157" max="6157" width="11" customWidth="1"/>
    <col min="6158" max="6158" width="10.625" customWidth="1"/>
    <col min="6159" max="6159" width="9.625" customWidth="1"/>
    <col min="6402" max="6402" width="7" customWidth="1"/>
    <col min="6403" max="6403" width="17.75" customWidth="1"/>
    <col min="6404" max="6404" width="10.875" customWidth="1"/>
    <col min="6405" max="6405" width="11.25" customWidth="1"/>
    <col min="6406" max="6406" width="11.5" customWidth="1"/>
    <col min="6407" max="6407" width="11.625" customWidth="1"/>
    <col min="6408" max="6408" width="15.5" customWidth="1"/>
    <col min="6409" max="6409" width="18.75" customWidth="1"/>
    <col min="6410" max="6410" width="15.375" customWidth="1"/>
    <col min="6411" max="6411" width="15.125" customWidth="1"/>
    <col min="6413" max="6413" width="11" customWidth="1"/>
    <col min="6414" max="6414" width="10.625" customWidth="1"/>
    <col min="6415" max="6415" width="9.625" customWidth="1"/>
    <col min="6658" max="6658" width="7" customWidth="1"/>
    <col min="6659" max="6659" width="17.75" customWidth="1"/>
    <col min="6660" max="6660" width="10.875" customWidth="1"/>
    <col min="6661" max="6661" width="11.25" customWidth="1"/>
    <col min="6662" max="6662" width="11.5" customWidth="1"/>
    <col min="6663" max="6663" width="11.625" customWidth="1"/>
    <col min="6664" max="6664" width="15.5" customWidth="1"/>
    <col min="6665" max="6665" width="18.75" customWidth="1"/>
    <col min="6666" max="6666" width="15.375" customWidth="1"/>
    <col min="6667" max="6667" width="15.125" customWidth="1"/>
    <col min="6669" max="6669" width="11" customWidth="1"/>
    <col min="6670" max="6670" width="10.625" customWidth="1"/>
    <col min="6671" max="6671" width="9.625" customWidth="1"/>
    <col min="6914" max="6914" width="7" customWidth="1"/>
    <col min="6915" max="6915" width="17.75" customWidth="1"/>
    <col min="6916" max="6916" width="10.875" customWidth="1"/>
    <col min="6917" max="6917" width="11.25" customWidth="1"/>
    <col min="6918" max="6918" width="11.5" customWidth="1"/>
    <col min="6919" max="6919" width="11.625" customWidth="1"/>
    <col min="6920" max="6920" width="15.5" customWidth="1"/>
    <col min="6921" max="6921" width="18.75" customWidth="1"/>
    <col min="6922" max="6922" width="15.375" customWidth="1"/>
    <col min="6923" max="6923" width="15.125" customWidth="1"/>
    <col min="6925" max="6925" width="11" customWidth="1"/>
    <col min="6926" max="6926" width="10.625" customWidth="1"/>
    <col min="6927" max="6927" width="9.625" customWidth="1"/>
    <col min="7170" max="7170" width="7" customWidth="1"/>
    <col min="7171" max="7171" width="17.75" customWidth="1"/>
    <col min="7172" max="7172" width="10.875" customWidth="1"/>
    <col min="7173" max="7173" width="11.25" customWidth="1"/>
    <col min="7174" max="7174" width="11.5" customWidth="1"/>
    <col min="7175" max="7175" width="11.625" customWidth="1"/>
    <col min="7176" max="7176" width="15.5" customWidth="1"/>
    <col min="7177" max="7177" width="18.75" customWidth="1"/>
    <col min="7178" max="7178" width="15.375" customWidth="1"/>
    <col min="7179" max="7179" width="15.125" customWidth="1"/>
    <col min="7181" max="7181" width="11" customWidth="1"/>
    <col min="7182" max="7182" width="10.625" customWidth="1"/>
    <col min="7183" max="7183" width="9.625" customWidth="1"/>
    <col min="7426" max="7426" width="7" customWidth="1"/>
    <col min="7427" max="7427" width="17.75" customWidth="1"/>
    <col min="7428" max="7428" width="10.875" customWidth="1"/>
    <col min="7429" max="7429" width="11.25" customWidth="1"/>
    <col min="7430" max="7430" width="11.5" customWidth="1"/>
    <col min="7431" max="7431" width="11.625" customWidth="1"/>
    <col min="7432" max="7432" width="15.5" customWidth="1"/>
    <col min="7433" max="7433" width="18.75" customWidth="1"/>
    <col min="7434" max="7434" width="15.375" customWidth="1"/>
    <col min="7435" max="7435" width="15.125" customWidth="1"/>
    <col min="7437" max="7437" width="11" customWidth="1"/>
    <col min="7438" max="7438" width="10.625" customWidth="1"/>
    <col min="7439" max="7439" width="9.625" customWidth="1"/>
    <col min="7682" max="7682" width="7" customWidth="1"/>
    <col min="7683" max="7683" width="17.75" customWidth="1"/>
    <col min="7684" max="7684" width="10.875" customWidth="1"/>
    <col min="7685" max="7685" width="11.25" customWidth="1"/>
    <col min="7686" max="7686" width="11.5" customWidth="1"/>
    <col min="7687" max="7687" width="11.625" customWidth="1"/>
    <col min="7688" max="7688" width="15.5" customWidth="1"/>
    <col min="7689" max="7689" width="18.75" customWidth="1"/>
    <col min="7690" max="7690" width="15.375" customWidth="1"/>
    <col min="7691" max="7691" width="15.125" customWidth="1"/>
    <col min="7693" max="7693" width="11" customWidth="1"/>
    <col min="7694" max="7694" width="10.625" customWidth="1"/>
    <col min="7695" max="7695" width="9.625" customWidth="1"/>
    <col min="7938" max="7938" width="7" customWidth="1"/>
    <col min="7939" max="7939" width="17.75" customWidth="1"/>
    <col min="7940" max="7940" width="10.875" customWidth="1"/>
    <col min="7941" max="7941" width="11.25" customWidth="1"/>
    <col min="7942" max="7942" width="11.5" customWidth="1"/>
    <col min="7943" max="7943" width="11.625" customWidth="1"/>
    <col min="7944" max="7944" width="15.5" customWidth="1"/>
    <col min="7945" max="7945" width="18.75" customWidth="1"/>
    <col min="7946" max="7946" width="15.375" customWidth="1"/>
    <col min="7947" max="7947" width="15.125" customWidth="1"/>
    <col min="7949" max="7949" width="11" customWidth="1"/>
    <col min="7950" max="7950" width="10.625" customWidth="1"/>
    <col min="7951" max="7951" width="9.625" customWidth="1"/>
    <col min="8194" max="8194" width="7" customWidth="1"/>
    <col min="8195" max="8195" width="17.75" customWidth="1"/>
    <col min="8196" max="8196" width="10.875" customWidth="1"/>
    <col min="8197" max="8197" width="11.25" customWidth="1"/>
    <col min="8198" max="8198" width="11.5" customWidth="1"/>
    <col min="8199" max="8199" width="11.625" customWidth="1"/>
    <col min="8200" max="8200" width="15.5" customWidth="1"/>
    <col min="8201" max="8201" width="18.75" customWidth="1"/>
    <col min="8202" max="8202" width="15.375" customWidth="1"/>
    <col min="8203" max="8203" width="15.125" customWidth="1"/>
    <col min="8205" max="8205" width="11" customWidth="1"/>
    <col min="8206" max="8206" width="10.625" customWidth="1"/>
    <col min="8207" max="8207" width="9.625" customWidth="1"/>
    <col min="8450" max="8450" width="7" customWidth="1"/>
    <col min="8451" max="8451" width="17.75" customWidth="1"/>
    <col min="8452" max="8452" width="10.875" customWidth="1"/>
    <col min="8453" max="8453" width="11.25" customWidth="1"/>
    <col min="8454" max="8454" width="11.5" customWidth="1"/>
    <col min="8455" max="8455" width="11.625" customWidth="1"/>
    <col min="8456" max="8456" width="15.5" customWidth="1"/>
    <col min="8457" max="8457" width="18.75" customWidth="1"/>
    <col min="8458" max="8458" width="15.375" customWidth="1"/>
    <col min="8459" max="8459" width="15.125" customWidth="1"/>
    <col min="8461" max="8461" width="11" customWidth="1"/>
    <col min="8462" max="8462" width="10.625" customWidth="1"/>
    <col min="8463" max="8463" width="9.625" customWidth="1"/>
    <col min="8706" max="8706" width="7" customWidth="1"/>
    <col min="8707" max="8707" width="17.75" customWidth="1"/>
    <col min="8708" max="8708" width="10.875" customWidth="1"/>
    <col min="8709" max="8709" width="11.25" customWidth="1"/>
    <col min="8710" max="8710" width="11.5" customWidth="1"/>
    <col min="8711" max="8711" width="11.625" customWidth="1"/>
    <col min="8712" max="8712" width="15.5" customWidth="1"/>
    <col min="8713" max="8713" width="18.75" customWidth="1"/>
    <col min="8714" max="8714" width="15.375" customWidth="1"/>
    <col min="8715" max="8715" width="15.125" customWidth="1"/>
    <col min="8717" max="8717" width="11" customWidth="1"/>
    <col min="8718" max="8718" width="10.625" customWidth="1"/>
    <col min="8719" max="8719" width="9.625" customWidth="1"/>
    <col min="8962" max="8962" width="7" customWidth="1"/>
    <col min="8963" max="8963" width="17.75" customWidth="1"/>
    <col min="8964" max="8964" width="10.875" customWidth="1"/>
    <col min="8965" max="8965" width="11.25" customWidth="1"/>
    <col min="8966" max="8966" width="11.5" customWidth="1"/>
    <col min="8967" max="8967" width="11.625" customWidth="1"/>
    <col min="8968" max="8968" width="15.5" customWidth="1"/>
    <col min="8969" max="8969" width="18.75" customWidth="1"/>
    <col min="8970" max="8970" width="15.375" customWidth="1"/>
    <col min="8971" max="8971" width="15.125" customWidth="1"/>
    <col min="8973" max="8973" width="11" customWidth="1"/>
    <col min="8974" max="8974" width="10.625" customWidth="1"/>
    <col min="8975" max="8975" width="9.625" customWidth="1"/>
    <col min="9218" max="9218" width="7" customWidth="1"/>
    <col min="9219" max="9219" width="17.75" customWidth="1"/>
    <col min="9220" max="9220" width="10.875" customWidth="1"/>
    <col min="9221" max="9221" width="11.25" customWidth="1"/>
    <col min="9222" max="9222" width="11.5" customWidth="1"/>
    <col min="9223" max="9223" width="11.625" customWidth="1"/>
    <col min="9224" max="9224" width="15.5" customWidth="1"/>
    <col min="9225" max="9225" width="18.75" customWidth="1"/>
    <col min="9226" max="9226" width="15.375" customWidth="1"/>
    <col min="9227" max="9227" width="15.125" customWidth="1"/>
    <col min="9229" max="9229" width="11" customWidth="1"/>
    <col min="9230" max="9230" width="10.625" customWidth="1"/>
    <col min="9231" max="9231" width="9.625" customWidth="1"/>
    <col min="9474" max="9474" width="7" customWidth="1"/>
    <col min="9475" max="9475" width="17.75" customWidth="1"/>
    <col min="9476" max="9476" width="10.875" customWidth="1"/>
    <col min="9477" max="9477" width="11.25" customWidth="1"/>
    <col min="9478" max="9478" width="11.5" customWidth="1"/>
    <col min="9479" max="9479" width="11.625" customWidth="1"/>
    <col min="9480" max="9480" width="15.5" customWidth="1"/>
    <col min="9481" max="9481" width="18.75" customWidth="1"/>
    <col min="9482" max="9482" width="15.375" customWidth="1"/>
    <col min="9483" max="9483" width="15.125" customWidth="1"/>
    <col min="9485" max="9485" width="11" customWidth="1"/>
    <col min="9486" max="9486" width="10.625" customWidth="1"/>
    <col min="9487" max="9487" width="9.625" customWidth="1"/>
    <col min="9730" max="9730" width="7" customWidth="1"/>
    <col min="9731" max="9731" width="17.75" customWidth="1"/>
    <col min="9732" max="9732" width="10.875" customWidth="1"/>
    <col min="9733" max="9733" width="11.25" customWidth="1"/>
    <col min="9734" max="9734" width="11.5" customWidth="1"/>
    <col min="9735" max="9735" width="11.625" customWidth="1"/>
    <col min="9736" max="9736" width="15.5" customWidth="1"/>
    <col min="9737" max="9737" width="18.75" customWidth="1"/>
    <col min="9738" max="9738" width="15.375" customWidth="1"/>
    <col min="9739" max="9739" width="15.125" customWidth="1"/>
    <col min="9741" max="9741" width="11" customWidth="1"/>
    <col min="9742" max="9742" width="10.625" customWidth="1"/>
    <col min="9743" max="9743" width="9.625" customWidth="1"/>
    <col min="9986" max="9986" width="7" customWidth="1"/>
    <col min="9987" max="9987" width="17.75" customWidth="1"/>
    <col min="9988" max="9988" width="10.875" customWidth="1"/>
    <col min="9989" max="9989" width="11.25" customWidth="1"/>
    <col min="9990" max="9990" width="11.5" customWidth="1"/>
    <col min="9991" max="9991" width="11.625" customWidth="1"/>
    <col min="9992" max="9992" width="15.5" customWidth="1"/>
    <col min="9993" max="9993" width="18.75" customWidth="1"/>
    <col min="9994" max="9994" width="15.375" customWidth="1"/>
    <col min="9995" max="9995" width="15.125" customWidth="1"/>
    <col min="9997" max="9997" width="11" customWidth="1"/>
    <col min="9998" max="9998" width="10.625" customWidth="1"/>
    <col min="9999" max="9999" width="9.625" customWidth="1"/>
    <col min="10242" max="10242" width="7" customWidth="1"/>
    <col min="10243" max="10243" width="17.75" customWidth="1"/>
    <col min="10244" max="10244" width="10.875" customWidth="1"/>
    <col min="10245" max="10245" width="11.25" customWidth="1"/>
    <col min="10246" max="10246" width="11.5" customWidth="1"/>
    <col min="10247" max="10247" width="11.625" customWidth="1"/>
    <col min="10248" max="10248" width="15.5" customWidth="1"/>
    <col min="10249" max="10249" width="18.75" customWidth="1"/>
    <col min="10250" max="10250" width="15.375" customWidth="1"/>
    <col min="10251" max="10251" width="15.125" customWidth="1"/>
    <col min="10253" max="10253" width="11" customWidth="1"/>
    <col min="10254" max="10254" width="10.625" customWidth="1"/>
    <col min="10255" max="10255" width="9.625" customWidth="1"/>
    <col min="10498" max="10498" width="7" customWidth="1"/>
    <col min="10499" max="10499" width="17.75" customWidth="1"/>
    <col min="10500" max="10500" width="10.875" customWidth="1"/>
    <col min="10501" max="10501" width="11.25" customWidth="1"/>
    <col min="10502" max="10502" width="11.5" customWidth="1"/>
    <col min="10503" max="10503" width="11.625" customWidth="1"/>
    <col min="10504" max="10504" width="15.5" customWidth="1"/>
    <col min="10505" max="10505" width="18.75" customWidth="1"/>
    <col min="10506" max="10506" width="15.375" customWidth="1"/>
    <col min="10507" max="10507" width="15.125" customWidth="1"/>
    <col min="10509" max="10509" width="11" customWidth="1"/>
    <col min="10510" max="10510" width="10.625" customWidth="1"/>
    <col min="10511" max="10511" width="9.625" customWidth="1"/>
    <col min="10754" max="10754" width="7" customWidth="1"/>
    <col min="10755" max="10755" width="17.75" customWidth="1"/>
    <col min="10756" max="10756" width="10.875" customWidth="1"/>
    <col min="10757" max="10757" width="11.25" customWidth="1"/>
    <col min="10758" max="10758" width="11.5" customWidth="1"/>
    <col min="10759" max="10759" width="11.625" customWidth="1"/>
    <col min="10760" max="10760" width="15.5" customWidth="1"/>
    <col min="10761" max="10761" width="18.75" customWidth="1"/>
    <col min="10762" max="10762" width="15.375" customWidth="1"/>
    <col min="10763" max="10763" width="15.125" customWidth="1"/>
    <col min="10765" max="10765" width="11" customWidth="1"/>
    <col min="10766" max="10766" width="10.625" customWidth="1"/>
    <col min="10767" max="10767" width="9.625" customWidth="1"/>
    <col min="11010" max="11010" width="7" customWidth="1"/>
    <col min="11011" max="11011" width="17.75" customWidth="1"/>
    <col min="11012" max="11012" width="10.875" customWidth="1"/>
    <col min="11013" max="11013" width="11.25" customWidth="1"/>
    <col min="11014" max="11014" width="11.5" customWidth="1"/>
    <col min="11015" max="11015" width="11.625" customWidth="1"/>
    <col min="11016" max="11016" width="15.5" customWidth="1"/>
    <col min="11017" max="11017" width="18.75" customWidth="1"/>
    <col min="11018" max="11018" width="15.375" customWidth="1"/>
    <col min="11019" max="11019" width="15.125" customWidth="1"/>
    <col min="11021" max="11021" width="11" customWidth="1"/>
    <col min="11022" max="11022" width="10.625" customWidth="1"/>
    <col min="11023" max="11023" width="9.625" customWidth="1"/>
    <col min="11266" max="11266" width="7" customWidth="1"/>
    <col min="11267" max="11267" width="17.75" customWidth="1"/>
    <col min="11268" max="11268" width="10.875" customWidth="1"/>
    <col min="11269" max="11269" width="11.25" customWidth="1"/>
    <col min="11270" max="11270" width="11.5" customWidth="1"/>
    <col min="11271" max="11271" width="11.625" customWidth="1"/>
    <col min="11272" max="11272" width="15.5" customWidth="1"/>
    <col min="11273" max="11273" width="18.75" customWidth="1"/>
    <col min="11274" max="11274" width="15.375" customWidth="1"/>
    <col min="11275" max="11275" width="15.125" customWidth="1"/>
    <col min="11277" max="11277" width="11" customWidth="1"/>
    <col min="11278" max="11278" width="10.625" customWidth="1"/>
    <col min="11279" max="11279" width="9.625" customWidth="1"/>
    <col min="11522" max="11522" width="7" customWidth="1"/>
    <col min="11523" max="11523" width="17.75" customWidth="1"/>
    <col min="11524" max="11524" width="10.875" customWidth="1"/>
    <col min="11525" max="11525" width="11.25" customWidth="1"/>
    <col min="11526" max="11526" width="11.5" customWidth="1"/>
    <col min="11527" max="11527" width="11.625" customWidth="1"/>
    <col min="11528" max="11528" width="15.5" customWidth="1"/>
    <col min="11529" max="11529" width="18.75" customWidth="1"/>
    <col min="11530" max="11530" width="15.375" customWidth="1"/>
    <col min="11531" max="11531" width="15.125" customWidth="1"/>
    <col min="11533" max="11533" width="11" customWidth="1"/>
    <col min="11534" max="11534" width="10.625" customWidth="1"/>
    <col min="11535" max="11535" width="9.625" customWidth="1"/>
    <col min="11778" max="11778" width="7" customWidth="1"/>
    <col min="11779" max="11779" width="17.75" customWidth="1"/>
    <col min="11780" max="11780" width="10.875" customWidth="1"/>
    <col min="11781" max="11781" width="11.25" customWidth="1"/>
    <col min="11782" max="11782" width="11.5" customWidth="1"/>
    <col min="11783" max="11783" width="11.625" customWidth="1"/>
    <col min="11784" max="11784" width="15.5" customWidth="1"/>
    <col min="11785" max="11785" width="18.75" customWidth="1"/>
    <col min="11786" max="11786" width="15.375" customWidth="1"/>
    <col min="11787" max="11787" width="15.125" customWidth="1"/>
    <col min="11789" max="11789" width="11" customWidth="1"/>
    <col min="11790" max="11790" width="10.625" customWidth="1"/>
    <col min="11791" max="11791" width="9.625" customWidth="1"/>
    <col min="12034" max="12034" width="7" customWidth="1"/>
    <col min="12035" max="12035" width="17.75" customWidth="1"/>
    <col min="12036" max="12036" width="10.875" customWidth="1"/>
    <col min="12037" max="12037" width="11.25" customWidth="1"/>
    <col min="12038" max="12038" width="11.5" customWidth="1"/>
    <col min="12039" max="12039" width="11.625" customWidth="1"/>
    <col min="12040" max="12040" width="15.5" customWidth="1"/>
    <col min="12041" max="12041" width="18.75" customWidth="1"/>
    <col min="12042" max="12042" width="15.375" customWidth="1"/>
    <col min="12043" max="12043" width="15.125" customWidth="1"/>
    <col min="12045" max="12045" width="11" customWidth="1"/>
    <col min="12046" max="12046" width="10.625" customWidth="1"/>
    <col min="12047" max="12047" width="9.625" customWidth="1"/>
    <col min="12290" max="12290" width="7" customWidth="1"/>
    <col min="12291" max="12291" width="17.75" customWidth="1"/>
    <col min="12292" max="12292" width="10.875" customWidth="1"/>
    <col min="12293" max="12293" width="11.25" customWidth="1"/>
    <col min="12294" max="12294" width="11.5" customWidth="1"/>
    <col min="12295" max="12295" width="11.625" customWidth="1"/>
    <col min="12296" max="12296" width="15.5" customWidth="1"/>
    <col min="12297" max="12297" width="18.75" customWidth="1"/>
    <col min="12298" max="12298" width="15.375" customWidth="1"/>
    <col min="12299" max="12299" width="15.125" customWidth="1"/>
    <col min="12301" max="12301" width="11" customWidth="1"/>
    <col min="12302" max="12302" width="10.625" customWidth="1"/>
    <col min="12303" max="12303" width="9.625" customWidth="1"/>
    <col min="12546" max="12546" width="7" customWidth="1"/>
    <col min="12547" max="12547" width="17.75" customWidth="1"/>
    <col min="12548" max="12548" width="10.875" customWidth="1"/>
    <col min="12549" max="12549" width="11.25" customWidth="1"/>
    <col min="12550" max="12550" width="11.5" customWidth="1"/>
    <col min="12551" max="12551" width="11.625" customWidth="1"/>
    <col min="12552" max="12552" width="15.5" customWidth="1"/>
    <col min="12553" max="12553" width="18.75" customWidth="1"/>
    <col min="12554" max="12554" width="15.375" customWidth="1"/>
    <col min="12555" max="12555" width="15.125" customWidth="1"/>
    <col min="12557" max="12557" width="11" customWidth="1"/>
    <col min="12558" max="12558" width="10.625" customWidth="1"/>
    <col min="12559" max="12559" width="9.625" customWidth="1"/>
    <col min="12802" max="12802" width="7" customWidth="1"/>
    <col min="12803" max="12803" width="17.75" customWidth="1"/>
    <col min="12804" max="12804" width="10.875" customWidth="1"/>
    <col min="12805" max="12805" width="11.25" customWidth="1"/>
    <col min="12806" max="12806" width="11.5" customWidth="1"/>
    <col min="12807" max="12807" width="11.625" customWidth="1"/>
    <col min="12808" max="12808" width="15.5" customWidth="1"/>
    <col min="12809" max="12809" width="18.75" customWidth="1"/>
    <col min="12810" max="12810" width="15.375" customWidth="1"/>
    <col min="12811" max="12811" width="15.125" customWidth="1"/>
    <col min="12813" max="12813" width="11" customWidth="1"/>
    <col min="12814" max="12814" width="10.625" customWidth="1"/>
    <col min="12815" max="12815" width="9.625" customWidth="1"/>
    <col min="13058" max="13058" width="7" customWidth="1"/>
    <col min="13059" max="13059" width="17.75" customWidth="1"/>
    <col min="13060" max="13060" width="10.875" customWidth="1"/>
    <col min="13061" max="13061" width="11.25" customWidth="1"/>
    <col min="13062" max="13062" width="11.5" customWidth="1"/>
    <col min="13063" max="13063" width="11.625" customWidth="1"/>
    <col min="13064" max="13064" width="15.5" customWidth="1"/>
    <col min="13065" max="13065" width="18.75" customWidth="1"/>
    <col min="13066" max="13066" width="15.375" customWidth="1"/>
    <col min="13067" max="13067" width="15.125" customWidth="1"/>
    <col min="13069" max="13069" width="11" customWidth="1"/>
    <col min="13070" max="13070" width="10.625" customWidth="1"/>
    <col min="13071" max="13071" width="9.625" customWidth="1"/>
    <col min="13314" max="13314" width="7" customWidth="1"/>
    <col min="13315" max="13315" width="17.75" customWidth="1"/>
    <col min="13316" max="13316" width="10.875" customWidth="1"/>
    <col min="13317" max="13317" width="11.25" customWidth="1"/>
    <col min="13318" max="13318" width="11.5" customWidth="1"/>
    <col min="13319" max="13319" width="11.625" customWidth="1"/>
    <col min="13320" max="13320" width="15.5" customWidth="1"/>
    <col min="13321" max="13321" width="18.75" customWidth="1"/>
    <col min="13322" max="13322" width="15.375" customWidth="1"/>
    <col min="13323" max="13323" width="15.125" customWidth="1"/>
    <col min="13325" max="13325" width="11" customWidth="1"/>
    <col min="13326" max="13326" width="10.625" customWidth="1"/>
    <col min="13327" max="13327" width="9.625" customWidth="1"/>
    <col min="13570" max="13570" width="7" customWidth="1"/>
    <col min="13571" max="13571" width="17.75" customWidth="1"/>
    <col min="13572" max="13572" width="10.875" customWidth="1"/>
    <col min="13573" max="13573" width="11.25" customWidth="1"/>
    <col min="13574" max="13574" width="11.5" customWidth="1"/>
    <col min="13575" max="13575" width="11.625" customWidth="1"/>
    <col min="13576" max="13576" width="15.5" customWidth="1"/>
    <col min="13577" max="13577" width="18.75" customWidth="1"/>
    <col min="13578" max="13578" width="15.375" customWidth="1"/>
    <col min="13579" max="13579" width="15.125" customWidth="1"/>
    <col min="13581" max="13581" width="11" customWidth="1"/>
    <col min="13582" max="13582" width="10.625" customWidth="1"/>
    <col min="13583" max="13583" width="9.625" customWidth="1"/>
    <col min="13826" max="13826" width="7" customWidth="1"/>
    <col min="13827" max="13827" width="17.75" customWidth="1"/>
    <col min="13828" max="13828" width="10.875" customWidth="1"/>
    <col min="13829" max="13829" width="11.25" customWidth="1"/>
    <col min="13830" max="13830" width="11.5" customWidth="1"/>
    <col min="13831" max="13831" width="11.625" customWidth="1"/>
    <col min="13832" max="13832" width="15.5" customWidth="1"/>
    <col min="13833" max="13833" width="18.75" customWidth="1"/>
    <col min="13834" max="13834" width="15.375" customWidth="1"/>
    <col min="13835" max="13835" width="15.125" customWidth="1"/>
    <col min="13837" max="13837" width="11" customWidth="1"/>
    <col min="13838" max="13838" width="10.625" customWidth="1"/>
    <col min="13839" max="13839" width="9.625" customWidth="1"/>
    <col min="14082" max="14082" width="7" customWidth="1"/>
    <col min="14083" max="14083" width="17.75" customWidth="1"/>
    <col min="14084" max="14084" width="10.875" customWidth="1"/>
    <col min="14085" max="14085" width="11.25" customWidth="1"/>
    <col min="14086" max="14086" width="11.5" customWidth="1"/>
    <col min="14087" max="14087" width="11.625" customWidth="1"/>
    <col min="14088" max="14088" width="15.5" customWidth="1"/>
    <col min="14089" max="14089" width="18.75" customWidth="1"/>
    <col min="14090" max="14090" width="15.375" customWidth="1"/>
    <col min="14091" max="14091" width="15.125" customWidth="1"/>
    <col min="14093" max="14093" width="11" customWidth="1"/>
    <col min="14094" max="14094" width="10.625" customWidth="1"/>
    <col min="14095" max="14095" width="9.625" customWidth="1"/>
    <col min="14338" max="14338" width="7" customWidth="1"/>
    <col min="14339" max="14339" width="17.75" customWidth="1"/>
    <col min="14340" max="14340" width="10.875" customWidth="1"/>
    <col min="14341" max="14341" width="11.25" customWidth="1"/>
    <col min="14342" max="14342" width="11.5" customWidth="1"/>
    <col min="14343" max="14343" width="11.625" customWidth="1"/>
    <col min="14344" max="14344" width="15.5" customWidth="1"/>
    <col min="14345" max="14345" width="18.75" customWidth="1"/>
    <col min="14346" max="14346" width="15.375" customWidth="1"/>
    <col min="14347" max="14347" width="15.125" customWidth="1"/>
    <col min="14349" max="14349" width="11" customWidth="1"/>
    <col min="14350" max="14350" width="10.625" customWidth="1"/>
    <col min="14351" max="14351" width="9.625" customWidth="1"/>
    <col min="14594" max="14594" width="7" customWidth="1"/>
    <col min="14595" max="14595" width="17.75" customWidth="1"/>
    <col min="14596" max="14596" width="10.875" customWidth="1"/>
    <col min="14597" max="14597" width="11.25" customWidth="1"/>
    <col min="14598" max="14598" width="11.5" customWidth="1"/>
    <col min="14599" max="14599" width="11.625" customWidth="1"/>
    <col min="14600" max="14600" width="15.5" customWidth="1"/>
    <col min="14601" max="14601" width="18.75" customWidth="1"/>
    <col min="14602" max="14602" width="15.375" customWidth="1"/>
    <col min="14603" max="14603" width="15.125" customWidth="1"/>
    <col min="14605" max="14605" width="11" customWidth="1"/>
    <col min="14606" max="14606" width="10.625" customWidth="1"/>
    <col min="14607" max="14607" width="9.625" customWidth="1"/>
    <col min="14850" max="14850" width="7" customWidth="1"/>
    <col min="14851" max="14851" width="17.75" customWidth="1"/>
    <col min="14852" max="14852" width="10.875" customWidth="1"/>
    <col min="14853" max="14853" width="11.25" customWidth="1"/>
    <col min="14854" max="14854" width="11.5" customWidth="1"/>
    <col min="14855" max="14855" width="11.625" customWidth="1"/>
    <col min="14856" max="14856" width="15.5" customWidth="1"/>
    <col min="14857" max="14857" width="18.75" customWidth="1"/>
    <col min="14858" max="14858" width="15.375" customWidth="1"/>
    <col min="14859" max="14859" width="15.125" customWidth="1"/>
    <col min="14861" max="14861" width="11" customWidth="1"/>
    <col min="14862" max="14862" width="10.625" customWidth="1"/>
    <col min="14863" max="14863" width="9.625" customWidth="1"/>
    <col min="15106" max="15106" width="7" customWidth="1"/>
    <col min="15107" max="15107" width="17.75" customWidth="1"/>
    <col min="15108" max="15108" width="10.875" customWidth="1"/>
    <col min="15109" max="15109" width="11.25" customWidth="1"/>
    <col min="15110" max="15110" width="11.5" customWidth="1"/>
    <col min="15111" max="15111" width="11.625" customWidth="1"/>
    <col min="15112" max="15112" width="15.5" customWidth="1"/>
    <col min="15113" max="15113" width="18.75" customWidth="1"/>
    <col min="15114" max="15114" width="15.375" customWidth="1"/>
    <col min="15115" max="15115" width="15.125" customWidth="1"/>
    <col min="15117" max="15117" width="11" customWidth="1"/>
    <col min="15118" max="15118" width="10.625" customWidth="1"/>
    <col min="15119" max="15119" width="9.625" customWidth="1"/>
    <col min="15362" max="15362" width="7" customWidth="1"/>
    <col min="15363" max="15363" width="17.75" customWidth="1"/>
    <col min="15364" max="15364" width="10.875" customWidth="1"/>
    <col min="15365" max="15365" width="11.25" customWidth="1"/>
    <col min="15366" max="15366" width="11.5" customWidth="1"/>
    <col min="15367" max="15367" width="11.625" customWidth="1"/>
    <col min="15368" max="15368" width="15.5" customWidth="1"/>
    <col min="15369" max="15369" width="18.75" customWidth="1"/>
    <col min="15370" max="15370" width="15.375" customWidth="1"/>
    <col min="15371" max="15371" width="15.125" customWidth="1"/>
    <col min="15373" max="15373" width="11" customWidth="1"/>
    <col min="15374" max="15374" width="10.625" customWidth="1"/>
    <col min="15375" max="15375" width="9.625" customWidth="1"/>
    <col min="15618" max="15618" width="7" customWidth="1"/>
    <col min="15619" max="15619" width="17.75" customWidth="1"/>
    <col min="15620" max="15620" width="10.875" customWidth="1"/>
    <col min="15621" max="15621" width="11.25" customWidth="1"/>
    <col min="15622" max="15622" width="11.5" customWidth="1"/>
    <col min="15623" max="15623" width="11.625" customWidth="1"/>
    <col min="15624" max="15624" width="15.5" customWidth="1"/>
    <col min="15625" max="15625" width="18.75" customWidth="1"/>
    <col min="15626" max="15626" width="15.375" customWidth="1"/>
    <col min="15627" max="15627" width="15.125" customWidth="1"/>
    <col min="15629" max="15629" width="11" customWidth="1"/>
    <col min="15630" max="15630" width="10.625" customWidth="1"/>
    <col min="15631" max="15631" width="9.625" customWidth="1"/>
    <col min="15874" max="15874" width="7" customWidth="1"/>
    <col min="15875" max="15875" width="17.75" customWidth="1"/>
    <col min="15876" max="15876" width="10.875" customWidth="1"/>
    <col min="15877" max="15877" width="11.25" customWidth="1"/>
    <col min="15878" max="15878" width="11.5" customWidth="1"/>
    <col min="15879" max="15879" width="11.625" customWidth="1"/>
    <col min="15880" max="15880" width="15.5" customWidth="1"/>
    <col min="15881" max="15881" width="18.75" customWidth="1"/>
    <col min="15882" max="15882" width="15.375" customWidth="1"/>
    <col min="15883" max="15883" width="15.125" customWidth="1"/>
    <col min="15885" max="15885" width="11" customWidth="1"/>
    <col min="15886" max="15886" width="10.625" customWidth="1"/>
    <col min="15887" max="15887" width="9.625" customWidth="1"/>
    <col min="16130" max="16130" width="7" customWidth="1"/>
    <col min="16131" max="16131" width="17.75" customWidth="1"/>
    <col min="16132" max="16132" width="10.875" customWidth="1"/>
    <col min="16133" max="16133" width="11.25" customWidth="1"/>
    <col min="16134" max="16134" width="11.5" customWidth="1"/>
    <col min="16135" max="16135" width="11.625" customWidth="1"/>
    <col min="16136" max="16136" width="15.5" customWidth="1"/>
    <col min="16137" max="16137" width="18.75" customWidth="1"/>
    <col min="16138" max="16138" width="15.375" customWidth="1"/>
    <col min="16139" max="16139" width="15.125" customWidth="1"/>
    <col min="16141" max="16141" width="11" customWidth="1"/>
    <col min="16142" max="16142" width="10.625" customWidth="1"/>
    <col min="16143" max="16143" width="9.625" customWidth="1"/>
  </cols>
  <sheetData>
    <row r="1" spans="1:15" ht="18.75" x14ac:dyDescent="0.3">
      <c r="G1" s="1" t="s">
        <v>0</v>
      </c>
      <c r="N1" t="s">
        <v>1</v>
      </c>
    </row>
    <row r="2" spans="1:15" ht="18.75" x14ac:dyDescent="0.3">
      <c r="G2" s="1"/>
    </row>
    <row r="3" spans="1:15" ht="18.75" x14ac:dyDescent="0.3">
      <c r="A3" s="461" t="s">
        <v>2</v>
      </c>
      <c r="B3" s="461"/>
      <c r="C3" t="s">
        <v>38</v>
      </c>
      <c r="G3" s="1"/>
    </row>
    <row r="4" spans="1:15" ht="18.75" x14ac:dyDescent="0.3">
      <c r="A4" s="461" t="s">
        <v>3</v>
      </c>
      <c r="B4" s="461"/>
      <c r="C4" t="s">
        <v>40</v>
      </c>
      <c r="G4" s="1"/>
    </row>
    <row r="5" spans="1:15" ht="18.75" x14ac:dyDescent="0.3">
      <c r="A5" s="461" t="s">
        <v>4</v>
      </c>
      <c r="B5" s="461"/>
      <c r="C5" t="s">
        <v>41</v>
      </c>
      <c r="G5" s="1"/>
    </row>
    <row r="6" spans="1:15" ht="18.75" x14ac:dyDescent="0.3">
      <c r="A6" s="461" t="s">
        <v>5</v>
      </c>
      <c r="B6" s="461"/>
      <c r="C6" s="13" t="s">
        <v>246</v>
      </c>
      <c r="G6" s="1"/>
    </row>
    <row r="8" spans="1:15" x14ac:dyDescent="0.25">
      <c r="A8" t="s">
        <v>6</v>
      </c>
    </row>
    <row r="9" spans="1:15" ht="24.75" customHeight="1" x14ac:dyDescent="0.25">
      <c r="A9" s="16" t="s">
        <v>7</v>
      </c>
      <c r="B9" s="462" t="s">
        <v>8</v>
      </c>
      <c r="C9" s="462"/>
      <c r="D9" s="16" t="s">
        <v>9</v>
      </c>
      <c r="E9" s="16" t="s">
        <v>10</v>
      </c>
      <c r="F9" s="457" t="s">
        <v>11</v>
      </c>
      <c r="G9" s="457" t="s">
        <v>12</v>
      </c>
      <c r="H9" s="16" t="s">
        <v>13</v>
      </c>
      <c r="I9" s="16" t="s">
        <v>14</v>
      </c>
      <c r="J9" s="16" t="s">
        <v>15</v>
      </c>
      <c r="K9" s="16" t="s">
        <v>16</v>
      </c>
      <c r="L9" s="460" t="s">
        <v>17</v>
      </c>
      <c r="M9" s="460"/>
      <c r="N9" s="460"/>
      <c r="O9" s="16" t="s">
        <v>18</v>
      </c>
    </row>
    <row r="10" spans="1:15" x14ac:dyDescent="0.25">
      <c r="A10" s="453" t="s">
        <v>19</v>
      </c>
      <c r="B10" s="453" t="s">
        <v>20</v>
      </c>
      <c r="C10" s="453"/>
      <c r="D10" s="453" t="s">
        <v>21</v>
      </c>
      <c r="E10" s="453" t="s">
        <v>22</v>
      </c>
      <c r="F10" s="458"/>
      <c r="G10" s="458"/>
      <c r="H10" s="2" t="s">
        <v>23</v>
      </c>
      <c r="I10" s="2"/>
      <c r="J10" s="2" t="s">
        <v>24</v>
      </c>
      <c r="K10" s="2" t="s">
        <v>25</v>
      </c>
      <c r="L10" s="2" t="s">
        <v>26</v>
      </c>
      <c r="M10" s="2" t="s">
        <v>27</v>
      </c>
      <c r="N10" s="2" t="s">
        <v>28</v>
      </c>
      <c r="O10" s="453" t="s">
        <v>18</v>
      </c>
    </row>
    <row r="11" spans="1:15" x14ac:dyDescent="0.25">
      <c r="A11" s="454"/>
      <c r="B11" s="454"/>
      <c r="C11" s="454"/>
      <c r="D11" s="454"/>
      <c r="E11" s="454"/>
      <c r="F11" s="459"/>
      <c r="G11" s="459"/>
      <c r="H11" s="3" t="s">
        <v>30</v>
      </c>
      <c r="I11" s="3"/>
      <c r="J11" s="3" t="s">
        <v>31</v>
      </c>
      <c r="K11" s="3" t="s">
        <v>32</v>
      </c>
      <c r="L11" s="3" t="s">
        <v>33</v>
      </c>
      <c r="M11" s="3" t="s">
        <v>34</v>
      </c>
      <c r="N11" s="3" t="s">
        <v>35</v>
      </c>
      <c r="O11" s="454"/>
    </row>
    <row r="12" spans="1:15" x14ac:dyDescent="0.25">
      <c r="A12" s="14">
        <v>1</v>
      </c>
      <c r="B12" s="455">
        <v>2</v>
      </c>
      <c r="C12" s="456"/>
      <c r="D12" s="14">
        <v>3</v>
      </c>
      <c r="E12" s="14">
        <v>4</v>
      </c>
      <c r="F12" s="15">
        <v>5</v>
      </c>
      <c r="G12" s="15">
        <v>6</v>
      </c>
      <c r="H12" s="2">
        <v>7</v>
      </c>
      <c r="I12" s="2">
        <v>8</v>
      </c>
      <c r="J12" s="2">
        <v>9</v>
      </c>
      <c r="K12" s="2">
        <v>10</v>
      </c>
      <c r="L12" s="2">
        <v>11</v>
      </c>
      <c r="M12" s="2">
        <v>12</v>
      </c>
      <c r="N12" s="2">
        <v>13</v>
      </c>
      <c r="O12" s="14">
        <v>14</v>
      </c>
    </row>
    <row r="13" spans="1:15" ht="31.5" x14ac:dyDescent="0.25">
      <c r="A13" s="95">
        <v>1</v>
      </c>
      <c r="B13" s="443" t="s">
        <v>99</v>
      </c>
      <c r="C13" s="444"/>
      <c r="D13" s="26" t="s">
        <v>100</v>
      </c>
      <c r="E13" s="12"/>
      <c r="F13" s="12"/>
      <c r="G13" s="9" t="s">
        <v>56</v>
      </c>
      <c r="H13" s="9">
        <v>2008</v>
      </c>
      <c r="I13" s="9" t="s">
        <v>101</v>
      </c>
      <c r="J13" s="11" t="s">
        <v>97</v>
      </c>
      <c r="K13" s="20">
        <v>1730000</v>
      </c>
      <c r="L13" s="9" t="s">
        <v>26</v>
      </c>
      <c r="M13" s="12"/>
      <c r="N13" s="12"/>
      <c r="O13" s="10" t="s">
        <v>240</v>
      </c>
    </row>
    <row r="14" spans="1:15" ht="31.5" x14ac:dyDescent="0.25">
      <c r="A14" s="95">
        <f>A13+1</f>
        <v>2</v>
      </c>
      <c r="B14" s="443" t="s">
        <v>99</v>
      </c>
      <c r="C14" s="444"/>
      <c r="D14" s="26" t="s">
        <v>102</v>
      </c>
      <c r="E14" s="12"/>
      <c r="F14" s="12"/>
      <c r="G14" s="9" t="s">
        <v>56</v>
      </c>
      <c r="H14" s="9">
        <v>2013</v>
      </c>
      <c r="I14" s="9" t="s">
        <v>101</v>
      </c>
      <c r="J14" s="11" t="s">
        <v>60</v>
      </c>
      <c r="K14" s="20">
        <v>2820699</v>
      </c>
      <c r="L14" s="9" t="s">
        <v>26</v>
      </c>
      <c r="M14" s="12"/>
      <c r="N14" s="12"/>
      <c r="O14" s="10" t="s">
        <v>240</v>
      </c>
    </row>
    <row r="15" spans="1:15" ht="31.5" x14ac:dyDescent="0.25">
      <c r="A15" s="95">
        <f t="shared" ref="A15:A57" si="0">A14+1</f>
        <v>3</v>
      </c>
      <c r="B15" s="443" t="s">
        <v>99</v>
      </c>
      <c r="C15" s="444"/>
      <c r="D15" s="26" t="s">
        <v>103</v>
      </c>
      <c r="E15" s="12"/>
      <c r="F15" s="12"/>
      <c r="G15" s="9" t="s">
        <v>56</v>
      </c>
      <c r="H15" s="9">
        <v>2014</v>
      </c>
      <c r="I15" s="9" t="s">
        <v>101</v>
      </c>
      <c r="J15" s="11" t="s">
        <v>89</v>
      </c>
      <c r="K15" s="20">
        <v>3669674</v>
      </c>
      <c r="L15" s="9" t="s">
        <v>26</v>
      </c>
      <c r="M15" s="12"/>
      <c r="N15" s="12"/>
      <c r="O15" s="10" t="s">
        <v>240</v>
      </c>
    </row>
    <row r="16" spans="1:15" ht="31.5" x14ac:dyDescent="0.25">
      <c r="A16" s="95">
        <f t="shared" si="0"/>
        <v>4</v>
      </c>
      <c r="B16" s="443" t="s">
        <v>104</v>
      </c>
      <c r="C16" s="444"/>
      <c r="D16" s="26" t="s">
        <v>100</v>
      </c>
      <c r="E16" s="12"/>
      <c r="F16" s="12"/>
      <c r="G16" s="30" t="s">
        <v>56</v>
      </c>
      <c r="H16" s="9">
        <v>2006</v>
      </c>
      <c r="I16" s="9" t="s">
        <v>105</v>
      </c>
      <c r="J16" s="11" t="s">
        <v>54</v>
      </c>
      <c r="K16" s="20">
        <v>1220000</v>
      </c>
      <c r="L16" s="9" t="s">
        <v>26</v>
      </c>
      <c r="M16" s="31" t="s">
        <v>106</v>
      </c>
      <c r="N16" s="12"/>
      <c r="O16" s="10" t="s">
        <v>240</v>
      </c>
    </row>
    <row r="17" spans="1:15" ht="31.5" x14ac:dyDescent="0.25">
      <c r="A17" s="95">
        <f t="shared" si="0"/>
        <v>5</v>
      </c>
      <c r="B17" s="443" t="s">
        <v>104</v>
      </c>
      <c r="C17" s="444"/>
      <c r="D17" s="26" t="s">
        <v>100</v>
      </c>
      <c r="E17" s="12"/>
      <c r="F17" s="12"/>
      <c r="G17" s="30" t="s">
        <v>56</v>
      </c>
      <c r="H17" s="9">
        <v>2008</v>
      </c>
      <c r="I17" s="9" t="s">
        <v>105</v>
      </c>
      <c r="J17" s="11" t="s">
        <v>107</v>
      </c>
      <c r="K17" s="20">
        <v>1220000</v>
      </c>
      <c r="L17" s="9" t="s">
        <v>26</v>
      </c>
      <c r="M17" s="12"/>
      <c r="N17" s="12"/>
      <c r="O17" s="10" t="s">
        <v>240</v>
      </c>
    </row>
    <row r="18" spans="1:15" ht="31.5" x14ac:dyDescent="0.25">
      <c r="A18" s="95">
        <f t="shared" si="0"/>
        <v>6</v>
      </c>
      <c r="B18" s="443" t="s">
        <v>104</v>
      </c>
      <c r="C18" s="444"/>
      <c r="D18" s="26" t="s">
        <v>108</v>
      </c>
      <c r="E18" s="12"/>
      <c r="F18" s="12"/>
      <c r="G18" s="30" t="s">
        <v>56</v>
      </c>
      <c r="H18" s="9">
        <v>2013</v>
      </c>
      <c r="I18" s="9" t="s">
        <v>105</v>
      </c>
      <c r="J18" s="11" t="s">
        <v>58</v>
      </c>
      <c r="K18" s="20">
        <v>2880334</v>
      </c>
      <c r="L18" s="9" t="s">
        <v>26</v>
      </c>
      <c r="M18" s="12"/>
      <c r="N18" s="12"/>
      <c r="O18" s="10" t="s">
        <v>240</v>
      </c>
    </row>
    <row r="19" spans="1:15" ht="31.5" x14ac:dyDescent="0.25">
      <c r="A19" s="95">
        <f t="shared" si="0"/>
        <v>7</v>
      </c>
      <c r="B19" s="443" t="s">
        <v>104</v>
      </c>
      <c r="C19" s="444"/>
      <c r="D19" s="26" t="s">
        <v>109</v>
      </c>
      <c r="E19" s="12"/>
      <c r="F19" s="12"/>
      <c r="G19" s="30" t="s">
        <v>56</v>
      </c>
      <c r="H19" s="9">
        <v>2014</v>
      </c>
      <c r="I19" s="9" t="s">
        <v>105</v>
      </c>
      <c r="J19" s="11" t="s">
        <v>110</v>
      </c>
      <c r="K19" s="20">
        <v>3292653</v>
      </c>
      <c r="L19" s="9" t="s">
        <v>26</v>
      </c>
      <c r="M19" s="12"/>
      <c r="N19" s="12"/>
      <c r="O19" s="10" t="s">
        <v>240</v>
      </c>
    </row>
    <row r="20" spans="1:15" ht="31.5" x14ac:dyDescent="0.25">
      <c r="A20" s="95">
        <f t="shared" si="0"/>
        <v>8</v>
      </c>
      <c r="B20" s="443" t="s">
        <v>104</v>
      </c>
      <c r="C20" s="444"/>
      <c r="D20" s="26" t="s">
        <v>109</v>
      </c>
      <c r="E20" s="12"/>
      <c r="F20" s="12"/>
      <c r="G20" s="30" t="s">
        <v>56</v>
      </c>
      <c r="H20" s="9">
        <v>2014</v>
      </c>
      <c r="I20" s="9" t="s">
        <v>105</v>
      </c>
      <c r="J20" s="11" t="s">
        <v>111</v>
      </c>
      <c r="K20" s="20">
        <v>3292652</v>
      </c>
      <c r="L20" s="9" t="s">
        <v>26</v>
      </c>
      <c r="M20" s="12"/>
      <c r="N20" s="12"/>
      <c r="O20" s="10" t="s">
        <v>240</v>
      </c>
    </row>
    <row r="21" spans="1:15" ht="47.25" x14ac:dyDescent="0.25">
      <c r="A21" s="95">
        <f t="shared" si="0"/>
        <v>9</v>
      </c>
      <c r="B21" s="443" t="s">
        <v>61</v>
      </c>
      <c r="C21" s="444"/>
      <c r="D21" s="26" t="s">
        <v>116</v>
      </c>
      <c r="E21" s="12"/>
      <c r="F21" s="12"/>
      <c r="G21" s="30" t="s">
        <v>50</v>
      </c>
      <c r="H21" s="9">
        <v>2013</v>
      </c>
      <c r="I21" s="9" t="s">
        <v>62</v>
      </c>
      <c r="J21" s="11" t="s">
        <v>117</v>
      </c>
      <c r="K21" s="20">
        <v>486971.68</v>
      </c>
      <c r="L21" s="9" t="s">
        <v>26</v>
      </c>
      <c r="M21" s="12"/>
      <c r="N21" s="4"/>
      <c r="O21" s="10" t="s">
        <v>240</v>
      </c>
    </row>
    <row r="22" spans="1:15" ht="47.25" x14ac:dyDescent="0.25">
      <c r="A22" s="95">
        <f t="shared" si="0"/>
        <v>10</v>
      </c>
      <c r="B22" s="443" t="s">
        <v>61</v>
      </c>
      <c r="C22" s="444"/>
      <c r="D22" s="26" t="s">
        <v>116</v>
      </c>
      <c r="E22" s="12"/>
      <c r="F22" s="12"/>
      <c r="G22" s="30" t="s">
        <v>50</v>
      </c>
      <c r="H22" s="9">
        <v>2013</v>
      </c>
      <c r="I22" s="9" t="s">
        <v>62</v>
      </c>
      <c r="J22" s="11" t="s">
        <v>118</v>
      </c>
      <c r="K22" s="20">
        <v>486971.68</v>
      </c>
      <c r="L22" s="9" t="s">
        <v>26</v>
      </c>
      <c r="M22" s="12"/>
      <c r="N22" s="4"/>
      <c r="O22" s="26" t="s">
        <v>571</v>
      </c>
    </row>
    <row r="23" spans="1:15" ht="31.5" x14ac:dyDescent="0.25">
      <c r="A23" s="95">
        <f t="shared" si="0"/>
        <v>11</v>
      </c>
      <c r="B23" s="443" t="s">
        <v>61</v>
      </c>
      <c r="C23" s="444"/>
      <c r="D23" s="26" t="s">
        <v>245</v>
      </c>
      <c r="E23" s="32"/>
      <c r="F23" s="32"/>
      <c r="G23" s="9" t="s">
        <v>50</v>
      </c>
      <c r="H23" s="9">
        <v>2014</v>
      </c>
      <c r="I23" s="9" t="s">
        <v>62</v>
      </c>
      <c r="J23" s="11" t="s">
        <v>64</v>
      </c>
      <c r="K23" s="20">
        <v>794180</v>
      </c>
      <c r="L23" s="9" t="s">
        <v>26</v>
      </c>
      <c r="M23" s="109"/>
      <c r="N23" s="32"/>
      <c r="O23" s="26" t="s">
        <v>238</v>
      </c>
    </row>
    <row r="24" spans="1:15" ht="31.5" x14ac:dyDescent="0.25">
      <c r="A24" s="95">
        <f t="shared" si="0"/>
        <v>12</v>
      </c>
      <c r="B24" s="443" t="s">
        <v>61</v>
      </c>
      <c r="C24" s="444"/>
      <c r="D24" s="26" t="s">
        <v>119</v>
      </c>
      <c r="E24" s="12"/>
      <c r="F24" s="12"/>
      <c r="G24" s="30" t="s">
        <v>50</v>
      </c>
      <c r="H24" s="9">
        <v>2014</v>
      </c>
      <c r="I24" s="9" t="s">
        <v>62</v>
      </c>
      <c r="J24" s="11" t="s">
        <v>120</v>
      </c>
      <c r="K24" s="20">
        <v>794180</v>
      </c>
      <c r="L24" s="9" t="s">
        <v>26</v>
      </c>
      <c r="M24" s="12"/>
      <c r="N24" s="4"/>
      <c r="O24" s="10" t="s">
        <v>571</v>
      </c>
    </row>
    <row r="25" spans="1:15" ht="31.5" x14ac:dyDescent="0.25">
      <c r="A25" s="95">
        <f t="shared" si="0"/>
        <v>13</v>
      </c>
      <c r="B25" s="443" t="s">
        <v>61</v>
      </c>
      <c r="C25" s="444"/>
      <c r="D25" s="26" t="s">
        <v>119</v>
      </c>
      <c r="E25" s="12"/>
      <c r="F25" s="12"/>
      <c r="G25" s="30" t="s">
        <v>50</v>
      </c>
      <c r="H25" s="9">
        <v>2014</v>
      </c>
      <c r="I25" s="9" t="s">
        <v>62</v>
      </c>
      <c r="J25" s="11" t="s">
        <v>93</v>
      </c>
      <c r="K25" s="20">
        <v>794180</v>
      </c>
      <c r="L25" s="9" t="s">
        <v>26</v>
      </c>
      <c r="M25" s="12"/>
      <c r="N25" s="4"/>
      <c r="O25" s="10" t="s">
        <v>240</v>
      </c>
    </row>
    <row r="26" spans="1:15" ht="31.5" x14ac:dyDescent="0.25">
      <c r="A26" s="95">
        <f t="shared" si="0"/>
        <v>14</v>
      </c>
      <c r="B26" s="443" t="s">
        <v>61</v>
      </c>
      <c r="C26" s="444"/>
      <c r="D26" s="26" t="s">
        <v>245</v>
      </c>
      <c r="E26" s="32"/>
      <c r="F26" s="32"/>
      <c r="G26" s="9" t="s">
        <v>50</v>
      </c>
      <c r="H26" s="9">
        <v>2014</v>
      </c>
      <c r="I26" s="9" t="s">
        <v>62</v>
      </c>
      <c r="J26" s="11" t="s">
        <v>63</v>
      </c>
      <c r="K26" s="20">
        <v>794180</v>
      </c>
      <c r="L26" s="9" t="s">
        <v>26</v>
      </c>
      <c r="M26" s="109"/>
      <c r="N26" s="27"/>
      <c r="O26" s="26" t="s">
        <v>238</v>
      </c>
    </row>
    <row r="27" spans="1:15" ht="31.5" x14ac:dyDescent="0.25">
      <c r="A27" s="95">
        <f t="shared" si="0"/>
        <v>15</v>
      </c>
      <c r="B27" s="443" t="s">
        <v>61</v>
      </c>
      <c r="C27" s="444"/>
      <c r="D27" s="26" t="s">
        <v>119</v>
      </c>
      <c r="E27" s="12"/>
      <c r="F27" s="12"/>
      <c r="G27" s="30" t="s">
        <v>50</v>
      </c>
      <c r="H27" s="9">
        <v>2014</v>
      </c>
      <c r="I27" s="9" t="s">
        <v>62</v>
      </c>
      <c r="J27" s="11" t="s">
        <v>121</v>
      </c>
      <c r="K27" s="20">
        <v>794180</v>
      </c>
      <c r="L27" s="9" t="s">
        <v>26</v>
      </c>
      <c r="M27" s="12"/>
      <c r="N27" s="4"/>
      <c r="O27" s="10" t="s">
        <v>240</v>
      </c>
    </row>
    <row r="28" spans="1:15" ht="33" customHeight="1" x14ac:dyDescent="0.25">
      <c r="A28" s="95">
        <f t="shared" si="0"/>
        <v>16</v>
      </c>
      <c r="B28" s="443" t="s">
        <v>122</v>
      </c>
      <c r="C28" s="444"/>
      <c r="D28" s="26" t="s">
        <v>123</v>
      </c>
      <c r="E28" s="12"/>
      <c r="F28" s="12"/>
      <c r="G28" s="30" t="s">
        <v>56</v>
      </c>
      <c r="H28" s="9">
        <v>2009</v>
      </c>
      <c r="I28" s="9" t="s">
        <v>124</v>
      </c>
      <c r="J28" s="11" t="s">
        <v>54</v>
      </c>
      <c r="K28" s="20">
        <v>350000</v>
      </c>
      <c r="L28" s="9" t="s">
        <v>26</v>
      </c>
      <c r="M28" s="12"/>
      <c r="N28" s="4"/>
      <c r="O28" s="10" t="s">
        <v>571</v>
      </c>
    </row>
    <row r="29" spans="1:15" ht="33" customHeight="1" x14ac:dyDescent="0.25">
      <c r="A29" s="95">
        <f t="shared" si="0"/>
        <v>17</v>
      </c>
      <c r="B29" s="443" t="s">
        <v>122</v>
      </c>
      <c r="C29" s="444"/>
      <c r="D29" s="26" t="s">
        <v>123</v>
      </c>
      <c r="E29" s="12"/>
      <c r="F29" s="12"/>
      <c r="G29" s="30" t="s">
        <v>56</v>
      </c>
      <c r="H29" s="9">
        <v>2009</v>
      </c>
      <c r="I29" s="9" t="s">
        <v>124</v>
      </c>
      <c r="J29" s="11" t="s">
        <v>125</v>
      </c>
      <c r="K29" s="20">
        <v>350000</v>
      </c>
      <c r="L29" s="9" t="s">
        <v>26</v>
      </c>
      <c r="M29" s="12"/>
      <c r="N29" s="4"/>
      <c r="O29" s="10" t="s">
        <v>571</v>
      </c>
    </row>
    <row r="30" spans="1:15" ht="33" customHeight="1" x14ac:dyDescent="0.25">
      <c r="A30" s="95">
        <f t="shared" si="0"/>
        <v>18</v>
      </c>
      <c r="B30" s="443" t="s">
        <v>122</v>
      </c>
      <c r="C30" s="444"/>
      <c r="D30" s="26" t="s">
        <v>123</v>
      </c>
      <c r="E30" s="12"/>
      <c r="F30" s="12"/>
      <c r="G30" s="30" t="s">
        <v>56</v>
      </c>
      <c r="H30" s="9">
        <v>2009</v>
      </c>
      <c r="I30" s="9" t="s">
        <v>124</v>
      </c>
      <c r="J30" s="11" t="s">
        <v>67</v>
      </c>
      <c r="K30" s="20">
        <v>350000</v>
      </c>
      <c r="L30" s="9" t="s">
        <v>26</v>
      </c>
      <c r="M30" s="12"/>
      <c r="N30" s="4"/>
      <c r="O30" s="10" t="s">
        <v>240</v>
      </c>
    </row>
    <row r="31" spans="1:15" ht="28.5" customHeight="1" x14ac:dyDescent="0.25">
      <c r="A31" s="95">
        <f t="shared" si="0"/>
        <v>19</v>
      </c>
      <c r="B31" s="443" t="s">
        <v>94</v>
      </c>
      <c r="C31" s="446"/>
      <c r="D31" s="26" t="s">
        <v>95</v>
      </c>
      <c r="E31" s="27"/>
      <c r="F31" s="27"/>
      <c r="G31" s="9"/>
      <c r="H31" s="7">
        <v>2018</v>
      </c>
      <c r="I31" s="9" t="s">
        <v>96</v>
      </c>
      <c r="J31" s="11" t="s">
        <v>58</v>
      </c>
      <c r="K31" s="19">
        <v>333232</v>
      </c>
      <c r="L31" s="9" t="s">
        <v>26</v>
      </c>
      <c r="M31" s="26"/>
      <c r="N31" s="27"/>
      <c r="O31" s="26" t="s">
        <v>237</v>
      </c>
    </row>
    <row r="32" spans="1:15" ht="28.5" customHeight="1" x14ac:dyDescent="0.25">
      <c r="A32" s="95">
        <f t="shared" si="0"/>
        <v>20</v>
      </c>
      <c r="B32" s="451" t="s">
        <v>94</v>
      </c>
      <c r="C32" s="452"/>
      <c r="D32" s="26" t="s">
        <v>95</v>
      </c>
      <c r="E32" s="27"/>
      <c r="F32" s="27"/>
      <c r="G32" s="9"/>
      <c r="H32" s="7">
        <v>2018</v>
      </c>
      <c r="I32" s="9" t="s">
        <v>96</v>
      </c>
      <c r="J32" s="11" t="s">
        <v>97</v>
      </c>
      <c r="K32" s="19">
        <v>333232</v>
      </c>
      <c r="L32" s="9" t="s">
        <v>26</v>
      </c>
      <c r="M32" s="26"/>
      <c r="N32" s="27"/>
      <c r="O32" s="26" t="s">
        <v>237</v>
      </c>
    </row>
    <row r="33" spans="1:15" ht="28.5" customHeight="1" x14ac:dyDescent="0.25">
      <c r="A33" s="95">
        <f t="shared" si="0"/>
        <v>21</v>
      </c>
      <c r="B33" s="447" t="s">
        <v>44</v>
      </c>
      <c r="C33" s="448"/>
      <c r="D33" s="55" t="s">
        <v>79</v>
      </c>
      <c r="E33" s="55"/>
      <c r="F33" s="46"/>
      <c r="G33" s="39" t="s">
        <v>80</v>
      </c>
      <c r="H33" s="39">
        <v>2013</v>
      </c>
      <c r="I33" s="39" t="s">
        <v>45</v>
      </c>
      <c r="J33" s="56" t="s">
        <v>43</v>
      </c>
      <c r="K33" s="63" t="s">
        <v>81</v>
      </c>
      <c r="L33" s="39" t="s">
        <v>26</v>
      </c>
      <c r="M33" s="26"/>
      <c r="N33" s="46"/>
      <c r="O33" s="26" t="s">
        <v>237</v>
      </c>
    </row>
    <row r="34" spans="1:15" ht="28.5" customHeight="1" x14ac:dyDescent="0.25">
      <c r="A34" s="95">
        <f t="shared" si="0"/>
        <v>22</v>
      </c>
      <c r="B34" s="443" t="s">
        <v>44</v>
      </c>
      <c r="C34" s="444"/>
      <c r="D34" s="26" t="s">
        <v>69</v>
      </c>
      <c r="E34" s="26"/>
      <c r="F34" s="32"/>
      <c r="G34" s="9"/>
      <c r="H34" s="9">
        <v>2020</v>
      </c>
      <c r="I34" s="9" t="s">
        <v>45</v>
      </c>
      <c r="J34" s="11" t="s">
        <v>54</v>
      </c>
      <c r="K34" s="20">
        <v>12524430</v>
      </c>
      <c r="L34" s="9" t="s">
        <v>26</v>
      </c>
      <c r="M34" s="109"/>
      <c r="N34" s="32"/>
      <c r="O34" s="26" t="s">
        <v>238</v>
      </c>
    </row>
    <row r="35" spans="1:15" ht="28.5" customHeight="1" x14ac:dyDescent="0.25">
      <c r="A35" s="95">
        <f t="shared" si="0"/>
        <v>23</v>
      </c>
      <c r="B35" s="443" t="s">
        <v>55</v>
      </c>
      <c r="C35" s="446"/>
      <c r="D35" s="26" t="s">
        <v>242</v>
      </c>
      <c r="E35" s="27"/>
      <c r="F35" s="27"/>
      <c r="G35" s="9" t="s">
        <v>56</v>
      </c>
      <c r="H35" s="7">
        <v>2012</v>
      </c>
      <c r="I35" s="9" t="s">
        <v>57</v>
      </c>
      <c r="J35" s="11" t="s">
        <v>43</v>
      </c>
      <c r="K35" s="19">
        <v>1975000</v>
      </c>
      <c r="L35" s="9" t="s">
        <v>26</v>
      </c>
      <c r="M35" s="109"/>
      <c r="N35" s="27"/>
      <c r="O35" s="26" t="s">
        <v>238</v>
      </c>
    </row>
    <row r="36" spans="1:15" ht="28.5" customHeight="1" x14ac:dyDescent="0.25">
      <c r="A36" s="95">
        <f t="shared" si="0"/>
        <v>24</v>
      </c>
      <c r="B36" s="443" t="s">
        <v>52</v>
      </c>
      <c r="C36" s="444"/>
      <c r="D36" s="26" t="s">
        <v>243</v>
      </c>
      <c r="E36" s="32"/>
      <c r="F36" s="32"/>
      <c r="G36" s="9" t="s">
        <v>59</v>
      </c>
      <c r="H36" s="9">
        <v>2019</v>
      </c>
      <c r="I36" s="9" t="s">
        <v>53</v>
      </c>
      <c r="J36" s="11" t="s">
        <v>60</v>
      </c>
      <c r="K36" s="20">
        <v>5033356</v>
      </c>
      <c r="L36" s="9" t="s">
        <v>26</v>
      </c>
      <c r="M36" s="109"/>
      <c r="N36" s="32"/>
      <c r="O36" s="26" t="s">
        <v>238</v>
      </c>
    </row>
    <row r="37" spans="1:15" ht="28.5" customHeight="1" x14ac:dyDescent="0.25">
      <c r="A37" s="95">
        <f t="shared" si="0"/>
        <v>25</v>
      </c>
      <c r="B37" s="447" t="s">
        <v>52</v>
      </c>
      <c r="C37" s="448"/>
      <c r="D37" s="55" t="s">
        <v>82</v>
      </c>
      <c r="E37" s="46"/>
      <c r="F37" s="46"/>
      <c r="G37" s="49"/>
      <c r="H37" s="39">
        <v>2020</v>
      </c>
      <c r="I37" s="39" t="s">
        <v>53</v>
      </c>
      <c r="J37" s="56" t="s">
        <v>83</v>
      </c>
      <c r="K37" s="90">
        <v>8165750</v>
      </c>
      <c r="L37" s="39" t="s">
        <v>26</v>
      </c>
      <c r="M37" s="26"/>
      <c r="N37" s="46"/>
      <c r="O37" s="26" t="s">
        <v>237</v>
      </c>
    </row>
    <row r="38" spans="1:15" ht="31.5" x14ac:dyDescent="0.25">
      <c r="A38" s="95">
        <f t="shared" si="0"/>
        <v>26</v>
      </c>
      <c r="B38" s="443" t="s">
        <v>65</v>
      </c>
      <c r="C38" s="444"/>
      <c r="D38" s="26" t="s">
        <v>244</v>
      </c>
      <c r="E38" s="32"/>
      <c r="F38" s="32"/>
      <c r="G38" s="9" t="s">
        <v>50</v>
      </c>
      <c r="H38" s="9">
        <v>2014</v>
      </c>
      <c r="I38" s="9" t="s">
        <v>66</v>
      </c>
      <c r="J38" s="11" t="s">
        <v>67</v>
      </c>
      <c r="K38" s="20">
        <v>10223684</v>
      </c>
      <c r="L38" s="9" t="s">
        <v>26</v>
      </c>
      <c r="M38" s="109"/>
      <c r="N38" s="32"/>
      <c r="O38" s="26" t="s">
        <v>238</v>
      </c>
    </row>
    <row r="39" spans="1:15" ht="31.5" x14ac:dyDescent="0.25">
      <c r="A39" s="95">
        <f t="shared" si="0"/>
        <v>27</v>
      </c>
      <c r="B39" s="443" t="s">
        <v>65</v>
      </c>
      <c r="C39" s="444"/>
      <c r="D39" s="26" t="s">
        <v>73</v>
      </c>
      <c r="E39" s="32"/>
      <c r="F39" s="32"/>
      <c r="G39" s="9"/>
      <c r="H39" s="9">
        <v>2020</v>
      </c>
      <c r="I39" s="9" t="s">
        <v>66</v>
      </c>
      <c r="J39" s="11" t="s">
        <v>74</v>
      </c>
      <c r="K39" s="20">
        <f>16532240/3</f>
        <v>5510746.666666667</v>
      </c>
      <c r="L39" s="9" t="s">
        <v>26</v>
      </c>
      <c r="M39" s="109"/>
      <c r="N39" s="32"/>
      <c r="O39" s="26" t="s">
        <v>238</v>
      </c>
    </row>
    <row r="40" spans="1:15" ht="63" x14ac:dyDescent="0.25">
      <c r="A40" s="95">
        <f t="shared" si="0"/>
        <v>28</v>
      </c>
      <c r="B40" s="443" t="s">
        <v>273</v>
      </c>
      <c r="C40" s="444"/>
      <c r="D40" s="26" t="s">
        <v>274</v>
      </c>
      <c r="E40" s="32"/>
      <c r="F40" s="32"/>
      <c r="G40" s="9" t="s">
        <v>50</v>
      </c>
      <c r="H40" s="9">
        <v>2019</v>
      </c>
      <c r="I40" s="9" t="s">
        <v>275</v>
      </c>
      <c r="J40" s="11" t="s">
        <v>54</v>
      </c>
      <c r="K40" s="20">
        <v>4620620</v>
      </c>
      <c r="L40" s="9" t="s">
        <v>26</v>
      </c>
      <c r="M40" s="109"/>
      <c r="N40" s="32"/>
      <c r="O40" s="26" t="s">
        <v>238</v>
      </c>
    </row>
    <row r="41" spans="1:15" ht="110.25" x14ac:dyDescent="0.25">
      <c r="A41" s="95">
        <f t="shared" si="0"/>
        <v>29</v>
      </c>
      <c r="B41" s="443" t="s">
        <v>133</v>
      </c>
      <c r="C41" s="444"/>
      <c r="D41" s="26" t="s">
        <v>134</v>
      </c>
      <c r="E41" s="4"/>
      <c r="F41" s="4"/>
      <c r="G41" s="32" t="s">
        <v>50</v>
      </c>
      <c r="H41" s="30" t="s">
        <v>135</v>
      </c>
      <c r="I41" s="9" t="s">
        <v>136</v>
      </c>
      <c r="J41" s="11" t="s">
        <v>137</v>
      </c>
      <c r="K41" s="19">
        <v>3922641.51</v>
      </c>
      <c r="L41" s="9" t="s">
        <v>26</v>
      </c>
      <c r="M41" s="27"/>
      <c r="N41" s="27"/>
      <c r="O41" s="26" t="s">
        <v>571</v>
      </c>
    </row>
    <row r="42" spans="1:15" ht="31.5" x14ac:dyDescent="0.25">
      <c r="A42" s="95">
        <f t="shared" si="0"/>
        <v>30</v>
      </c>
      <c r="B42" s="443" t="s">
        <v>133</v>
      </c>
      <c r="C42" s="444"/>
      <c r="D42" s="26" t="s">
        <v>138</v>
      </c>
      <c r="E42" s="4"/>
      <c r="F42" s="4"/>
      <c r="G42" s="32" t="s">
        <v>50</v>
      </c>
      <c r="H42" s="30">
        <v>2015</v>
      </c>
      <c r="I42" s="9" t="s">
        <v>136</v>
      </c>
      <c r="J42" s="11" t="s">
        <v>111</v>
      </c>
      <c r="K42" s="19">
        <v>6026316</v>
      </c>
      <c r="L42" s="9" t="s">
        <v>26</v>
      </c>
      <c r="M42" s="27"/>
      <c r="N42" s="27"/>
      <c r="O42" s="10" t="s">
        <v>571</v>
      </c>
    </row>
    <row r="43" spans="1:15" ht="47.25" x14ac:dyDescent="0.25">
      <c r="A43" s="95">
        <f t="shared" si="0"/>
        <v>31</v>
      </c>
      <c r="B43" s="443" t="s">
        <v>133</v>
      </c>
      <c r="C43" s="444"/>
      <c r="D43" s="26" t="s">
        <v>139</v>
      </c>
      <c r="E43" s="4"/>
      <c r="F43" s="4"/>
      <c r="G43" s="32" t="s">
        <v>50</v>
      </c>
      <c r="H43" s="30">
        <v>2019</v>
      </c>
      <c r="I43" s="9" t="s">
        <v>136</v>
      </c>
      <c r="J43" s="11" t="s">
        <v>140</v>
      </c>
      <c r="K43" s="19">
        <v>5327418</v>
      </c>
      <c r="L43" s="9" t="s">
        <v>26</v>
      </c>
      <c r="M43" s="27"/>
      <c r="N43" s="27"/>
      <c r="O43" s="26" t="s">
        <v>571</v>
      </c>
    </row>
    <row r="44" spans="1:15" ht="31.5" x14ac:dyDescent="0.25">
      <c r="A44" s="95">
        <f t="shared" si="0"/>
        <v>32</v>
      </c>
      <c r="B44" s="443" t="s">
        <v>133</v>
      </c>
      <c r="C44" s="444"/>
      <c r="D44" s="26" t="s">
        <v>276</v>
      </c>
      <c r="E44" s="4"/>
      <c r="F44" s="4"/>
      <c r="G44" s="32" t="s">
        <v>91</v>
      </c>
      <c r="H44" s="30">
        <v>2020</v>
      </c>
      <c r="I44" s="9" t="s">
        <v>136</v>
      </c>
      <c r="J44" s="11" t="s">
        <v>145</v>
      </c>
      <c r="K44" s="19">
        <v>5567960</v>
      </c>
      <c r="L44" s="9" t="s">
        <v>26</v>
      </c>
      <c r="M44" s="27"/>
      <c r="N44" s="27"/>
      <c r="O44" s="10" t="s">
        <v>240</v>
      </c>
    </row>
    <row r="45" spans="1:15" ht="31.5" x14ac:dyDescent="0.25">
      <c r="A45" s="95">
        <f t="shared" si="0"/>
        <v>33</v>
      </c>
      <c r="B45" s="443" t="s">
        <v>126</v>
      </c>
      <c r="C45" s="444"/>
      <c r="D45" s="26" t="s">
        <v>127</v>
      </c>
      <c r="E45" s="12"/>
      <c r="F45" s="12"/>
      <c r="G45" s="30" t="s">
        <v>50</v>
      </c>
      <c r="H45" s="9">
        <v>2016</v>
      </c>
      <c r="I45" s="9" t="s">
        <v>92</v>
      </c>
      <c r="J45" s="11" t="s">
        <v>128</v>
      </c>
      <c r="K45" s="20">
        <v>2000000</v>
      </c>
      <c r="L45" s="9" t="s">
        <v>26</v>
      </c>
      <c r="M45" s="12"/>
      <c r="N45" s="4"/>
      <c r="O45" s="26" t="s">
        <v>571</v>
      </c>
    </row>
    <row r="46" spans="1:15" ht="31.5" x14ac:dyDescent="0.25">
      <c r="A46" s="95">
        <f t="shared" si="0"/>
        <v>34</v>
      </c>
      <c r="B46" s="443" t="s">
        <v>126</v>
      </c>
      <c r="C46" s="444"/>
      <c r="D46" s="26" t="s">
        <v>127</v>
      </c>
      <c r="E46" s="12"/>
      <c r="F46" s="12"/>
      <c r="G46" s="30" t="s">
        <v>50</v>
      </c>
      <c r="H46" s="9">
        <v>2016</v>
      </c>
      <c r="I46" s="9" t="s">
        <v>92</v>
      </c>
      <c r="J46" s="11" t="s">
        <v>117</v>
      </c>
      <c r="K46" s="20">
        <v>2000000</v>
      </c>
      <c r="L46" s="9" t="s">
        <v>26</v>
      </c>
      <c r="M46" s="12"/>
      <c r="N46" s="4"/>
      <c r="O46" s="26" t="s">
        <v>571</v>
      </c>
    </row>
    <row r="47" spans="1:15" ht="94.5" x14ac:dyDescent="0.25">
      <c r="A47" s="95">
        <f t="shared" si="0"/>
        <v>35</v>
      </c>
      <c r="B47" s="443" t="s">
        <v>126</v>
      </c>
      <c r="C47" s="444"/>
      <c r="D47" s="26" t="s">
        <v>129</v>
      </c>
      <c r="E47" s="12"/>
      <c r="F47" s="12"/>
      <c r="G47" s="30"/>
      <c r="H47" s="9">
        <v>2019</v>
      </c>
      <c r="I47" s="9" t="s">
        <v>92</v>
      </c>
      <c r="J47" s="11" t="s">
        <v>130</v>
      </c>
      <c r="K47" s="20">
        <v>11056905</v>
      </c>
      <c r="L47" s="9" t="s">
        <v>26</v>
      </c>
      <c r="M47" s="12"/>
      <c r="N47" s="4"/>
      <c r="O47" s="26" t="s">
        <v>571</v>
      </c>
    </row>
    <row r="48" spans="1:15" ht="31.5" x14ac:dyDescent="0.25">
      <c r="A48" s="95">
        <f t="shared" si="0"/>
        <v>36</v>
      </c>
      <c r="B48" s="443" t="s">
        <v>126</v>
      </c>
      <c r="C48" s="444"/>
      <c r="D48" s="26" t="s">
        <v>131</v>
      </c>
      <c r="E48" s="12"/>
      <c r="F48" s="12"/>
      <c r="G48" s="30" t="s">
        <v>56</v>
      </c>
      <c r="H48" s="9">
        <v>2019</v>
      </c>
      <c r="I48" s="9" t="s">
        <v>92</v>
      </c>
      <c r="J48" s="11" t="s">
        <v>64</v>
      </c>
      <c r="K48" s="20">
        <v>2512933</v>
      </c>
      <c r="L48" s="9" t="s">
        <v>26</v>
      </c>
      <c r="M48" s="12"/>
      <c r="N48" s="4"/>
      <c r="O48" s="10" t="s">
        <v>571</v>
      </c>
    </row>
    <row r="49" spans="1:15" ht="31.5" x14ac:dyDescent="0.25">
      <c r="A49" s="95">
        <f t="shared" si="0"/>
        <v>37</v>
      </c>
      <c r="B49" s="443" t="s">
        <v>126</v>
      </c>
      <c r="C49" s="444"/>
      <c r="D49" s="26" t="s">
        <v>131</v>
      </c>
      <c r="E49" s="12"/>
      <c r="F49" s="12"/>
      <c r="G49" s="30" t="s">
        <v>56</v>
      </c>
      <c r="H49" s="9">
        <v>2019</v>
      </c>
      <c r="I49" s="9" t="s">
        <v>92</v>
      </c>
      <c r="J49" s="11" t="s">
        <v>120</v>
      </c>
      <c r="K49" s="20">
        <v>2512933</v>
      </c>
      <c r="L49" s="9" t="s">
        <v>26</v>
      </c>
      <c r="M49" s="12"/>
      <c r="N49" s="4"/>
      <c r="O49" s="10" t="s">
        <v>571</v>
      </c>
    </row>
    <row r="50" spans="1:15" ht="47.25" x14ac:dyDescent="0.25">
      <c r="A50" s="95">
        <f t="shared" si="0"/>
        <v>38</v>
      </c>
      <c r="B50" s="445" t="s">
        <v>84</v>
      </c>
      <c r="C50" s="446"/>
      <c r="D50" s="26" t="s">
        <v>90</v>
      </c>
      <c r="E50" s="27"/>
      <c r="F50" s="27"/>
      <c r="G50" s="9" t="s">
        <v>91</v>
      </c>
      <c r="H50" s="7">
        <v>2020</v>
      </c>
      <c r="I50" s="9" t="s">
        <v>92</v>
      </c>
      <c r="J50" s="11" t="s">
        <v>93</v>
      </c>
      <c r="K50" s="19">
        <v>2783950</v>
      </c>
      <c r="L50" s="9" t="s">
        <v>26</v>
      </c>
      <c r="M50" s="26"/>
      <c r="N50" s="27"/>
      <c r="O50" s="26" t="s">
        <v>237</v>
      </c>
    </row>
    <row r="51" spans="1:15" ht="47.25" x14ac:dyDescent="0.25">
      <c r="A51" s="95">
        <f t="shared" si="0"/>
        <v>39</v>
      </c>
      <c r="B51" s="445" t="s">
        <v>84</v>
      </c>
      <c r="C51" s="446"/>
      <c r="D51" s="26" t="s">
        <v>90</v>
      </c>
      <c r="E51" s="27"/>
      <c r="F51" s="27"/>
      <c r="G51" s="7"/>
      <c r="H51" s="7">
        <v>2020</v>
      </c>
      <c r="I51" s="9" t="s">
        <v>92</v>
      </c>
      <c r="J51" s="11" t="s">
        <v>132</v>
      </c>
      <c r="K51" s="28">
        <f>5516570/2</f>
        <v>2758285</v>
      </c>
      <c r="L51" s="9" t="s">
        <v>26</v>
      </c>
      <c r="M51" s="27"/>
      <c r="N51" s="27"/>
      <c r="O51" s="26" t="s">
        <v>384</v>
      </c>
    </row>
    <row r="52" spans="1:15" ht="47.25" x14ac:dyDescent="0.25">
      <c r="A52" s="95">
        <f t="shared" si="0"/>
        <v>40</v>
      </c>
      <c r="B52" s="447" t="s">
        <v>46</v>
      </c>
      <c r="C52" s="448"/>
      <c r="D52" s="48" t="s">
        <v>281</v>
      </c>
      <c r="E52" s="46"/>
      <c r="F52" s="46"/>
      <c r="G52" s="39" t="s">
        <v>42</v>
      </c>
      <c r="H52" s="39">
        <v>2014</v>
      </c>
      <c r="I52" s="39" t="s">
        <v>48</v>
      </c>
      <c r="J52" s="56" t="s">
        <v>43</v>
      </c>
      <c r="K52" s="90">
        <v>5780423</v>
      </c>
      <c r="L52" s="39" t="s">
        <v>26</v>
      </c>
      <c r="M52" s="26"/>
      <c r="N52" s="46"/>
      <c r="O52" s="26" t="s">
        <v>237</v>
      </c>
    </row>
    <row r="53" spans="1:15" ht="47.25" x14ac:dyDescent="0.25">
      <c r="A53" s="95">
        <f t="shared" si="0"/>
        <v>41</v>
      </c>
      <c r="B53" s="445" t="s">
        <v>46</v>
      </c>
      <c r="C53" s="446"/>
      <c r="D53" s="50" t="s">
        <v>47</v>
      </c>
      <c r="E53" s="27"/>
      <c r="F53" s="27"/>
      <c r="G53" s="7" t="s">
        <v>42</v>
      </c>
      <c r="H53" s="7">
        <v>2016</v>
      </c>
      <c r="I53" s="7" t="s">
        <v>48</v>
      </c>
      <c r="J53" s="8" t="s">
        <v>54</v>
      </c>
      <c r="K53" s="19">
        <v>2333333</v>
      </c>
      <c r="L53" s="7" t="s">
        <v>26</v>
      </c>
      <c r="M53" s="109"/>
      <c r="N53" s="27"/>
      <c r="O53" s="26" t="s">
        <v>238</v>
      </c>
    </row>
    <row r="54" spans="1:15" ht="31.5" x14ac:dyDescent="0.25">
      <c r="A54" s="95">
        <f t="shared" si="0"/>
        <v>42</v>
      </c>
      <c r="B54" s="443" t="s">
        <v>112</v>
      </c>
      <c r="C54" s="444"/>
      <c r="D54" s="26" t="s">
        <v>113</v>
      </c>
      <c r="E54" s="12"/>
      <c r="F54" s="12"/>
      <c r="G54" s="30"/>
      <c r="H54" s="9">
        <v>2020</v>
      </c>
      <c r="I54" s="9" t="s">
        <v>114</v>
      </c>
      <c r="J54" s="11" t="s">
        <v>115</v>
      </c>
      <c r="K54" s="20">
        <v>7053750</v>
      </c>
      <c r="L54" s="9" t="s">
        <v>26</v>
      </c>
      <c r="M54" s="12"/>
      <c r="N54" s="12"/>
      <c r="O54" s="26" t="s">
        <v>240</v>
      </c>
    </row>
    <row r="55" spans="1:15" ht="31.5" x14ac:dyDescent="0.25">
      <c r="A55" s="95">
        <f t="shared" si="0"/>
        <v>43</v>
      </c>
      <c r="B55" s="447" t="s">
        <v>49</v>
      </c>
      <c r="C55" s="448"/>
      <c r="D55" s="48" t="s">
        <v>280</v>
      </c>
      <c r="E55" s="46"/>
      <c r="F55" s="46"/>
      <c r="G55" s="39" t="s">
        <v>50</v>
      </c>
      <c r="H55" s="39">
        <v>2011</v>
      </c>
      <c r="I55" s="39" t="s">
        <v>51</v>
      </c>
      <c r="J55" s="56" t="s">
        <v>74</v>
      </c>
      <c r="K55" s="90">
        <v>1485000</v>
      </c>
      <c r="L55" s="39" t="s">
        <v>26</v>
      </c>
      <c r="M55" s="26"/>
      <c r="N55" s="46"/>
      <c r="O55" s="26" t="s">
        <v>237</v>
      </c>
    </row>
    <row r="56" spans="1:15" ht="31.5" x14ac:dyDescent="0.25">
      <c r="A56" s="95">
        <f t="shared" si="0"/>
        <v>44</v>
      </c>
      <c r="B56" s="443" t="s">
        <v>49</v>
      </c>
      <c r="C56" s="444"/>
      <c r="D56" s="26" t="s">
        <v>241</v>
      </c>
      <c r="E56" s="32"/>
      <c r="F56" s="32"/>
      <c r="G56" s="9" t="s">
        <v>50</v>
      </c>
      <c r="H56" s="9">
        <v>2011</v>
      </c>
      <c r="I56" s="9" t="s">
        <v>51</v>
      </c>
      <c r="J56" s="11" t="s">
        <v>58</v>
      </c>
      <c r="K56" s="20">
        <v>1485000</v>
      </c>
      <c r="L56" s="9" t="s">
        <v>26</v>
      </c>
      <c r="M56" s="109"/>
      <c r="N56" s="32"/>
    </row>
    <row r="57" spans="1:15" ht="63" x14ac:dyDescent="0.25">
      <c r="A57" s="95">
        <f t="shared" si="0"/>
        <v>45</v>
      </c>
      <c r="B57" s="449" t="s">
        <v>75</v>
      </c>
      <c r="C57" s="450"/>
      <c r="D57" s="59" t="s">
        <v>76</v>
      </c>
      <c r="E57" s="60"/>
      <c r="F57" s="60"/>
      <c r="G57" s="39" t="s">
        <v>42</v>
      </c>
      <c r="H57" s="39">
        <v>2016</v>
      </c>
      <c r="I57" s="39" t="s">
        <v>77</v>
      </c>
      <c r="J57" s="56" t="s">
        <v>43</v>
      </c>
      <c r="K57" s="90" t="s">
        <v>78</v>
      </c>
      <c r="L57" s="39" t="s">
        <v>26</v>
      </c>
      <c r="M57" s="26"/>
      <c r="N57" s="60"/>
      <c r="O57" s="26" t="s">
        <v>237</v>
      </c>
    </row>
    <row r="58" spans="1:15" x14ac:dyDescent="0.25">
      <c r="A58" s="7">
        <f t="shared" ref="A58:A72" si="1">A57+1</f>
        <v>46</v>
      </c>
    </row>
    <row r="59" spans="1:15" x14ac:dyDescent="0.25">
      <c r="A59" s="7">
        <f t="shared" si="1"/>
        <v>47</v>
      </c>
    </row>
    <row r="60" spans="1:15" x14ac:dyDescent="0.25">
      <c r="A60" s="7">
        <f t="shared" si="1"/>
        <v>48</v>
      </c>
    </row>
    <row r="61" spans="1:15" x14ac:dyDescent="0.25">
      <c r="A61" s="7">
        <f t="shared" si="1"/>
        <v>49</v>
      </c>
    </row>
    <row r="62" spans="1:15" x14ac:dyDescent="0.25">
      <c r="A62" s="7">
        <f t="shared" si="1"/>
        <v>50</v>
      </c>
    </row>
    <row r="63" spans="1:15" x14ac:dyDescent="0.25">
      <c r="A63" s="7">
        <f t="shared" si="1"/>
        <v>51</v>
      </c>
    </row>
    <row r="64" spans="1:15" x14ac:dyDescent="0.25">
      <c r="A64" s="7">
        <f t="shared" si="1"/>
        <v>52</v>
      </c>
    </row>
    <row r="65" spans="1:15" x14ac:dyDescent="0.25">
      <c r="A65" s="7">
        <f t="shared" si="1"/>
        <v>53</v>
      </c>
    </row>
    <row r="66" spans="1:15" x14ac:dyDescent="0.25">
      <c r="A66" s="7">
        <f t="shared" si="1"/>
        <v>54</v>
      </c>
    </row>
    <row r="67" spans="1:15" x14ac:dyDescent="0.25">
      <c r="A67" s="7">
        <f t="shared" si="1"/>
        <v>55</v>
      </c>
    </row>
    <row r="68" spans="1:15" x14ac:dyDescent="0.25">
      <c r="A68" s="7">
        <f t="shared" si="1"/>
        <v>56</v>
      </c>
    </row>
    <row r="69" spans="1:15" x14ac:dyDescent="0.25">
      <c r="A69" s="7">
        <f t="shared" si="1"/>
        <v>57</v>
      </c>
    </row>
    <row r="70" spans="1:15" x14ac:dyDescent="0.25">
      <c r="A70" s="7">
        <f t="shared" si="1"/>
        <v>58</v>
      </c>
    </row>
    <row r="71" spans="1:15" x14ac:dyDescent="0.25">
      <c r="A71" s="7">
        <f t="shared" si="1"/>
        <v>59</v>
      </c>
    </row>
    <row r="72" spans="1:15" x14ac:dyDescent="0.25">
      <c r="A72" s="7">
        <f t="shared" si="1"/>
        <v>60</v>
      </c>
    </row>
    <row r="73" spans="1:15" x14ac:dyDescent="0.25">
      <c r="A73" s="7">
        <f t="shared" ref="A73:A76" si="2">A72+1</f>
        <v>61</v>
      </c>
    </row>
    <row r="74" spans="1:15" x14ac:dyDescent="0.25">
      <c r="A74" s="7">
        <f t="shared" si="2"/>
        <v>62</v>
      </c>
      <c r="B74" s="443"/>
      <c r="C74" s="446"/>
      <c r="D74" s="26"/>
      <c r="E74" s="27"/>
      <c r="F74" s="27"/>
      <c r="G74" s="9"/>
      <c r="H74" s="7"/>
      <c r="I74" s="9"/>
      <c r="J74" s="11"/>
      <c r="K74" s="19"/>
      <c r="L74" s="9"/>
      <c r="M74" s="27"/>
      <c r="N74" s="27"/>
      <c r="O74" s="30"/>
    </row>
    <row r="75" spans="1:15" x14ac:dyDescent="0.25">
      <c r="A75" s="7">
        <f t="shared" si="2"/>
        <v>63</v>
      </c>
      <c r="B75" s="443"/>
      <c r="C75" s="444"/>
      <c r="D75" s="26"/>
      <c r="E75" s="32"/>
      <c r="F75" s="32"/>
      <c r="G75" s="9"/>
      <c r="H75" s="9"/>
      <c r="I75" s="9"/>
      <c r="J75" s="11"/>
      <c r="K75" s="20"/>
      <c r="L75" s="9"/>
      <c r="M75" s="32"/>
      <c r="N75" s="32"/>
      <c r="O75" s="30"/>
    </row>
    <row r="76" spans="1:15" x14ac:dyDescent="0.25">
      <c r="A76" s="7">
        <f t="shared" si="2"/>
        <v>64</v>
      </c>
      <c r="B76" s="447"/>
      <c r="C76" s="448"/>
      <c r="D76" s="59"/>
      <c r="E76" s="60"/>
      <c r="F76" s="60"/>
      <c r="G76" s="39"/>
      <c r="H76" s="39"/>
      <c r="I76" s="39"/>
      <c r="J76" s="56"/>
      <c r="K76" s="57"/>
      <c r="L76" s="39"/>
      <c r="M76" s="60"/>
      <c r="N76" s="60"/>
      <c r="O76" s="30"/>
    </row>
    <row r="77" spans="1:15" x14ac:dyDescent="0.25">
      <c r="A77" s="7"/>
      <c r="B77" s="443"/>
      <c r="C77" s="444"/>
      <c r="D77" s="26"/>
      <c r="E77" s="12"/>
      <c r="F77" s="12"/>
      <c r="G77" s="30"/>
      <c r="H77" s="9"/>
      <c r="I77" s="9"/>
      <c r="J77" s="11"/>
      <c r="K77" s="20"/>
      <c r="L77" s="9"/>
      <c r="M77" s="12"/>
      <c r="N77" s="4"/>
      <c r="O77" s="30"/>
    </row>
    <row r="78" spans="1:15" x14ac:dyDescent="0.25">
      <c r="A78" s="7"/>
      <c r="B78" s="443"/>
      <c r="C78" s="444"/>
      <c r="D78" s="26"/>
      <c r="E78" s="12"/>
      <c r="F78" s="12"/>
      <c r="G78" s="30"/>
      <c r="H78" s="9"/>
      <c r="I78" s="9"/>
      <c r="J78" s="11"/>
      <c r="K78" s="20"/>
      <c r="L78" s="9"/>
      <c r="M78" s="12"/>
      <c r="N78" s="4"/>
      <c r="O78" s="30"/>
    </row>
    <row r="79" spans="1:15" x14ac:dyDescent="0.25">
      <c r="A79" s="7"/>
      <c r="B79" s="443"/>
      <c r="C79" s="444"/>
      <c r="D79" s="26"/>
      <c r="E79" s="12"/>
      <c r="F79" s="12"/>
      <c r="G79" s="30"/>
      <c r="H79" s="9"/>
      <c r="I79" s="9"/>
      <c r="J79" s="11"/>
      <c r="K79" s="20"/>
      <c r="L79" s="9"/>
      <c r="M79" s="12"/>
      <c r="N79" s="4"/>
      <c r="O79" s="30"/>
    </row>
    <row r="80" spans="1:15" x14ac:dyDescent="0.25">
      <c r="A80" s="7"/>
      <c r="B80" s="443"/>
      <c r="C80" s="444"/>
      <c r="D80" s="26"/>
      <c r="E80" s="12"/>
      <c r="F80" s="12"/>
      <c r="G80" s="30"/>
      <c r="H80" s="9"/>
      <c r="I80" s="9"/>
      <c r="J80" s="11"/>
      <c r="K80" s="20"/>
      <c r="L80" s="9"/>
      <c r="M80" s="12"/>
      <c r="N80" s="4"/>
      <c r="O80" s="30"/>
    </row>
    <row r="81" spans="1:15" x14ac:dyDescent="0.25">
      <c r="A81" s="7"/>
      <c r="B81" s="443"/>
      <c r="C81" s="444"/>
      <c r="D81" s="26"/>
      <c r="E81" s="12"/>
      <c r="F81" s="12"/>
      <c r="G81" s="30"/>
      <c r="H81" s="9"/>
      <c r="I81" s="9"/>
      <c r="J81" s="11"/>
      <c r="K81" s="20"/>
      <c r="L81" s="9"/>
      <c r="M81" s="12"/>
      <c r="N81" s="4"/>
      <c r="O81" s="30"/>
    </row>
    <row r="82" spans="1:15" x14ac:dyDescent="0.25">
      <c r="A82" s="7"/>
      <c r="B82" s="445"/>
      <c r="C82" s="446"/>
      <c r="D82" s="26"/>
      <c r="E82" s="27"/>
      <c r="F82" s="27"/>
      <c r="G82" s="9"/>
      <c r="H82" s="7"/>
      <c r="I82" s="9"/>
      <c r="J82" s="11"/>
      <c r="K82" s="28"/>
      <c r="L82" s="9"/>
      <c r="M82" s="27"/>
      <c r="N82" s="27"/>
      <c r="O82" s="30"/>
    </row>
    <row r="83" spans="1:15" x14ac:dyDescent="0.25">
      <c r="A83" s="7"/>
      <c r="B83" s="445"/>
      <c r="C83" s="446"/>
      <c r="D83" s="26"/>
      <c r="E83" s="27"/>
      <c r="F83" s="27"/>
      <c r="G83" s="7"/>
      <c r="H83" s="7"/>
      <c r="I83" s="9"/>
      <c r="J83" s="11"/>
      <c r="K83" s="28"/>
      <c r="L83" s="9"/>
      <c r="M83" s="27"/>
      <c r="N83" s="27"/>
      <c r="O83" s="30"/>
    </row>
    <row r="84" spans="1:15" x14ac:dyDescent="0.25">
      <c r="A84" s="7"/>
      <c r="B84" s="443"/>
      <c r="C84" s="444"/>
      <c r="D84" s="26"/>
      <c r="E84" s="4"/>
      <c r="F84" s="4"/>
      <c r="G84" s="32"/>
      <c r="H84" s="30"/>
      <c r="I84" s="32"/>
      <c r="J84" s="11"/>
      <c r="K84" s="19"/>
      <c r="L84" s="9"/>
      <c r="M84" s="27"/>
      <c r="N84" s="27"/>
      <c r="O84" s="30"/>
    </row>
    <row r="85" spans="1:15" x14ac:dyDescent="0.25">
      <c r="A85" s="7"/>
      <c r="B85" s="443"/>
      <c r="C85" s="444"/>
      <c r="D85" s="26"/>
      <c r="E85" s="4"/>
      <c r="F85" s="4"/>
      <c r="G85" s="32"/>
      <c r="H85" s="30"/>
      <c r="I85" s="32"/>
      <c r="J85" s="11"/>
      <c r="K85" s="19"/>
      <c r="L85" s="9"/>
      <c r="M85" s="27"/>
      <c r="N85" s="27"/>
      <c r="O85" s="30"/>
    </row>
    <row r="86" spans="1:15" x14ac:dyDescent="0.25">
      <c r="A86" s="7"/>
      <c r="B86" s="443"/>
      <c r="C86" s="444"/>
      <c r="D86" s="26"/>
      <c r="E86" s="4"/>
      <c r="F86" s="4"/>
      <c r="G86" s="32"/>
      <c r="H86" s="30"/>
      <c r="I86" s="32"/>
      <c r="J86" s="11"/>
      <c r="K86" s="19"/>
      <c r="L86" s="9"/>
      <c r="M86" s="27"/>
      <c r="N86" s="27"/>
      <c r="O86" s="30"/>
    </row>
    <row r="87" spans="1:15" x14ac:dyDescent="0.25">
      <c r="A87" s="7">
        <f>A75+1</f>
        <v>64</v>
      </c>
      <c r="B87" s="443"/>
      <c r="C87" s="444"/>
      <c r="D87" s="26"/>
      <c r="E87" s="32"/>
      <c r="F87" s="32"/>
      <c r="G87" s="9"/>
      <c r="H87" s="9"/>
      <c r="I87" s="9"/>
      <c r="J87" s="11"/>
      <c r="K87" s="20"/>
      <c r="L87" s="9"/>
      <c r="M87" s="32"/>
      <c r="N87" s="32"/>
      <c r="O87" s="30"/>
    </row>
    <row r="88" spans="1:15" x14ac:dyDescent="0.25">
      <c r="A88" s="7">
        <f t="shared" ref="A88:A142" si="3">A87+1</f>
        <v>65</v>
      </c>
      <c r="B88" s="443"/>
      <c r="C88" s="444"/>
      <c r="D88" s="26"/>
      <c r="E88" s="32"/>
      <c r="F88" s="32"/>
      <c r="G88" s="9"/>
      <c r="H88" s="9"/>
      <c r="I88" s="9"/>
      <c r="J88" s="11"/>
      <c r="K88" s="20"/>
      <c r="L88" s="9"/>
      <c r="M88" s="32"/>
      <c r="N88" s="32"/>
      <c r="O88" s="30"/>
    </row>
    <row r="89" spans="1:15" x14ac:dyDescent="0.25">
      <c r="A89" s="7">
        <f t="shared" si="3"/>
        <v>66</v>
      </c>
      <c r="B89" s="443"/>
      <c r="C89" s="444"/>
      <c r="D89" s="26"/>
      <c r="E89" s="32"/>
      <c r="F89" s="32"/>
      <c r="G89" s="9"/>
      <c r="H89" s="9"/>
      <c r="I89" s="9"/>
      <c r="J89" s="11"/>
      <c r="K89" s="33"/>
      <c r="L89" s="9"/>
      <c r="M89" s="32"/>
      <c r="N89" s="32"/>
      <c r="O89" s="26"/>
    </row>
    <row r="90" spans="1:15" x14ac:dyDescent="0.25">
      <c r="A90" s="7">
        <f t="shared" si="3"/>
        <v>67</v>
      </c>
      <c r="B90" s="61"/>
      <c r="C90" s="62"/>
      <c r="D90" s="60"/>
      <c r="E90" s="60"/>
      <c r="F90" s="60"/>
      <c r="G90" s="60"/>
      <c r="H90" s="39"/>
      <c r="I90" s="39"/>
      <c r="J90" s="56"/>
      <c r="K90" s="57"/>
      <c r="L90" s="43"/>
      <c r="M90" s="60"/>
      <c r="N90" s="60"/>
      <c r="O90" s="30"/>
    </row>
    <row r="91" spans="1:15" x14ac:dyDescent="0.25">
      <c r="A91" s="7">
        <f t="shared" si="3"/>
        <v>68</v>
      </c>
      <c r="B91" s="443"/>
      <c r="C91" s="446"/>
      <c r="D91" s="26"/>
      <c r="E91" s="27"/>
      <c r="F91" s="27"/>
      <c r="G91" s="9"/>
      <c r="H91" s="7"/>
      <c r="I91" s="9"/>
      <c r="J91" s="11"/>
      <c r="K91" s="28"/>
      <c r="L91" s="9"/>
      <c r="M91" s="27"/>
      <c r="N91" s="27"/>
      <c r="O91" s="30"/>
    </row>
    <row r="92" spans="1:15" x14ac:dyDescent="0.25">
      <c r="A92" s="7">
        <f t="shared" si="3"/>
        <v>69</v>
      </c>
    </row>
    <row r="93" spans="1:15" x14ac:dyDescent="0.25">
      <c r="A93" s="7">
        <f t="shared" si="3"/>
        <v>70</v>
      </c>
    </row>
    <row r="94" spans="1:15" x14ac:dyDescent="0.25">
      <c r="A94" s="7">
        <f t="shared" si="3"/>
        <v>71</v>
      </c>
    </row>
    <row r="95" spans="1:15" x14ac:dyDescent="0.25">
      <c r="A95" s="7" t="e">
        <f>#REF!+1</f>
        <v>#REF!</v>
      </c>
    </row>
    <row r="96" spans="1:15" x14ac:dyDescent="0.25">
      <c r="A96" s="7" t="e">
        <f>#REF!+1</f>
        <v>#REF!</v>
      </c>
    </row>
    <row r="97" spans="1:1" x14ac:dyDescent="0.25">
      <c r="A97" s="7" t="e">
        <f t="shared" si="3"/>
        <v>#REF!</v>
      </c>
    </row>
    <row r="98" spans="1:1" x14ac:dyDescent="0.25">
      <c r="A98" s="7" t="e">
        <f t="shared" si="3"/>
        <v>#REF!</v>
      </c>
    </row>
    <row r="99" spans="1:1" x14ac:dyDescent="0.25">
      <c r="A99" s="7" t="e">
        <f t="shared" si="3"/>
        <v>#REF!</v>
      </c>
    </row>
    <row r="100" spans="1:1" x14ac:dyDescent="0.25">
      <c r="A100" s="7" t="e">
        <f t="shared" si="3"/>
        <v>#REF!</v>
      </c>
    </row>
    <row r="101" spans="1:1" x14ac:dyDescent="0.25">
      <c r="A101" s="7" t="e">
        <f t="shared" si="3"/>
        <v>#REF!</v>
      </c>
    </row>
    <row r="102" spans="1:1" x14ac:dyDescent="0.25">
      <c r="A102" s="7" t="e">
        <f t="shared" si="3"/>
        <v>#REF!</v>
      </c>
    </row>
    <row r="103" spans="1:1" x14ac:dyDescent="0.25">
      <c r="A103" s="7" t="e">
        <f t="shared" si="3"/>
        <v>#REF!</v>
      </c>
    </row>
    <row r="104" spans="1:1" x14ac:dyDescent="0.25">
      <c r="A104" s="7" t="e">
        <f t="shared" si="3"/>
        <v>#REF!</v>
      </c>
    </row>
    <row r="105" spans="1:1" x14ac:dyDescent="0.25">
      <c r="A105" s="7" t="e">
        <f t="shared" si="3"/>
        <v>#REF!</v>
      </c>
    </row>
    <row r="106" spans="1:1" x14ac:dyDescent="0.25">
      <c r="A106" s="7" t="e">
        <f t="shared" si="3"/>
        <v>#REF!</v>
      </c>
    </row>
    <row r="107" spans="1:1" x14ac:dyDescent="0.25">
      <c r="A107" s="7" t="e">
        <f t="shared" si="3"/>
        <v>#REF!</v>
      </c>
    </row>
    <row r="108" spans="1:1" x14ac:dyDescent="0.25">
      <c r="A108" s="7" t="e">
        <f t="shared" si="3"/>
        <v>#REF!</v>
      </c>
    </row>
    <row r="109" spans="1:1" x14ac:dyDescent="0.25">
      <c r="A109" s="7" t="e">
        <f t="shared" si="3"/>
        <v>#REF!</v>
      </c>
    </row>
    <row r="110" spans="1:1" x14ac:dyDescent="0.25">
      <c r="A110" s="7" t="e">
        <f t="shared" si="3"/>
        <v>#REF!</v>
      </c>
    </row>
    <row r="111" spans="1:1" x14ac:dyDescent="0.25">
      <c r="A111" s="7" t="e">
        <f t="shared" si="3"/>
        <v>#REF!</v>
      </c>
    </row>
    <row r="112" spans="1:1" x14ac:dyDescent="0.25">
      <c r="A112" s="7" t="e">
        <f t="shared" si="3"/>
        <v>#REF!</v>
      </c>
    </row>
    <row r="113" spans="1:15" x14ac:dyDescent="0.25">
      <c r="A113" s="7" t="e">
        <f t="shared" si="3"/>
        <v>#REF!</v>
      </c>
    </row>
    <row r="114" spans="1:15" x14ac:dyDescent="0.25">
      <c r="A114" s="7" t="e">
        <f t="shared" si="3"/>
        <v>#REF!</v>
      </c>
    </row>
    <row r="115" spans="1:15" x14ac:dyDescent="0.25">
      <c r="A115" s="7" t="e">
        <f t="shared" si="3"/>
        <v>#REF!</v>
      </c>
    </row>
    <row r="116" spans="1:15" x14ac:dyDescent="0.25">
      <c r="A116" s="7" t="e">
        <f t="shared" si="3"/>
        <v>#REF!</v>
      </c>
    </row>
    <row r="117" spans="1:15" x14ac:dyDescent="0.25">
      <c r="A117" s="7" t="e">
        <f t="shared" si="3"/>
        <v>#REF!</v>
      </c>
    </row>
    <row r="118" spans="1:15" x14ac:dyDescent="0.25">
      <c r="A118" s="7" t="e">
        <f t="shared" si="3"/>
        <v>#REF!</v>
      </c>
    </row>
    <row r="119" spans="1:15" x14ac:dyDescent="0.25">
      <c r="A119" s="7" t="e">
        <f t="shared" si="3"/>
        <v>#REF!</v>
      </c>
      <c r="B119" s="53"/>
      <c r="C119" s="54"/>
      <c r="D119" s="27"/>
      <c r="E119" s="27"/>
      <c r="F119" s="27"/>
      <c r="G119" s="27"/>
      <c r="H119" s="7"/>
      <c r="I119" s="7"/>
      <c r="J119" s="8"/>
      <c r="K119" s="28"/>
      <c r="L119" s="7"/>
      <c r="M119" s="27"/>
      <c r="N119" s="27"/>
      <c r="O119" s="50"/>
    </row>
    <row r="120" spans="1:15" x14ac:dyDescent="0.25">
      <c r="A120" s="7" t="e">
        <f t="shared" si="3"/>
        <v>#REF!</v>
      </c>
      <c r="B120" s="443"/>
      <c r="C120" s="444"/>
      <c r="D120" s="26"/>
      <c r="E120" s="32"/>
      <c r="F120" s="32"/>
      <c r="G120" s="9"/>
      <c r="H120" s="9"/>
      <c r="I120" s="9"/>
      <c r="J120" s="11"/>
      <c r="K120" s="33"/>
      <c r="L120" s="36"/>
      <c r="M120" s="32"/>
      <c r="N120" s="27"/>
      <c r="O120" s="26"/>
    </row>
    <row r="121" spans="1:15" x14ac:dyDescent="0.25">
      <c r="A121" s="7" t="e">
        <f t="shared" si="3"/>
        <v>#REF!</v>
      </c>
      <c r="B121" s="443"/>
      <c r="C121" s="444"/>
      <c r="D121" s="26"/>
      <c r="E121" s="32"/>
      <c r="F121" s="32"/>
      <c r="G121" s="30"/>
      <c r="H121" s="9"/>
      <c r="I121" s="9"/>
      <c r="J121" s="11"/>
      <c r="K121" s="33"/>
      <c r="L121" s="9"/>
      <c r="M121" s="26"/>
      <c r="N121" s="51"/>
      <c r="O121" s="26"/>
    </row>
    <row r="122" spans="1:15" x14ac:dyDescent="0.25">
      <c r="A122" s="7" t="e">
        <f t="shared" si="3"/>
        <v>#REF!</v>
      </c>
      <c r="B122" s="443"/>
      <c r="C122" s="446"/>
      <c r="D122" s="26"/>
      <c r="E122" s="27"/>
      <c r="F122" s="27"/>
      <c r="G122" s="9"/>
      <c r="H122" s="7"/>
      <c r="I122" s="9"/>
      <c r="J122" s="11"/>
      <c r="K122" s="52"/>
      <c r="L122" s="9"/>
      <c r="M122" s="27"/>
      <c r="N122" s="27"/>
      <c r="O122" s="50"/>
    </row>
    <row r="123" spans="1:15" x14ac:dyDescent="0.25">
      <c r="A123" s="7" t="e">
        <f t="shared" si="3"/>
        <v>#REF!</v>
      </c>
      <c r="B123" s="443"/>
      <c r="C123" s="444"/>
      <c r="D123" s="26"/>
      <c r="E123" s="32"/>
      <c r="F123" s="32"/>
      <c r="G123" s="9"/>
      <c r="H123" s="9"/>
      <c r="I123" s="9"/>
      <c r="J123" s="11"/>
      <c r="K123" s="33"/>
      <c r="L123" s="9"/>
      <c r="M123" s="32"/>
      <c r="N123" s="32"/>
      <c r="O123" s="26"/>
    </row>
    <row r="124" spans="1:15" x14ac:dyDescent="0.25">
      <c r="A124" s="7" t="e">
        <f t="shared" si="3"/>
        <v>#REF!</v>
      </c>
      <c r="B124" s="443"/>
      <c r="C124" s="444"/>
      <c r="D124" s="26"/>
      <c r="E124" s="32"/>
      <c r="F124" s="32"/>
      <c r="G124" s="9"/>
      <c r="H124" s="9"/>
      <c r="I124" s="9"/>
      <c r="J124" s="11"/>
      <c r="K124" s="33"/>
      <c r="L124" s="9"/>
      <c r="M124" s="32"/>
      <c r="N124" s="32"/>
      <c r="O124" s="26"/>
    </row>
    <row r="125" spans="1:15" x14ac:dyDescent="0.25">
      <c r="A125" s="7" t="e">
        <f t="shared" si="3"/>
        <v>#REF!</v>
      </c>
      <c r="B125" s="443"/>
      <c r="C125" s="444"/>
      <c r="D125" s="26"/>
      <c r="E125" s="32"/>
      <c r="F125" s="32"/>
      <c r="G125" s="9"/>
      <c r="H125" s="9"/>
      <c r="I125" s="9"/>
      <c r="J125" s="11"/>
      <c r="K125" s="33"/>
      <c r="L125" s="9"/>
      <c r="M125" s="32"/>
      <c r="N125" s="32"/>
      <c r="O125" s="26"/>
    </row>
    <row r="126" spans="1:15" x14ac:dyDescent="0.25">
      <c r="A126" s="7" t="e">
        <f t="shared" si="3"/>
        <v>#REF!</v>
      </c>
      <c r="B126" s="443"/>
      <c r="C126" s="444"/>
      <c r="D126" s="26"/>
      <c r="E126" s="32"/>
      <c r="F126" s="32"/>
      <c r="G126" s="9"/>
      <c r="H126" s="9"/>
      <c r="I126" s="9"/>
      <c r="J126" s="11"/>
      <c r="K126" s="33"/>
      <c r="L126" s="9"/>
      <c r="M126" s="32"/>
      <c r="N126" s="32"/>
      <c r="O126" s="26"/>
    </row>
    <row r="127" spans="1:15" x14ac:dyDescent="0.25">
      <c r="A127" s="7" t="e">
        <f t="shared" si="3"/>
        <v>#REF!</v>
      </c>
      <c r="B127" s="443"/>
      <c r="C127" s="444"/>
      <c r="D127" s="26"/>
      <c r="E127" s="32"/>
      <c r="F127" s="32"/>
      <c r="G127" s="9"/>
      <c r="H127" s="9"/>
      <c r="I127" s="9"/>
      <c r="J127" s="11"/>
      <c r="K127" s="33"/>
      <c r="L127" s="9"/>
      <c r="M127" s="32"/>
      <c r="N127" s="32"/>
      <c r="O127" s="26"/>
    </row>
    <row r="128" spans="1:15" x14ac:dyDescent="0.25">
      <c r="A128" s="7" t="e">
        <f t="shared" si="3"/>
        <v>#REF!</v>
      </c>
      <c r="B128" s="443"/>
      <c r="C128" s="444"/>
      <c r="D128" s="26"/>
      <c r="E128" s="32"/>
      <c r="F128" s="32"/>
      <c r="G128" s="9"/>
      <c r="H128" s="9"/>
      <c r="I128" s="9"/>
      <c r="J128" s="11"/>
      <c r="K128" s="33"/>
      <c r="L128" s="9"/>
      <c r="M128" s="32"/>
      <c r="N128" s="32"/>
      <c r="O128" s="26"/>
    </row>
    <row r="129" spans="1:15" x14ac:dyDescent="0.25">
      <c r="A129" s="7" t="e">
        <f t="shared" si="3"/>
        <v>#REF!</v>
      </c>
      <c r="B129" s="443"/>
      <c r="C129" s="444"/>
      <c r="D129" s="26"/>
      <c r="E129" s="32"/>
      <c r="F129" s="32"/>
      <c r="G129" s="9"/>
      <c r="H129" s="9"/>
      <c r="I129" s="9"/>
      <c r="J129" s="11"/>
      <c r="K129" s="33"/>
      <c r="L129" s="9"/>
      <c r="M129" s="32"/>
      <c r="N129" s="32"/>
      <c r="O129" s="26"/>
    </row>
    <row r="130" spans="1:15" x14ac:dyDescent="0.25">
      <c r="A130" s="7" t="e">
        <f t="shared" si="3"/>
        <v>#REF!</v>
      </c>
      <c r="B130" s="443"/>
      <c r="C130" s="444"/>
      <c r="D130" s="26"/>
      <c r="E130" s="32"/>
      <c r="F130" s="32"/>
      <c r="G130" s="9"/>
      <c r="H130" s="9"/>
      <c r="I130" s="9"/>
      <c r="J130" s="11"/>
      <c r="K130" s="33"/>
      <c r="L130" s="9"/>
      <c r="M130" s="32"/>
      <c r="N130" s="32"/>
      <c r="O130" s="26"/>
    </row>
    <row r="131" spans="1:15" x14ac:dyDescent="0.25">
      <c r="A131" s="7" t="e">
        <f t="shared" si="3"/>
        <v>#REF!</v>
      </c>
      <c r="B131" s="443"/>
      <c r="C131" s="444"/>
      <c r="D131" s="26"/>
      <c r="E131" s="32"/>
      <c r="F131" s="32"/>
      <c r="G131" s="9"/>
      <c r="H131" s="9"/>
      <c r="I131" s="9"/>
      <c r="J131" s="11"/>
      <c r="K131" s="33"/>
      <c r="L131" s="9"/>
      <c r="M131" s="26"/>
      <c r="N131" s="32"/>
      <c r="O131" s="26"/>
    </row>
    <row r="132" spans="1:15" x14ac:dyDescent="0.25">
      <c r="A132" s="7" t="e">
        <f t="shared" si="3"/>
        <v>#REF!</v>
      </c>
      <c r="B132" s="443"/>
      <c r="C132" s="444"/>
      <c r="D132" s="26"/>
      <c r="E132" s="32"/>
      <c r="F132" s="32"/>
      <c r="G132" s="30"/>
      <c r="H132" s="9"/>
      <c r="I132" s="9"/>
      <c r="J132" s="11"/>
      <c r="K132" s="33"/>
      <c r="L132" s="9"/>
      <c r="M132" s="31"/>
      <c r="N132" s="32"/>
      <c r="O132" s="26"/>
    </row>
    <row r="133" spans="1:15" x14ac:dyDescent="0.25">
      <c r="A133" s="7" t="e">
        <f t="shared" si="3"/>
        <v>#REF!</v>
      </c>
      <c r="B133" s="443"/>
      <c r="C133" s="444"/>
      <c r="D133" s="26"/>
      <c r="E133" s="32"/>
      <c r="F133" s="32"/>
      <c r="G133" s="30"/>
      <c r="H133" s="9"/>
      <c r="I133" s="9"/>
      <c r="J133" s="11"/>
      <c r="K133" s="33"/>
      <c r="L133" s="9"/>
      <c r="M133" s="32"/>
      <c r="N133" s="32"/>
      <c r="O133" s="26"/>
    </row>
    <row r="134" spans="1:15" x14ac:dyDescent="0.25">
      <c r="A134" s="7" t="e">
        <f t="shared" si="3"/>
        <v>#REF!</v>
      </c>
      <c r="B134" s="443"/>
      <c r="C134" s="444"/>
      <c r="D134" s="26"/>
      <c r="E134" s="32"/>
      <c r="F134" s="32"/>
      <c r="G134" s="30"/>
      <c r="H134" s="9"/>
      <c r="I134" s="9"/>
      <c r="J134" s="11"/>
      <c r="K134" s="33"/>
      <c r="L134" s="9"/>
      <c r="M134" s="32"/>
      <c r="N134" s="32"/>
      <c r="O134" s="26"/>
    </row>
    <row r="135" spans="1:15" x14ac:dyDescent="0.25">
      <c r="A135" s="7" t="e">
        <f t="shared" si="3"/>
        <v>#REF!</v>
      </c>
      <c r="B135" s="443"/>
      <c r="C135" s="444"/>
      <c r="D135" s="26"/>
      <c r="E135" s="32"/>
      <c r="F135" s="32"/>
      <c r="G135" s="30"/>
      <c r="H135" s="9"/>
      <c r="I135" s="9"/>
      <c r="J135" s="11"/>
      <c r="K135" s="33"/>
      <c r="L135" s="9"/>
      <c r="M135" s="32"/>
      <c r="N135" s="51"/>
      <c r="O135" s="26"/>
    </row>
    <row r="136" spans="1:15" x14ac:dyDescent="0.25">
      <c r="A136" s="7" t="e">
        <f t="shared" si="3"/>
        <v>#REF!</v>
      </c>
      <c r="B136" s="443"/>
      <c r="C136" s="444"/>
      <c r="D136" s="26"/>
      <c r="E136" s="32"/>
      <c r="F136" s="32"/>
      <c r="G136" s="30"/>
      <c r="H136" s="9"/>
      <c r="I136" s="9"/>
      <c r="J136" s="11"/>
      <c r="K136" s="33"/>
      <c r="L136" s="9"/>
      <c r="M136" s="32"/>
      <c r="N136" s="51"/>
      <c r="O136" s="26"/>
    </row>
    <row r="137" spans="1:15" x14ac:dyDescent="0.25">
      <c r="A137" s="7" t="e">
        <f t="shared" si="3"/>
        <v>#REF!</v>
      </c>
      <c r="B137" s="443"/>
      <c r="C137" s="444"/>
      <c r="D137" s="26"/>
      <c r="E137" s="32"/>
      <c r="F137" s="32"/>
      <c r="G137" s="30"/>
      <c r="H137" s="9"/>
      <c r="I137" s="9"/>
      <c r="J137" s="11"/>
      <c r="K137" s="33"/>
      <c r="L137" s="9"/>
      <c r="M137" s="32"/>
      <c r="N137" s="32"/>
      <c r="O137" s="26"/>
    </row>
    <row r="138" spans="1:15" x14ac:dyDescent="0.25">
      <c r="A138" s="7" t="e">
        <f t="shared" si="3"/>
        <v>#REF!</v>
      </c>
      <c r="B138" s="443"/>
      <c r="C138" s="444"/>
      <c r="D138" s="26"/>
      <c r="E138" s="32"/>
      <c r="F138" s="32"/>
      <c r="G138" s="30"/>
      <c r="H138" s="9"/>
      <c r="I138" s="9"/>
      <c r="J138" s="11"/>
      <c r="K138" s="33"/>
      <c r="L138" s="9"/>
      <c r="M138" s="32"/>
      <c r="N138" s="32"/>
      <c r="O138" s="26"/>
    </row>
    <row r="139" spans="1:15" x14ac:dyDescent="0.25">
      <c r="A139" s="7" t="e">
        <f t="shared" si="3"/>
        <v>#REF!</v>
      </c>
      <c r="B139" s="443"/>
      <c r="C139" s="444"/>
      <c r="D139" s="26"/>
      <c r="E139" s="32"/>
      <c r="F139" s="32"/>
      <c r="G139" s="30"/>
      <c r="H139" s="9"/>
      <c r="I139" s="9"/>
      <c r="J139" s="11"/>
      <c r="K139" s="33"/>
      <c r="L139" s="9"/>
      <c r="M139" s="32"/>
      <c r="N139" s="32"/>
      <c r="O139" s="26"/>
    </row>
    <row r="140" spans="1:15" x14ac:dyDescent="0.25">
      <c r="A140" s="7" t="e">
        <f t="shared" si="3"/>
        <v>#REF!</v>
      </c>
      <c r="B140" s="443"/>
      <c r="C140" s="444"/>
      <c r="D140" s="26"/>
      <c r="E140" s="32"/>
      <c r="F140" s="32"/>
      <c r="G140" s="30"/>
      <c r="H140" s="9"/>
      <c r="I140" s="9"/>
      <c r="J140" s="11"/>
      <c r="K140" s="33"/>
      <c r="L140" s="9"/>
      <c r="M140" s="26"/>
      <c r="N140" s="51"/>
      <c r="O140" s="26"/>
    </row>
    <row r="141" spans="1:15" x14ac:dyDescent="0.25">
      <c r="A141" s="7" t="e">
        <f t="shared" si="3"/>
        <v>#REF!</v>
      </c>
      <c r="B141" s="443"/>
      <c r="C141" s="444"/>
      <c r="D141" s="26"/>
      <c r="E141" s="32"/>
      <c r="F141" s="32"/>
      <c r="G141" s="30"/>
      <c r="H141" s="9"/>
      <c r="I141" s="9"/>
      <c r="J141" s="11"/>
      <c r="K141" s="33"/>
      <c r="L141" s="9"/>
      <c r="M141" s="32"/>
      <c r="N141" s="32"/>
      <c r="O141" s="26"/>
    </row>
    <row r="142" spans="1:15" x14ac:dyDescent="0.25">
      <c r="A142" s="7" t="e">
        <f t="shared" si="3"/>
        <v>#REF!</v>
      </c>
      <c r="B142" s="443"/>
      <c r="C142" s="444"/>
      <c r="D142" s="26"/>
      <c r="E142" s="32"/>
      <c r="F142" s="32"/>
      <c r="G142" s="30"/>
      <c r="H142" s="9"/>
      <c r="I142" s="9"/>
      <c r="J142" s="11"/>
      <c r="K142" s="33"/>
      <c r="L142" s="9"/>
      <c r="M142" s="32"/>
      <c r="N142" s="32"/>
      <c r="O142" s="26"/>
    </row>
    <row r="143" spans="1:15" x14ac:dyDescent="0.25">
      <c r="A143" s="7" t="e">
        <f t="shared" ref="A143:A181" si="4">A142+1</f>
        <v>#REF!</v>
      </c>
      <c r="B143" s="443"/>
      <c r="C143" s="444"/>
      <c r="D143" s="26"/>
      <c r="E143" s="32"/>
      <c r="F143" s="32"/>
      <c r="G143" s="9"/>
      <c r="H143" s="9"/>
      <c r="I143" s="9"/>
      <c r="J143" s="11"/>
      <c r="K143" s="33"/>
      <c r="L143" s="9"/>
      <c r="M143" s="32"/>
      <c r="N143" s="32"/>
      <c r="O143" s="26"/>
    </row>
    <row r="144" spans="1:15" x14ac:dyDescent="0.25">
      <c r="A144" s="7" t="e">
        <f t="shared" si="4"/>
        <v>#REF!</v>
      </c>
      <c r="B144" s="443"/>
      <c r="C144" s="444"/>
      <c r="D144" s="26"/>
      <c r="E144" s="32"/>
      <c r="F144" s="32"/>
      <c r="G144" s="9"/>
      <c r="H144" s="9"/>
      <c r="I144" s="9"/>
      <c r="J144" s="11"/>
      <c r="K144" s="33"/>
      <c r="L144" s="9"/>
      <c r="M144" s="32"/>
      <c r="N144" s="32"/>
      <c r="O144" s="26"/>
    </row>
    <row r="145" spans="1:15" x14ac:dyDescent="0.25">
      <c r="A145" s="7" t="e">
        <f t="shared" si="4"/>
        <v>#REF!</v>
      </c>
      <c r="B145" s="443"/>
      <c r="C145" s="444"/>
      <c r="D145" s="37"/>
      <c r="E145" s="32"/>
      <c r="F145" s="32"/>
      <c r="G145" s="9"/>
      <c r="H145" s="9"/>
      <c r="I145" s="9"/>
      <c r="J145" s="11"/>
      <c r="K145" s="33"/>
      <c r="L145" s="9"/>
      <c r="M145" s="32"/>
      <c r="N145" s="32"/>
      <c r="O145" s="26"/>
    </row>
    <row r="146" spans="1:15" x14ac:dyDescent="0.25">
      <c r="A146" s="7" t="e">
        <f t="shared" si="4"/>
        <v>#REF!</v>
      </c>
      <c r="B146" s="443"/>
      <c r="C146" s="444"/>
      <c r="D146" s="26"/>
      <c r="E146" s="32"/>
      <c r="F146" s="32"/>
      <c r="G146" s="9"/>
      <c r="H146" s="9"/>
      <c r="I146" s="9"/>
      <c r="J146" s="11"/>
      <c r="K146" s="33"/>
      <c r="L146" s="9"/>
      <c r="M146" s="32"/>
      <c r="N146" s="27"/>
      <c r="O146" s="26"/>
    </row>
    <row r="147" spans="1:15" x14ac:dyDescent="0.25">
      <c r="A147" s="7" t="e">
        <f t="shared" si="4"/>
        <v>#REF!</v>
      </c>
      <c r="B147" s="17"/>
      <c r="C147" s="18"/>
      <c r="D147" s="26"/>
      <c r="E147" s="12"/>
      <c r="F147" s="12"/>
      <c r="G147" s="30"/>
      <c r="H147" s="9"/>
      <c r="I147" s="9"/>
      <c r="J147" s="11"/>
      <c r="K147" s="33"/>
      <c r="L147" s="9"/>
      <c r="M147" s="26"/>
      <c r="N147" s="35"/>
      <c r="O147" s="26"/>
    </row>
    <row r="148" spans="1:15" x14ac:dyDescent="0.25">
      <c r="A148" s="7" t="e">
        <f t="shared" si="4"/>
        <v>#REF!</v>
      </c>
      <c r="B148" s="17"/>
      <c r="C148" s="18"/>
      <c r="D148" s="26"/>
      <c r="E148" s="12"/>
      <c r="F148" s="12"/>
      <c r="G148" s="30"/>
      <c r="H148" s="9"/>
      <c r="I148" s="9"/>
      <c r="J148" s="11"/>
      <c r="K148" s="33"/>
      <c r="L148" s="9"/>
      <c r="M148" s="26"/>
      <c r="N148" s="35"/>
      <c r="O148" s="26"/>
    </row>
    <row r="149" spans="1:15" x14ac:dyDescent="0.25">
      <c r="A149" s="7" t="e">
        <f t="shared" si="4"/>
        <v>#REF!</v>
      </c>
      <c r="B149" s="17"/>
      <c r="C149" s="18"/>
      <c r="D149" s="26"/>
      <c r="E149" s="12"/>
      <c r="F149" s="12"/>
      <c r="G149" s="30"/>
      <c r="H149" s="9"/>
      <c r="I149" s="9"/>
      <c r="J149" s="11"/>
      <c r="K149" s="33"/>
      <c r="L149" s="9"/>
      <c r="M149" s="26"/>
      <c r="N149" s="35"/>
      <c r="O149" s="26"/>
    </row>
    <row r="150" spans="1:15" x14ac:dyDescent="0.25">
      <c r="A150" s="7" t="e">
        <f t="shared" si="4"/>
        <v>#REF!</v>
      </c>
      <c r="B150" s="443"/>
      <c r="C150" s="444"/>
      <c r="D150" s="26"/>
      <c r="E150" s="12"/>
      <c r="F150" s="12"/>
      <c r="G150" s="9"/>
      <c r="H150" s="9"/>
      <c r="I150" s="9"/>
      <c r="J150" s="11"/>
      <c r="K150" s="33"/>
      <c r="L150" s="9"/>
      <c r="M150" s="12"/>
      <c r="N150" s="12"/>
      <c r="O150" s="10"/>
    </row>
    <row r="151" spans="1:15" x14ac:dyDescent="0.25">
      <c r="A151" s="7" t="e">
        <f t="shared" si="4"/>
        <v>#REF!</v>
      </c>
      <c r="B151" s="17"/>
      <c r="C151" s="18"/>
      <c r="D151" s="26"/>
      <c r="E151" s="12"/>
      <c r="F151" s="12"/>
      <c r="G151" s="30"/>
      <c r="H151" s="9"/>
      <c r="I151" s="9"/>
      <c r="J151" s="11"/>
      <c r="K151" s="33"/>
      <c r="L151" s="9"/>
      <c r="M151" s="26"/>
      <c r="N151" s="35"/>
      <c r="O151" s="26"/>
    </row>
    <row r="152" spans="1:15" x14ac:dyDescent="0.25">
      <c r="A152" s="7" t="e">
        <f t="shared" si="4"/>
        <v>#REF!</v>
      </c>
      <c r="B152" s="17"/>
      <c r="C152" s="18"/>
      <c r="D152" s="26"/>
      <c r="E152" s="12"/>
      <c r="F152" s="12"/>
      <c r="G152" s="30"/>
      <c r="H152" s="9"/>
      <c r="I152" s="9"/>
      <c r="J152" s="11"/>
      <c r="K152" s="33"/>
      <c r="L152" s="9"/>
      <c r="M152" s="26"/>
      <c r="N152" s="35"/>
      <c r="O152" s="26"/>
    </row>
    <row r="153" spans="1:15" x14ac:dyDescent="0.25">
      <c r="A153" s="7" t="e">
        <f t="shared" si="4"/>
        <v>#REF!</v>
      </c>
      <c r="B153" s="17"/>
      <c r="C153" s="18"/>
      <c r="D153" s="26"/>
      <c r="E153" s="12"/>
      <c r="F153" s="12"/>
      <c r="G153" s="30"/>
      <c r="H153" s="9"/>
      <c r="I153" s="9"/>
      <c r="J153" s="11"/>
      <c r="K153" s="33"/>
      <c r="L153" s="9"/>
      <c r="M153" s="26"/>
      <c r="N153" s="35"/>
      <c r="O153" s="26"/>
    </row>
    <row r="154" spans="1:15" x14ac:dyDescent="0.25">
      <c r="A154" s="7" t="e">
        <f t="shared" si="4"/>
        <v>#REF!</v>
      </c>
      <c r="B154" s="17"/>
      <c r="C154" s="18"/>
      <c r="D154" s="26"/>
      <c r="E154" s="12"/>
      <c r="F154" s="12"/>
      <c r="G154" s="30"/>
      <c r="H154" s="9"/>
      <c r="I154" s="9"/>
      <c r="J154" s="11"/>
      <c r="K154" s="33"/>
      <c r="L154" s="9"/>
      <c r="M154" s="26"/>
      <c r="N154" s="35"/>
      <c r="O154" s="26"/>
    </row>
    <row r="155" spans="1:15" x14ac:dyDescent="0.25">
      <c r="A155" s="7" t="e">
        <f t="shared" si="4"/>
        <v>#REF!</v>
      </c>
      <c r="B155" s="17"/>
      <c r="C155" s="18"/>
      <c r="D155" s="26"/>
      <c r="E155" s="12"/>
      <c r="F155" s="12"/>
      <c r="G155" s="30"/>
      <c r="H155" s="9"/>
      <c r="I155" s="9"/>
      <c r="J155" s="11"/>
      <c r="K155" s="33"/>
      <c r="L155" s="9"/>
      <c r="M155" s="26"/>
      <c r="N155" s="35"/>
      <c r="O155" s="26"/>
    </row>
    <row r="156" spans="1:15" x14ac:dyDescent="0.25">
      <c r="A156" s="7" t="e">
        <f t="shared" si="4"/>
        <v>#REF!</v>
      </c>
      <c r="B156" s="17"/>
      <c r="C156" s="18"/>
      <c r="D156" s="26"/>
      <c r="E156" s="12"/>
      <c r="F156" s="12"/>
      <c r="G156" s="30"/>
      <c r="H156" s="9"/>
      <c r="I156" s="9"/>
      <c r="J156" s="11"/>
      <c r="K156" s="33"/>
      <c r="L156" s="9"/>
      <c r="M156" s="26"/>
      <c r="N156" s="35"/>
      <c r="O156" s="26"/>
    </row>
    <row r="157" spans="1:15" x14ac:dyDescent="0.25">
      <c r="A157" s="7" t="e">
        <f t="shared" si="4"/>
        <v>#REF!</v>
      </c>
      <c r="B157" s="17"/>
      <c r="C157" s="18"/>
      <c r="D157" s="26"/>
      <c r="E157" s="12"/>
      <c r="F157" s="12"/>
      <c r="G157" s="30"/>
      <c r="H157" s="9"/>
      <c r="I157" s="9"/>
      <c r="J157" s="11"/>
      <c r="K157" s="33"/>
      <c r="L157" s="9"/>
      <c r="M157" s="26"/>
      <c r="N157" s="35"/>
      <c r="O157" s="26"/>
    </row>
    <row r="158" spans="1:15" x14ac:dyDescent="0.25">
      <c r="A158" s="7" t="e">
        <f t="shared" si="4"/>
        <v>#REF!</v>
      </c>
      <c r="B158" s="17"/>
      <c r="C158" s="18"/>
      <c r="D158" s="26"/>
      <c r="E158" s="12"/>
      <c r="F158" s="12"/>
      <c r="G158" s="30"/>
      <c r="H158" s="9"/>
      <c r="I158" s="9"/>
      <c r="J158" s="11"/>
      <c r="K158" s="33"/>
      <c r="L158" s="9"/>
      <c r="M158" s="26"/>
      <c r="N158" s="35"/>
      <c r="O158" s="26"/>
    </row>
    <row r="159" spans="1:15" x14ac:dyDescent="0.25">
      <c r="A159" s="7" t="e">
        <f t="shared" si="4"/>
        <v>#REF!</v>
      </c>
      <c r="B159" s="17"/>
      <c r="C159" s="18"/>
      <c r="D159" s="26"/>
      <c r="E159" s="12"/>
      <c r="F159" s="12"/>
      <c r="G159" s="30"/>
      <c r="H159" s="9"/>
      <c r="I159" s="9"/>
      <c r="J159" s="11"/>
      <c r="K159" s="33"/>
      <c r="L159" s="9"/>
      <c r="M159" s="26"/>
      <c r="N159" s="35"/>
      <c r="O159" s="26"/>
    </row>
    <row r="160" spans="1:15" x14ac:dyDescent="0.25">
      <c r="A160" s="7" t="e">
        <f t="shared" si="4"/>
        <v>#REF!</v>
      </c>
      <c r="B160" s="17"/>
      <c r="C160" s="18"/>
      <c r="D160" s="26"/>
      <c r="E160" s="12"/>
      <c r="F160" s="12"/>
      <c r="G160" s="30"/>
      <c r="H160" s="9"/>
      <c r="I160" s="9"/>
      <c r="J160" s="11"/>
      <c r="K160" s="33"/>
      <c r="L160" s="9"/>
      <c r="M160" s="26"/>
      <c r="N160" s="35"/>
      <c r="O160" s="26"/>
    </row>
    <row r="161" spans="1:15" x14ac:dyDescent="0.25">
      <c r="A161" s="7" t="e">
        <f t="shared" si="4"/>
        <v>#REF!</v>
      </c>
      <c r="B161" s="17"/>
      <c r="C161" s="18"/>
      <c r="D161" s="26"/>
      <c r="E161" s="12"/>
      <c r="F161" s="12"/>
      <c r="G161" s="30"/>
      <c r="H161" s="9"/>
      <c r="I161" s="9"/>
      <c r="J161" s="11"/>
      <c r="K161" s="33"/>
      <c r="L161" s="9"/>
      <c r="M161" s="26"/>
      <c r="N161" s="35"/>
      <c r="O161" s="26"/>
    </row>
    <row r="162" spans="1:15" x14ac:dyDescent="0.25">
      <c r="A162" s="7" t="e">
        <f t="shared" si="4"/>
        <v>#REF!</v>
      </c>
      <c r="B162" s="17"/>
      <c r="C162" s="18"/>
      <c r="D162" s="26"/>
      <c r="E162" s="12"/>
      <c r="F162" s="12"/>
      <c r="G162" s="30"/>
      <c r="H162" s="9"/>
      <c r="I162" s="9"/>
      <c r="J162" s="11"/>
      <c r="K162" s="33"/>
      <c r="L162" s="9"/>
      <c r="M162" s="26"/>
      <c r="N162" s="35"/>
      <c r="O162" s="26"/>
    </row>
    <row r="163" spans="1:15" x14ac:dyDescent="0.25">
      <c r="A163" s="7" t="e">
        <f t="shared" si="4"/>
        <v>#REF!</v>
      </c>
      <c r="B163" s="17"/>
      <c r="C163" s="18"/>
      <c r="D163" s="26"/>
      <c r="E163" s="12"/>
      <c r="F163" s="12"/>
      <c r="G163" s="30"/>
      <c r="H163" s="9"/>
      <c r="I163" s="9"/>
      <c r="J163" s="11"/>
      <c r="K163" s="33"/>
      <c r="L163" s="9"/>
      <c r="M163" s="26"/>
      <c r="N163" s="35"/>
      <c r="O163" s="26"/>
    </row>
    <row r="164" spans="1:15" x14ac:dyDescent="0.25">
      <c r="A164" s="7" t="e">
        <f t="shared" si="4"/>
        <v>#REF!</v>
      </c>
      <c r="B164" s="17"/>
      <c r="C164" s="18"/>
      <c r="D164" s="26"/>
      <c r="E164" s="12"/>
      <c r="F164" s="12"/>
      <c r="G164" s="30"/>
      <c r="H164" s="9"/>
      <c r="I164" s="9"/>
      <c r="J164" s="11"/>
      <c r="K164" s="33"/>
      <c r="L164" s="9"/>
      <c r="M164" s="26"/>
      <c r="N164" s="35"/>
      <c r="O164" s="26"/>
    </row>
    <row r="165" spans="1:15" x14ac:dyDescent="0.25">
      <c r="A165" s="7" t="e">
        <f t="shared" si="4"/>
        <v>#REF!</v>
      </c>
      <c r="B165" s="17"/>
      <c r="C165" s="18"/>
      <c r="D165" s="26"/>
      <c r="E165" s="12"/>
      <c r="F165" s="12"/>
      <c r="G165" s="30"/>
      <c r="H165" s="9"/>
      <c r="I165" s="9"/>
      <c r="J165" s="11"/>
      <c r="K165" s="33"/>
      <c r="L165" s="9"/>
      <c r="M165" s="26"/>
      <c r="N165" s="35"/>
      <c r="O165" s="26"/>
    </row>
    <row r="166" spans="1:15" x14ac:dyDescent="0.25">
      <c r="A166" s="7" t="e">
        <f t="shared" si="4"/>
        <v>#REF!</v>
      </c>
      <c r="B166" s="17"/>
      <c r="C166" s="18"/>
      <c r="D166" s="26"/>
      <c r="E166" s="12"/>
      <c r="F166" s="12"/>
      <c r="G166" s="30"/>
      <c r="H166" s="9"/>
      <c r="I166" s="9"/>
      <c r="J166" s="11"/>
      <c r="K166" s="33"/>
      <c r="L166" s="9"/>
      <c r="M166" s="26"/>
      <c r="N166" s="35"/>
      <c r="O166" s="26"/>
    </row>
    <row r="167" spans="1:15" x14ac:dyDescent="0.25">
      <c r="A167" s="7" t="e">
        <f t="shared" si="4"/>
        <v>#REF!</v>
      </c>
      <c r="B167" s="17"/>
      <c r="C167" s="18"/>
      <c r="D167" s="26"/>
      <c r="E167" s="12"/>
      <c r="F167" s="12"/>
      <c r="G167" s="30"/>
      <c r="H167" s="9"/>
      <c r="I167" s="9"/>
      <c r="J167" s="11"/>
      <c r="K167" s="33"/>
      <c r="L167" s="9"/>
      <c r="M167" s="26"/>
      <c r="N167" s="35"/>
      <c r="O167" s="26"/>
    </row>
    <row r="168" spans="1:15" x14ac:dyDescent="0.25">
      <c r="A168" s="7" t="e">
        <f t="shared" si="4"/>
        <v>#REF!</v>
      </c>
      <c r="B168" s="17"/>
      <c r="C168" s="18"/>
      <c r="D168" s="26"/>
      <c r="E168" s="12"/>
      <c r="F168" s="12"/>
      <c r="G168" s="30"/>
      <c r="H168" s="9"/>
      <c r="I168" s="9"/>
      <c r="J168" s="11"/>
      <c r="K168" s="33"/>
      <c r="L168" s="9"/>
      <c r="M168" s="26"/>
      <c r="N168" s="35"/>
      <c r="O168" s="26"/>
    </row>
    <row r="169" spans="1:15" x14ac:dyDescent="0.25">
      <c r="A169" s="7" t="e">
        <f t="shared" si="4"/>
        <v>#REF!</v>
      </c>
      <c r="B169" s="17"/>
      <c r="C169" s="18"/>
      <c r="D169" s="26"/>
      <c r="E169" s="12"/>
      <c r="F169" s="12"/>
      <c r="G169" s="30"/>
      <c r="H169" s="9"/>
      <c r="I169" s="9"/>
      <c r="J169" s="11"/>
      <c r="K169" s="33"/>
      <c r="L169" s="9"/>
      <c r="M169" s="26"/>
      <c r="N169" s="35"/>
      <c r="O169" s="26"/>
    </row>
    <row r="170" spans="1:15" x14ac:dyDescent="0.25">
      <c r="A170" s="7" t="e">
        <f t="shared" si="4"/>
        <v>#REF!</v>
      </c>
      <c r="B170" s="17"/>
      <c r="C170" s="18"/>
      <c r="D170" s="26"/>
      <c r="E170" s="12"/>
      <c r="F170" s="12"/>
      <c r="G170" s="30"/>
      <c r="H170" s="9"/>
      <c r="I170" s="9"/>
      <c r="J170" s="11"/>
      <c r="K170" s="33"/>
      <c r="L170" s="9"/>
      <c r="M170" s="26"/>
      <c r="N170" s="35"/>
      <c r="O170" s="26"/>
    </row>
    <row r="171" spans="1:15" x14ac:dyDescent="0.25">
      <c r="A171" s="7" t="e">
        <f t="shared" si="4"/>
        <v>#REF!</v>
      </c>
      <c r="B171" s="17"/>
      <c r="C171" s="18"/>
      <c r="D171" s="26"/>
      <c r="E171" s="12"/>
      <c r="F171" s="12"/>
      <c r="G171" s="30"/>
      <c r="H171" s="9"/>
      <c r="I171" s="9"/>
      <c r="J171" s="11"/>
      <c r="K171" s="33"/>
      <c r="L171" s="9"/>
      <c r="M171" s="26"/>
      <c r="N171" s="35"/>
      <c r="O171" s="26"/>
    </row>
    <row r="172" spans="1:15" x14ac:dyDescent="0.25">
      <c r="A172" s="7" t="e">
        <f t="shared" si="4"/>
        <v>#REF!</v>
      </c>
      <c r="B172" s="17"/>
      <c r="C172" s="18"/>
      <c r="D172" s="26"/>
      <c r="E172" s="12"/>
      <c r="F172" s="12"/>
      <c r="G172" s="30"/>
      <c r="H172" s="9"/>
      <c r="I172" s="9"/>
      <c r="J172" s="11"/>
      <c r="K172" s="33"/>
      <c r="L172" s="9"/>
      <c r="M172" s="26"/>
      <c r="N172" s="35"/>
      <c r="O172" s="26"/>
    </row>
    <row r="173" spans="1:15" x14ac:dyDescent="0.25">
      <c r="A173" s="7" t="e">
        <f t="shared" si="4"/>
        <v>#REF!</v>
      </c>
      <c r="B173" s="17"/>
      <c r="C173" s="18"/>
      <c r="D173" s="26"/>
      <c r="E173" s="12"/>
      <c r="F173" s="12"/>
      <c r="G173" s="30"/>
      <c r="H173" s="9"/>
      <c r="I173" s="9"/>
      <c r="J173" s="11"/>
      <c r="K173" s="33"/>
      <c r="L173" s="9"/>
      <c r="M173" s="26"/>
      <c r="N173" s="35"/>
      <c r="O173" s="26"/>
    </row>
    <row r="174" spans="1:15" x14ac:dyDescent="0.25">
      <c r="A174" s="7" t="e">
        <f t="shared" si="4"/>
        <v>#REF!</v>
      </c>
      <c r="B174" s="17"/>
      <c r="C174" s="18"/>
      <c r="D174" s="26"/>
      <c r="E174" s="12"/>
      <c r="F174" s="12"/>
      <c r="G174" s="30"/>
      <c r="H174" s="9"/>
      <c r="I174" s="9"/>
      <c r="J174" s="11"/>
      <c r="K174" s="33"/>
      <c r="L174" s="9"/>
      <c r="M174" s="26"/>
      <c r="N174" s="35"/>
      <c r="O174" s="26"/>
    </row>
    <row r="175" spans="1:15" x14ac:dyDescent="0.25">
      <c r="A175" s="7" t="e">
        <f t="shared" si="4"/>
        <v>#REF!</v>
      </c>
      <c r="B175" s="17"/>
      <c r="C175" s="18"/>
      <c r="D175" s="26"/>
      <c r="E175" s="12"/>
      <c r="F175" s="12"/>
      <c r="G175" s="30"/>
      <c r="H175" s="9"/>
      <c r="I175" s="9"/>
      <c r="J175" s="11"/>
      <c r="K175" s="33"/>
      <c r="L175" s="9"/>
      <c r="M175" s="26"/>
      <c r="N175" s="35"/>
      <c r="O175" s="26"/>
    </row>
    <row r="176" spans="1:15" x14ac:dyDescent="0.25">
      <c r="A176" s="7" t="e">
        <f t="shared" si="4"/>
        <v>#REF!</v>
      </c>
      <c r="B176" s="17"/>
      <c r="C176" s="18"/>
      <c r="D176" s="26"/>
      <c r="E176" s="12"/>
      <c r="F176" s="12"/>
      <c r="G176" s="30"/>
      <c r="H176" s="9"/>
      <c r="I176" s="9"/>
      <c r="J176" s="11"/>
      <c r="K176" s="33"/>
      <c r="L176" s="9"/>
      <c r="M176" s="26"/>
      <c r="N176" s="35"/>
      <c r="O176" s="26"/>
    </row>
    <row r="177" spans="1:15" x14ac:dyDescent="0.25">
      <c r="A177" s="7" t="e">
        <f t="shared" si="4"/>
        <v>#REF!</v>
      </c>
      <c r="B177" s="17"/>
      <c r="C177" s="18"/>
      <c r="D177" s="26"/>
      <c r="E177" s="12"/>
      <c r="F177" s="12"/>
      <c r="G177" s="30"/>
      <c r="H177" s="9"/>
      <c r="I177" s="9"/>
      <c r="J177" s="11"/>
      <c r="K177" s="33"/>
      <c r="L177" s="9"/>
      <c r="M177" s="26"/>
      <c r="N177" s="35"/>
      <c r="O177" s="26"/>
    </row>
    <row r="178" spans="1:15" x14ac:dyDescent="0.25">
      <c r="A178" s="7" t="e">
        <f t="shared" si="4"/>
        <v>#REF!</v>
      </c>
      <c r="B178" s="17"/>
      <c r="C178" s="18"/>
      <c r="D178" s="26"/>
      <c r="E178" s="12"/>
      <c r="F178" s="12"/>
      <c r="G178" s="30"/>
      <c r="H178" s="9"/>
      <c r="I178" s="9"/>
      <c r="J178" s="11"/>
      <c r="K178" s="33"/>
      <c r="L178" s="9"/>
      <c r="M178" s="26"/>
      <c r="N178" s="35"/>
      <c r="O178" s="26"/>
    </row>
    <row r="179" spans="1:15" x14ac:dyDescent="0.25">
      <c r="A179" s="7" t="e">
        <f t="shared" si="4"/>
        <v>#REF!</v>
      </c>
      <c r="B179" s="17"/>
      <c r="C179" s="18"/>
      <c r="D179" s="26"/>
      <c r="E179" s="12"/>
      <c r="F179" s="12"/>
      <c r="G179" s="30"/>
      <c r="H179" s="9"/>
      <c r="I179" s="9"/>
      <c r="J179" s="11"/>
      <c r="K179" s="33"/>
      <c r="L179" s="9"/>
      <c r="M179" s="26"/>
      <c r="N179" s="35"/>
      <c r="O179" s="26"/>
    </row>
    <row r="180" spans="1:15" x14ac:dyDescent="0.25">
      <c r="A180" s="7" t="e">
        <f t="shared" si="4"/>
        <v>#REF!</v>
      </c>
      <c r="B180" s="17"/>
      <c r="C180" s="18"/>
      <c r="D180" s="26"/>
      <c r="E180" s="12"/>
      <c r="F180" s="12"/>
      <c r="G180" s="30"/>
      <c r="H180" s="9"/>
      <c r="I180" s="9"/>
      <c r="J180" s="11"/>
      <c r="K180" s="33"/>
      <c r="L180" s="9"/>
      <c r="M180" s="26"/>
      <c r="N180" s="35"/>
      <c r="O180" s="26"/>
    </row>
    <row r="181" spans="1:15" x14ac:dyDescent="0.25">
      <c r="A181" s="7" t="e">
        <f t="shared" si="4"/>
        <v>#REF!</v>
      </c>
      <c r="B181" s="17"/>
      <c r="C181" s="18"/>
      <c r="D181" s="26"/>
      <c r="E181" s="12"/>
      <c r="F181" s="12"/>
      <c r="G181" s="30"/>
      <c r="H181" s="9"/>
      <c r="I181" s="9"/>
      <c r="J181" s="11"/>
      <c r="K181" s="33"/>
      <c r="L181" s="9"/>
      <c r="M181" s="26"/>
      <c r="N181" s="35"/>
      <c r="O181" s="26"/>
    </row>
    <row r="189" spans="1:15" ht="18.75" x14ac:dyDescent="0.3">
      <c r="C189" s="258" t="s">
        <v>36</v>
      </c>
      <c r="L189" s="258" t="s">
        <v>578</v>
      </c>
    </row>
    <row r="190" spans="1:15" x14ac:dyDescent="0.25">
      <c r="C190" s="5" t="s">
        <v>572</v>
      </c>
      <c r="L190" s="5" t="s">
        <v>580</v>
      </c>
    </row>
    <row r="191" spans="1:15" x14ac:dyDescent="0.25">
      <c r="C191" s="5"/>
      <c r="L191" s="5"/>
    </row>
    <row r="192" spans="1:15" x14ac:dyDescent="0.25">
      <c r="C192" s="5"/>
      <c r="L192" s="5"/>
    </row>
    <row r="193" spans="2:12" x14ac:dyDescent="0.25">
      <c r="C193" s="5"/>
      <c r="L193" s="5"/>
    </row>
    <row r="194" spans="2:12" x14ac:dyDescent="0.25">
      <c r="C194" s="6" t="s">
        <v>573</v>
      </c>
      <c r="L194" s="6" t="s">
        <v>576</v>
      </c>
    </row>
    <row r="195" spans="2:12" x14ac:dyDescent="0.25">
      <c r="C195" s="5" t="s">
        <v>39</v>
      </c>
      <c r="L195" s="23" t="s">
        <v>577</v>
      </c>
    </row>
    <row r="196" spans="2:12" x14ac:dyDescent="0.25">
      <c r="C196" s="23"/>
      <c r="L196" s="23"/>
    </row>
    <row r="197" spans="2:12" x14ac:dyDescent="0.25">
      <c r="C197" s="23"/>
    </row>
    <row r="198" spans="2:12" x14ac:dyDescent="0.25">
      <c r="K198" s="24"/>
    </row>
    <row r="199" spans="2:12" x14ac:dyDescent="0.25">
      <c r="B199" s="21"/>
      <c r="K199" s="25"/>
    </row>
    <row r="200" spans="2:12" x14ac:dyDescent="0.25">
      <c r="B200" s="22"/>
    </row>
    <row r="201" spans="2:12" x14ac:dyDescent="0.25">
      <c r="B201" s="22"/>
    </row>
  </sheetData>
  <mergeCells count="104">
    <mergeCell ref="A10:A11"/>
    <mergeCell ref="B10:C11"/>
    <mergeCell ref="D10:D11"/>
    <mergeCell ref="E10:E11"/>
    <mergeCell ref="A3:B3"/>
    <mergeCell ref="A4:B4"/>
    <mergeCell ref="A5:B5"/>
    <mergeCell ref="A6:B6"/>
    <mergeCell ref="B9:C9"/>
    <mergeCell ref="O10:O11"/>
    <mergeCell ref="B12:C12"/>
    <mergeCell ref="B26:C26"/>
    <mergeCell ref="B35:C35"/>
    <mergeCell ref="B38:C38"/>
    <mergeCell ref="G9:G11"/>
    <mergeCell ref="L9:N9"/>
    <mergeCell ref="F9:F11"/>
    <mergeCell ref="B23:C23"/>
    <mergeCell ref="B36:C36"/>
    <mergeCell ref="B31:C31"/>
    <mergeCell ref="B19:C19"/>
    <mergeCell ref="B20:C20"/>
    <mergeCell ref="B21:C21"/>
    <mergeCell ref="B28:C28"/>
    <mergeCell ref="B29:C29"/>
    <mergeCell ref="B18:C18"/>
    <mergeCell ref="B13:C13"/>
    <mergeCell ref="B14:C14"/>
    <mergeCell ref="B15:C15"/>
    <mergeCell ref="B16:C16"/>
    <mergeCell ref="B17:C17"/>
    <mergeCell ref="B22:C22"/>
    <mergeCell ref="B24:C24"/>
    <mergeCell ref="B34:C34"/>
    <mergeCell ref="B39:C39"/>
    <mergeCell ref="B40:C40"/>
    <mergeCell ref="B56:C56"/>
    <mergeCell ref="B82:C82"/>
    <mergeCell ref="B33:C33"/>
    <mergeCell ref="B37:C37"/>
    <mergeCell ref="B25:C25"/>
    <mergeCell ref="B27:C27"/>
    <mergeCell ref="B57:C57"/>
    <mergeCell ref="B32:C32"/>
    <mergeCell ref="B50:C50"/>
    <mergeCell ref="B52:C52"/>
    <mergeCell ref="B55:C55"/>
    <mergeCell ref="B77:C77"/>
    <mergeCell ref="B30:C30"/>
    <mergeCell ref="B79:C79"/>
    <mergeCell ref="B80:C80"/>
    <mergeCell ref="B81:C81"/>
    <mergeCell ref="B48:C48"/>
    <mergeCell ref="B51:C51"/>
    <mergeCell ref="B78:C78"/>
    <mergeCell ref="B76:C76"/>
    <mergeCell ref="B41:C41"/>
    <mergeCell ref="B42:C42"/>
    <mergeCell ref="B43:C43"/>
    <mergeCell ref="B44:C44"/>
    <mergeCell ref="B45:C45"/>
    <mergeCell ref="B46:C46"/>
    <mergeCell ref="B47:C47"/>
    <mergeCell ref="B74:C74"/>
    <mergeCell ref="B75:C75"/>
    <mergeCell ref="B54:C54"/>
    <mergeCell ref="B49:C49"/>
    <mergeCell ref="B53:C53"/>
    <mergeCell ref="B83:C83"/>
    <mergeCell ref="B85:C85"/>
    <mergeCell ref="B130:C130"/>
    <mergeCell ref="B91:C91"/>
    <mergeCell ref="B120:C120"/>
    <mergeCell ref="B121:C121"/>
    <mergeCell ref="B122:C122"/>
    <mergeCell ref="B123:C123"/>
    <mergeCell ref="B124:C124"/>
    <mergeCell ref="B84:C84"/>
    <mergeCell ref="B89:C89"/>
    <mergeCell ref="B87:C87"/>
    <mergeCell ref="B88:C88"/>
    <mergeCell ref="B86:C86"/>
    <mergeCell ref="B145:C145"/>
    <mergeCell ref="B146:C146"/>
    <mergeCell ref="B150:C150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36:C136"/>
    <mergeCell ref="B125:C125"/>
    <mergeCell ref="B126:C126"/>
    <mergeCell ref="B127:C127"/>
    <mergeCell ref="B128:C128"/>
    <mergeCell ref="B129:C129"/>
    <mergeCell ref="B131:C131"/>
    <mergeCell ref="B132:C132"/>
    <mergeCell ref="B133:C133"/>
    <mergeCell ref="B134:C134"/>
    <mergeCell ref="B135:C135"/>
  </mergeCells>
  <printOptions horizontalCentered="1"/>
  <pageMargins left="0.11811023622047245" right="0.35433070866141736" top="0.19685039370078741" bottom="0.15748031496062992" header="0" footer="0"/>
  <pageSetup paperSize="14" scale="65" orientation="landscape" horizontalDpi="180" verticalDpi="180" r:id="rId1"/>
  <headerFooter alignWithMargins="0">
    <oddFooter>&amp;L&amp;9&amp;F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B1:P35"/>
  <sheetViews>
    <sheetView view="pageBreakPreview" zoomScale="70" zoomScaleNormal="55" zoomScaleSheetLayoutView="70" workbookViewId="0">
      <selection activeCell="J18" sqref="J18"/>
    </sheetView>
  </sheetViews>
  <sheetFormatPr defaultRowHeight="15.75" x14ac:dyDescent="0.25"/>
  <cols>
    <col min="1" max="1" width="6.375" customWidth="1"/>
    <col min="2" max="2" width="6.5" customWidth="1"/>
    <col min="3" max="3" width="8.875" customWidth="1"/>
    <col min="4" max="4" width="22.125" customWidth="1"/>
    <col min="5" max="5" width="12.875" customWidth="1"/>
    <col min="6" max="6" width="11.25" customWidth="1"/>
    <col min="7" max="7" width="11.5" customWidth="1"/>
    <col min="8" max="8" width="14.625" customWidth="1"/>
    <col min="9" max="9" width="17.625" customWidth="1"/>
    <col min="10" max="10" width="19" customWidth="1"/>
    <col min="11" max="11" width="12.125" customWidth="1"/>
    <col min="12" max="12" width="15.125" customWidth="1"/>
    <col min="13" max="13" width="7.125" customWidth="1"/>
    <col min="14" max="14" width="13.875" customWidth="1"/>
    <col min="15" max="15" width="13.625" customWidth="1"/>
    <col min="16" max="16" width="12.875" customWidth="1"/>
    <col min="259" max="259" width="7" customWidth="1"/>
    <col min="260" max="260" width="17.75" customWidth="1"/>
    <col min="261" max="261" width="10.875" customWidth="1"/>
    <col min="262" max="262" width="11.25" customWidth="1"/>
    <col min="263" max="263" width="11.5" customWidth="1"/>
    <col min="264" max="264" width="11.625" customWidth="1"/>
    <col min="265" max="265" width="15.5" customWidth="1"/>
    <col min="266" max="266" width="18.75" customWidth="1"/>
    <col min="267" max="267" width="15.375" customWidth="1"/>
    <col min="268" max="268" width="15.125" customWidth="1"/>
    <col min="270" max="270" width="11" customWidth="1"/>
    <col min="271" max="271" width="10.625" customWidth="1"/>
    <col min="272" max="272" width="9.625" customWidth="1"/>
    <col min="515" max="515" width="7" customWidth="1"/>
    <col min="516" max="516" width="17.75" customWidth="1"/>
    <col min="517" max="517" width="10.875" customWidth="1"/>
    <col min="518" max="518" width="11.25" customWidth="1"/>
    <col min="519" max="519" width="11.5" customWidth="1"/>
    <col min="520" max="520" width="11.625" customWidth="1"/>
    <col min="521" max="521" width="15.5" customWidth="1"/>
    <col min="522" max="522" width="18.75" customWidth="1"/>
    <col min="523" max="523" width="15.375" customWidth="1"/>
    <col min="524" max="524" width="15.125" customWidth="1"/>
    <col min="526" max="526" width="11" customWidth="1"/>
    <col min="527" max="527" width="10.625" customWidth="1"/>
    <col min="528" max="528" width="9.625" customWidth="1"/>
    <col min="771" max="771" width="7" customWidth="1"/>
    <col min="772" max="772" width="17.75" customWidth="1"/>
    <col min="773" max="773" width="10.875" customWidth="1"/>
    <col min="774" max="774" width="11.25" customWidth="1"/>
    <col min="775" max="775" width="11.5" customWidth="1"/>
    <col min="776" max="776" width="11.625" customWidth="1"/>
    <col min="777" max="777" width="15.5" customWidth="1"/>
    <col min="778" max="778" width="18.75" customWidth="1"/>
    <col min="779" max="779" width="15.375" customWidth="1"/>
    <col min="780" max="780" width="15.125" customWidth="1"/>
    <col min="782" max="782" width="11" customWidth="1"/>
    <col min="783" max="783" width="10.625" customWidth="1"/>
    <col min="784" max="784" width="9.625" customWidth="1"/>
    <col min="1027" max="1027" width="7" customWidth="1"/>
    <col min="1028" max="1028" width="17.75" customWidth="1"/>
    <col min="1029" max="1029" width="10.875" customWidth="1"/>
    <col min="1030" max="1030" width="11.25" customWidth="1"/>
    <col min="1031" max="1031" width="11.5" customWidth="1"/>
    <col min="1032" max="1032" width="11.625" customWidth="1"/>
    <col min="1033" max="1033" width="15.5" customWidth="1"/>
    <col min="1034" max="1034" width="18.75" customWidth="1"/>
    <col min="1035" max="1035" width="15.375" customWidth="1"/>
    <col min="1036" max="1036" width="15.125" customWidth="1"/>
    <col min="1038" max="1038" width="11" customWidth="1"/>
    <col min="1039" max="1039" width="10.625" customWidth="1"/>
    <col min="1040" max="1040" width="9.625" customWidth="1"/>
    <col min="1283" max="1283" width="7" customWidth="1"/>
    <col min="1284" max="1284" width="17.75" customWidth="1"/>
    <col min="1285" max="1285" width="10.875" customWidth="1"/>
    <col min="1286" max="1286" width="11.25" customWidth="1"/>
    <col min="1287" max="1287" width="11.5" customWidth="1"/>
    <col min="1288" max="1288" width="11.625" customWidth="1"/>
    <col min="1289" max="1289" width="15.5" customWidth="1"/>
    <col min="1290" max="1290" width="18.75" customWidth="1"/>
    <col min="1291" max="1291" width="15.375" customWidth="1"/>
    <col min="1292" max="1292" width="15.125" customWidth="1"/>
    <col min="1294" max="1294" width="11" customWidth="1"/>
    <col min="1295" max="1295" width="10.625" customWidth="1"/>
    <col min="1296" max="1296" width="9.625" customWidth="1"/>
    <col min="1539" max="1539" width="7" customWidth="1"/>
    <col min="1540" max="1540" width="17.75" customWidth="1"/>
    <col min="1541" max="1541" width="10.875" customWidth="1"/>
    <col min="1542" max="1542" width="11.25" customWidth="1"/>
    <col min="1543" max="1543" width="11.5" customWidth="1"/>
    <col min="1544" max="1544" width="11.625" customWidth="1"/>
    <col min="1545" max="1545" width="15.5" customWidth="1"/>
    <col min="1546" max="1546" width="18.75" customWidth="1"/>
    <col min="1547" max="1547" width="15.375" customWidth="1"/>
    <col min="1548" max="1548" width="15.125" customWidth="1"/>
    <col min="1550" max="1550" width="11" customWidth="1"/>
    <col min="1551" max="1551" width="10.625" customWidth="1"/>
    <col min="1552" max="1552" width="9.625" customWidth="1"/>
    <col min="1795" max="1795" width="7" customWidth="1"/>
    <col min="1796" max="1796" width="17.75" customWidth="1"/>
    <col min="1797" max="1797" width="10.875" customWidth="1"/>
    <col min="1798" max="1798" width="11.25" customWidth="1"/>
    <col min="1799" max="1799" width="11.5" customWidth="1"/>
    <col min="1800" max="1800" width="11.625" customWidth="1"/>
    <col min="1801" max="1801" width="15.5" customWidth="1"/>
    <col min="1802" max="1802" width="18.75" customWidth="1"/>
    <col min="1803" max="1803" width="15.375" customWidth="1"/>
    <col min="1804" max="1804" width="15.125" customWidth="1"/>
    <col min="1806" max="1806" width="11" customWidth="1"/>
    <col min="1807" max="1807" width="10.625" customWidth="1"/>
    <col min="1808" max="1808" width="9.625" customWidth="1"/>
    <col min="2051" max="2051" width="7" customWidth="1"/>
    <col min="2052" max="2052" width="17.75" customWidth="1"/>
    <col min="2053" max="2053" width="10.875" customWidth="1"/>
    <col min="2054" max="2054" width="11.25" customWidth="1"/>
    <col min="2055" max="2055" width="11.5" customWidth="1"/>
    <col min="2056" max="2056" width="11.625" customWidth="1"/>
    <col min="2057" max="2057" width="15.5" customWidth="1"/>
    <col min="2058" max="2058" width="18.75" customWidth="1"/>
    <col min="2059" max="2059" width="15.375" customWidth="1"/>
    <col min="2060" max="2060" width="15.125" customWidth="1"/>
    <col min="2062" max="2062" width="11" customWidth="1"/>
    <col min="2063" max="2063" width="10.625" customWidth="1"/>
    <col min="2064" max="2064" width="9.625" customWidth="1"/>
    <col min="2307" max="2307" width="7" customWidth="1"/>
    <col min="2308" max="2308" width="17.75" customWidth="1"/>
    <col min="2309" max="2309" width="10.875" customWidth="1"/>
    <col min="2310" max="2310" width="11.25" customWidth="1"/>
    <col min="2311" max="2311" width="11.5" customWidth="1"/>
    <col min="2312" max="2312" width="11.625" customWidth="1"/>
    <col min="2313" max="2313" width="15.5" customWidth="1"/>
    <col min="2314" max="2314" width="18.75" customWidth="1"/>
    <col min="2315" max="2315" width="15.375" customWidth="1"/>
    <col min="2316" max="2316" width="15.125" customWidth="1"/>
    <col min="2318" max="2318" width="11" customWidth="1"/>
    <col min="2319" max="2319" width="10.625" customWidth="1"/>
    <col min="2320" max="2320" width="9.625" customWidth="1"/>
    <col min="2563" max="2563" width="7" customWidth="1"/>
    <col min="2564" max="2564" width="17.75" customWidth="1"/>
    <col min="2565" max="2565" width="10.875" customWidth="1"/>
    <col min="2566" max="2566" width="11.25" customWidth="1"/>
    <col min="2567" max="2567" width="11.5" customWidth="1"/>
    <col min="2568" max="2568" width="11.625" customWidth="1"/>
    <col min="2569" max="2569" width="15.5" customWidth="1"/>
    <col min="2570" max="2570" width="18.75" customWidth="1"/>
    <col min="2571" max="2571" width="15.375" customWidth="1"/>
    <col min="2572" max="2572" width="15.125" customWidth="1"/>
    <col min="2574" max="2574" width="11" customWidth="1"/>
    <col min="2575" max="2575" width="10.625" customWidth="1"/>
    <col min="2576" max="2576" width="9.625" customWidth="1"/>
    <col min="2819" max="2819" width="7" customWidth="1"/>
    <col min="2820" max="2820" width="17.75" customWidth="1"/>
    <col min="2821" max="2821" width="10.875" customWidth="1"/>
    <col min="2822" max="2822" width="11.25" customWidth="1"/>
    <col min="2823" max="2823" width="11.5" customWidth="1"/>
    <col min="2824" max="2824" width="11.625" customWidth="1"/>
    <col min="2825" max="2825" width="15.5" customWidth="1"/>
    <col min="2826" max="2826" width="18.75" customWidth="1"/>
    <col min="2827" max="2827" width="15.375" customWidth="1"/>
    <col min="2828" max="2828" width="15.125" customWidth="1"/>
    <col min="2830" max="2830" width="11" customWidth="1"/>
    <col min="2831" max="2831" width="10.625" customWidth="1"/>
    <col min="2832" max="2832" width="9.625" customWidth="1"/>
    <col min="3075" max="3075" width="7" customWidth="1"/>
    <col min="3076" max="3076" width="17.75" customWidth="1"/>
    <col min="3077" max="3077" width="10.875" customWidth="1"/>
    <col min="3078" max="3078" width="11.25" customWidth="1"/>
    <col min="3079" max="3079" width="11.5" customWidth="1"/>
    <col min="3080" max="3080" width="11.625" customWidth="1"/>
    <col min="3081" max="3081" width="15.5" customWidth="1"/>
    <col min="3082" max="3082" width="18.75" customWidth="1"/>
    <col min="3083" max="3083" width="15.375" customWidth="1"/>
    <col min="3084" max="3084" width="15.125" customWidth="1"/>
    <col min="3086" max="3086" width="11" customWidth="1"/>
    <col min="3087" max="3087" width="10.625" customWidth="1"/>
    <col min="3088" max="3088" width="9.625" customWidth="1"/>
    <col min="3331" max="3331" width="7" customWidth="1"/>
    <col min="3332" max="3332" width="17.75" customWidth="1"/>
    <col min="3333" max="3333" width="10.875" customWidth="1"/>
    <col min="3334" max="3334" width="11.25" customWidth="1"/>
    <col min="3335" max="3335" width="11.5" customWidth="1"/>
    <col min="3336" max="3336" width="11.625" customWidth="1"/>
    <col min="3337" max="3337" width="15.5" customWidth="1"/>
    <col min="3338" max="3338" width="18.75" customWidth="1"/>
    <col min="3339" max="3339" width="15.375" customWidth="1"/>
    <col min="3340" max="3340" width="15.125" customWidth="1"/>
    <col min="3342" max="3342" width="11" customWidth="1"/>
    <col min="3343" max="3343" width="10.625" customWidth="1"/>
    <col min="3344" max="3344" width="9.625" customWidth="1"/>
    <col min="3587" max="3587" width="7" customWidth="1"/>
    <col min="3588" max="3588" width="17.75" customWidth="1"/>
    <col min="3589" max="3589" width="10.875" customWidth="1"/>
    <col min="3590" max="3590" width="11.25" customWidth="1"/>
    <col min="3591" max="3591" width="11.5" customWidth="1"/>
    <col min="3592" max="3592" width="11.625" customWidth="1"/>
    <col min="3593" max="3593" width="15.5" customWidth="1"/>
    <col min="3594" max="3594" width="18.75" customWidth="1"/>
    <col min="3595" max="3595" width="15.375" customWidth="1"/>
    <col min="3596" max="3596" width="15.125" customWidth="1"/>
    <col min="3598" max="3598" width="11" customWidth="1"/>
    <col min="3599" max="3599" width="10.625" customWidth="1"/>
    <col min="3600" max="3600" width="9.625" customWidth="1"/>
    <col min="3843" max="3843" width="7" customWidth="1"/>
    <col min="3844" max="3844" width="17.75" customWidth="1"/>
    <col min="3845" max="3845" width="10.875" customWidth="1"/>
    <col min="3846" max="3846" width="11.25" customWidth="1"/>
    <col min="3847" max="3847" width="11.5" customWidth="1"/>
    <col min="3848" max="3848" width="11.625" customWidth="1"/>
    <col min="3849" max="3849" width="15.5" customWidth="1"/>
    <col min="3850" max="3850" width="18.75" customWidth="1"/>
    <col min="3851" max="3851" width="15.375" customWidth="1"/>
    <col min="3852" max="3852" width="15.125" customWidth="1"/>
    <col min="3854" max="3854" width="11" customWidth="1"/>
    <col min="3855" max="3855" width="10.625" customWidth="1"/>
    <col min="3856" max="3856" width="9.625" customWidth="1"/>
    <col min="4099" max="4099" width="7" customWidth="1"/>
    <col min="4100" max="4100" width="17.75" customWidth="1"/>
    <col min="4101" max="4101" width="10.875" customWidth="1"/>
    <col min="4102" max="4102" width="11.25" customWidth="1"/>
    <col min="4103" max="4103" width="11.5" customWidth="1"/>
    <col min="4104" max="4104" width="11.625" customWidth="1"/>
    <col min="4105" max="4105" width="15.5" customWidth="1"/>
    <col min="4106" max="4106" width="18.75" customWidth="1"/>
    <col min="4107" max="4107" width="15.375" customWidth="1"/>
    <col min="4108" max="4108" width="15.125" customWidth="1"/>
    <col min="4110" max="4110" width="11" customWidth="1"/>
    <col min="4111" max="4111" width="10.625" customWidth="1"/>
    <col min="4112" max="4112" width="9.625" customWidth="1"/>
    <col min="4355" max="4355" width="7" customWidth="1"/>
    <col min="4356" max="4356" width="17.75" customWidth="1"/>
    <col min="4357" max="4357" width="10.875" customWidth="1"/>
    <col min="4358" max="4358" width="11.25" customWidth="1"/>
    <col min="4359" max="4359" width="11.5" customWidth="1"/>
    <col min="4360" max="4360" width="11.625" customWidth="1"/>
    <col min="4361" max="4361" width="15.5" customWidth="1"/>
    <col min="4362" max="4362" width="18.75" customWidth="1"/>
    <col min="4363" max="4363" width="15.375" customWidth="1"/>
    <col min="4364" max="4364" width="15.125" customWidth="1"/>
    <col min="4366" max="4366" width="11" customWidth="1"/>
    <col min="4367" max="4367" width="10.625" customWidth="1"/>
    <col min="4368" max="4368" width="9.625" customWidth="1"/>
    <col min="4611" max="4611" width="7" customWidth="1"/>
    <col min="4612" max="4612" width="17.75" customWidth="1"/>
    <col min="4613" max="4613" width="10.875" customWidth="1"/>
    <col min="4614" max="4614" width="11.25" customWidth="1"/>
    <col min="4615" max="4615" width="11.5" customWidth="1"/>
    <col min="4616" max="4616" width="11.625" customWidth="1"/>
    <col min="4617" max="4617" width="15.5" customWidth="1"/>
    <col min="4618" max="4618" width="18.75" customWidth="1"/>
    <col min="4619" max="4619" width="15.375" customWidth="1"/>
    <col min="4620" max="4620" width="15.125" customWidth="1"/>
    <col min="4622" max="4622" width="11" customWidth="1"/>
    <col min="4623" max="4623" width="10.625" customWidth="1"/>
    <col min="4624" max="4624" width="9.625" customWidth="1"/>
    <col min="4867" max="4867" width="7" customWidth="1"/>
    <col min="4868" max="4868" width="17.75" customWidth="1"/>
    <col min="4869" max="4869" width="10.875" customWidth="1"/>
    <col min="4870" max="4870" width="11.25" customWidth="1"/>
    <col min="4871" max="4871" width="11.5" customWidth="1"/>
    <col min="4872" max="4872" width="11.625" customWidth="1"/>
    <col min="4873" max="4873" width="15.5" customWidth="1"/>
    <col min="4874" max="4874" width="18.75" customWidth="1"/>
    <col min="4875" max="4875" width="15.375" customWidth="1"/>
    <col min="4876" max="4876" width="15.125" customWidth="1"/>
    <col min="4878" max="4878" width="11" customWidth="1"/>
    <col min="4879" max="4879" width="10.625" customWidth="1"/>
    <col min="4880" max="4880" width="9.625" customWidth="1"/>
    <col min="5123" max="5123" width="7" customWidth="1"/>
    <col min="5124" max="5124" width="17.75" customWidth="1"/>
    <col min="5125" max="5125" width="10.875" customWidth="1"/>
    <col min="5126" max="5126" width="11.25" customWidth="1"/>
    <col min="5127" max="5127" width="11.5" customWidth="1"/>
    <col min="5128" max="5128" width="11.625" customWidth="1"/>
    <col min="5129" max="5129" width="15.5" customWidth="1"/>
    <col min="5130" max="5130" width="18.75" customWidth="1"/>
    <col min="5131" max="5131" width="15.375" customWidth="1"/>
    <col min="5132" max="5132" width="15.125" customWidth="1"/>
    <col min="5134" max="5134" width="11" customWidth="1"/>
    <col min="5135" max="5135" width="10.625" customWidth="1"/>
    <col min="5136" max="5136" width="9.625" customWidth="1"/>
    <col min="5379" max="5379" width="7" customWidth="1"/>
    <col min="5380" max="5380" width="17.75" customWidth="1"/>
    <col min="5381" max="5381" width="10.875" customWidth="1"/>
    <col min="5382" max="5382" width="11.25" customWidth="1"/>
    <col min="5383" max="5383" width="11.5" customWidth="1"/>
    <col min="5384" max="5384" width="11.625" customWidth="1"/>
    <col min="5385" max="5385" width="15.5" customWidth="1"/>
    <col min="5386" max="5386" width="18.75" customWidth="1"/>
    <col min="5387" max="5387" width="15.375" customWidth="1"/>
    <col min="5388" max="5388" width="15.125" customWidth="1"/>
    <col min="5390" max="5390" width="11" customWidth="1"/>
    <col min="5391" max="5391" width="10.625" customWidth="1"/>
    <col min="5392" max="5392" width="9.625" customWidth="1"/>
    <col min="5635" max="5635" width="7" customWidth="1"/>
    <col min="5636" max="5636" width="17.75" customWidth="1"/>
    <col min="5637" max="5637" width="10.875" customWidth="1"/>
    <col min="5638" max="5638" width="11.25" customWidth="1"/>
    <col min="5639" max="5639" width="11.5" customWidth="1"/>
    <col min="5640" max="5640" width="11.625" customWidth="1"/>
    <col min="5641" max="5641" width="15.5" customWidth="1"/>
    <col min="5642" max="5642" width="18.75" customWidth="1"/>
    <col min="5643" max="5643" width="15.375" customWidth="1"/>
    <col min="5644" max="5644" width="15.125" customWidth="1"/>
    <col min="5646" max="5646" width="11" customWidth="1"/>
    <col min="5647" max="5647" width="10.625" customWidth="1"/>
    <col min="5648" max="5648" width="9.625" customWidth="1"/>
    <col min="5891" max="5891" width="7" customWidth="1"/>
    <col min="5892" max="5892" width="17.75" customWidth="1"/>
    <col min="5893" max="5893" width="10.875" customWidth="1"/>
    <col min="5894" max="5894" width="11.25" customWidth="1"/>
    <col min="5895" max="5895" width="11.5" customWidth="1"/>
    <col min="5896" max="5896" width="11.625" customWidth="1"/>
    <col min="5897" max="5897" width="15.5" customWidth="1"/>
    <col min="5898" max="5898" width="18.75" customWidth="1"/>
    <col min="5899" max="5899" width="15.375" customWidth="1"/>
    <col min="5900" max="5900" width="15.125" customWidth="1"/>
    <col min="5902" max="5902" width="11" customWidth="1"/>
    <col min="5903" max="5903" width="10.625" customWidth="1"/>
    <col min="5904" max="5904" width="9.625" customWidth="1"/>
    <col min="6147" max="6147" width="7" customWidth="1"/>
    <col min="6148" max="6148" width="17.75" customWidth="1"/>
    <col min="6149" max="6149" width="10.875" customWidth="1"/>
    <col min="6150" max="6150" width="11.25" customWidth="1"/>
    <col min="6151" max="6151" width="11.5" customWidth="1"/>
    <col min="6152" max="6152" width="11.625" customWidth="1"/>
    <col min="6153" max="6153" width="15.5" customWidth="1"/>
    <col min="6154" max="6154" width="18.75" customWidth="1"/>
    <col min="6155" max="6155" width="15.375" customWidth="1"/>
    <col min="6156" max="6156" width="15.125" customWidth="1"/>
    <col min="6158" max="6158" width="11" customWidth="1"/>
    <col min="6159" max="6159" width="10.625" customWidth="1"/>
    <col min="6160" max="6160" width="9.625" customWidth="1"/>
    <col min="6403" max="6403" width="7" customWidth="1"/>
    <col min="6404" max="6404" width="17.75" customWidth="1"/>
    <col min="6405" max="6405" width="10.875" customWidth="1"/>
    <col min="6406" max="6406" width="11.25" customWidth="1"/>
    <col min="6407" max="6407" width="11.5" customWidth="1"/>
    <col min="6408" max="6408" width="11.625" customWidth="1"/>
    <col min="6409" max="6409" width="15.5" customWidth="1"/>
    <col min="6410" max="6410" width="18.75" customWidth="1"/>
    <col min="6411" max="6411" width="15.375" customWidth="1"/>
    <col min="6412" max="6412" width="15.125" customWidth="1"/>
    <col min="6414" max="6414" width="11" customWidth="1"/>
    <col min="6415" max="6415" width="10.625" customWidth="1"/>
    <col min="6416" max="6416" width="9.625" customWidth="1"/>
    <col min="6659" max="6659" width="7" customWidth="1"/>
    <col min="6660" max="6660" width="17.75" customWidth="1"/>
    <col min="6661" max="6661" width="10.875" customWidth="1"/>
    <col min="6662" max="6662" width="11.25" customWidth="1"/>
    <col min="6663" max="6663" width="11.5" customWidth="1"/>
    <col min="6664" max="6664" width="11.625" customWidth="1"/>
    <col min="6665" max="6665" width="15.5" customWidth="1"/>
    <col min="6666" max="6666" width="18.75" customWidth="1"/>
    <col min="6667" max="6667" width="15.375" customWidth="1"/>
    <col min="6668" max="6668" width="15.125" customWidth="1"/>
    <col min="6670" max="6670" width="11" customWidth="1"/>
    <col min="6671" max="6671" width="10.625" customWidth="1"/>
    <col min="6672" max="6672" width="9.625" customWidth="1"/>
    <col min="6915" max="6915" width="7" customWidth="1"/>
    <col min="6916" max="6916" width="17.75" customWidth="1"/>
    <col min="6917" max="6917" width="10.875" customWidth="1"/>
    <col min="6918" max="6918" width="11.25" customWidth="1"/>
    <col min="6919" max="6919" width="11.5" customWidth="1"/>
    <col min="6920" max="6920" width="11.625" customWidth="1"/>
    <col min="6921" max="6921" width="15.5" customWidth="1"/>
    <col min="6922" max="6922" width="18.75" customWidth="1"/>
    <col min="6923" max="6923" width="15.375" customWidth="1"/>
    <col min="6924" max="6924" width="15.125" customWidth="1"/>
    <col min="6926" max="6926" width="11" customWidth="1"/>
    <col min="6927" max="6927" width="10.625" customWidth="1"/>
    <col min="6928" max="6928" width="9.625" customWidth="1"/>
    <col min="7171" max="7171" width="7" customWidth="1"/>
    <col min="7172" max="7172" width="17.75" customWidth="1"/>
    <col min="7173" max="7173" width="10.875" customWidth="1"/>
    <col min="7174" max="7174" width="11.25" customWidth="1"/>
    <col min="7175" max="7175" width="11.5" customWidth="1"/>
    <col min="7176" max="7176" width="11.625" customWidth="1"/>
    <col min="7177" max="7177" width="15.5" customWidth="1"/>
    <col min="7178" max="7178" width="18.75" customWidth="1"/>
    <col min="7179" max="7179" width="15.375" customWidth="1"/>
    <col min="7180" max="7180" width="15.125" customWidth="1"/>
    <col min="7182" max="7182" width="11" customWidth="1"/>
    <col min="7183" max="7183" width="10.625" customWidth="1"/>
    <col min="7184" max="7184" width="9.625" customWidth="1"/>
    <col min="7427" max="7427" width="7" customWidth="1"/>
    <col min="7428" max="7428" width="17.75" customWidth="1"/>
    <col min="7429" max="7429" width="10.875" customWidth="1"/>
    <col min="7430" max="7430" width="11.25" customWidth="1"/>
    <col min="7431" max="7431" width="11.5" customWidth="1"/>
    <col min="7432" max="7432" width="11.625" customWidth="1"/>
    <col min="7433" max="7433" width="15.5" customWidth="1"/>
    <col min="7434" max="7434" width="18.75" customWidth="1"/>
    <col min="7435" max="7435" width="15.375" customWidth="1"/>
    <col min="7436" max="7436" width="15.125" customWidth="1"/>
    <col min="7438" max="7438" width="11" customWidth="1"/>
    <col min="7439" max="7439" width="10.625" customWidth="1"/>
    <col min="7440" max="7440" width="9.625" customWidth="1"/>
    <col min="7683" max="7683" width="7" customWidth="1"/>
    <col min="7684" max="7684" width="17.75" customWidth="1"/>
    <col min="7685" max="7685" width="10.875" customWidth="1"/>
    <col min="7686" max="7686" width="11.25" customWidth="1"/>
    <col min="7687" max="7687" width="11.5" customWidth="1"/>
    <col min="7688" max="7688" width="11.625" customWidth="1"/>
    <col min="7689" max="7689" width="15.5" customWidth="1"/>
    <col min="7690" max="7690" width="18.75" customWidth="1"/>
    <col min="7691" max="7691" width="15.375" customWidth="1"/>
    <col min="7692" max="7692" width="15.125" customWidth="1"/>
    <col min="7694" max="7694" width="11" customWidth="1"/>
    <col min="7695" max="7695" width="10.625" customWidth="1"/>
    <col min="7696" max="7696" width="9.625" customWidth="1"/>
    <col min="7939" max="7939" width="7" customWidth="1"/>
    <col min="7940" max="7940" width="17.75" customWidth="1"/>
    <col min="7941" max="7941" width="10.875" customWidth="1"/>
    <col min="7942" max="7942" width="11.25" customWidth="1"/>
    <col min="7943" max="7943" width="11.5" customWidth="1"/>
    <col min="7944" max="7944" width="11.625" customWidth="1"/>
    <col min="7945" max="7945" width="15.5" customWidth="1"/>
    <col min="7946" max="7946" width="18.75" customWidth="1"/>
    <col min="7947" max="7947" width="15.375" customWidth="1"/>
    <col min="7948" max="7948" width="15.125" customWidth="1"/>
    <col min="7950" max="7950" width="11" customWidth="1"/>
    <col min="7951" max="7951" width="10.625" customWidth="1"/>
    <col min="7952" max="7952" width="9.625" customWidth="1"/>
    <col min="8195" max="8195" width="7" customWidth="1"/>
    <col min="8196" max="8196" width="17.75" customWidth="1"/>
    <col min="8197" max="8197" width="10.875" customWidth="1"/>
    <col min="8198" max="8198" width="11.25" customWidth="1"/>
    <col min="8199" max="8199" width="11.5" customWidth="1"/>
    <col min="8200" max="8200" width="11.625" customWidth="1"/>
    <col min="8201" max="8201" width="15.5" customWidth="1"/>
    <col min="8202" max="8202" width="18.75" customWidth="1"/>
    <col min="8203" max="8203" width="15.375" customWidth="1"/>
    <col min="8204" max="8204" width="15.125" customWidth="1"/>
    <col min="8206" max="8206" width="11" customWidth="1"/>
    <col min="8207" max="8207" width="10.625" customWidth="1"/>
    <col min="8208" max="8208" width="9.625" customWidth="1"/>
    <col min="8451" max="8451" width="7" customWidth="1"/>
    <col min="8452" max="8452" width="17.75" customWidth="1"/>
    <col min="8453" max="8453" width="10.875" customWidth="1"/>
    <col min="8454" max="8454" width="11.25" customWidth="1"/>
    <col min="8455" max="8455" width="11.5" customWidth="1"/>
    <col min="8456" max="8456" width="11.625" customWidth="1"/>
    <col min="8457" max="8457" width="15.5" customWidth="1"/>
    <col min="8458" max="8458" width="18.75" customWidth="1"/>
    <col min="8459" max="8459" width="15.375" customWidth="1"/>
    <col min="8460" max="8460" width="15.125" customWidth="1"/>
    <col min="8462" max="8462" width="11" customWidth="1"/>
    <col min="8463" max="8463" width="10.625" customWidth="1"/>
    <col min="8464" max="8464" width="9.625" customWidth="1"/>
    <col min="8707" max="8707" width="7" customWidth="1"/>
    <col min="8708" max="8708" width="17.75" customWidth="1"/>
    <col min="8709" max="8709" width="10.875" customWidth="1"/>
    <col min="8710" max="8710" width="11.25" customWidth="1"/>
    <col min="8711" max="8711" width="11.5" customWidth="1"/>
    <col min="8712" max="8712" width="11.625" customWidth="1"/>
    <col min="8713" max="8713" width="15.5" customWidth="1"/>
    <col min="8714" max="8714" width="18.75" customWidth="1"/>
    <col min="8715" max="8715" width="15.375" customWidth="1"/>
    <col min="8716" max="8716" width="15.125" customWidth="1"/>
    <col min="8718" max="8718" width="11" customWidth="1"/>
    <col min="8719" max="8719" width="10.625" customWidth="1"/>
    <col min="8720" max="8720" width="9.625" customWidth="1"/>
    <col min="8963" max="8963" width="7" customWidth="1"/>
    <col min="8964" max="8964" width="17.75" customWidth="1"/>
    <col min="8965" max="8965" width="10.875" customWidth="1"/>
    <col min="8966" max="8966" width="11.25" customWidth="1"/>
    <col min="8967" max="8967" width="11.5" customWidth="1"/>
    <col min="8968" max="8968" width="11.625" customWidth="1"/>
    <col min="8969" max="8969" width="15.5" customWidth="1"/>
    <col min="8970" max="8970" width="18.75" customWidth="1"/>
    <col min="8971" max="8971" width="15.375" customWidth="1"/>
    <col min="8972" max="8972" width="15.125" customWidth="1"/>
    <col min="8974" max="8974" width="11" customWidth="1"/>
    <col min="8975" max="8975" width="10.625" customWidth="1"/>
    <col min="8976" max="8976" width="9.625" customWidth="1"/>
    <col min="9219" max="9219" width="7" customWidth="1"/>
    <col min="9220" max="9220" width="17.75" customWidth="1"/>
    <col min="9221" max="9221" width="10.875" customWidth="1"/>
    <col min="9222" max="9222" width="11.25" customWidth="1"/>
    <col min="9223" max="9223" width="11.5" customWidth="1"/>
    <col min="9224" max="9224" width="11.625" customWidth="1"/>
    <col min="9225" max="9225" width="15.5" customWidth="1"/>
    <col min="9226" max="9226" width="18.75" customWidth="1"/>
    <col min="9227" max="9227" width="15.375" customWidth="1"/>
    <col min="9228" max="9228" width="15.125" customWidth="1"/>
    <col min="9230" max="9230" width="11" customWidth="1"/>
    <col min="9231" max="9231" width="10.625" customWidth="1"/>
    <col min="9232" max="9232" width="9.625" customWidth="1"/>
    <col min="9475" max="9475" width="7" customWidth="1"/>
    <col min="9476" max="9476" width="17.75" customWidth="1"/>
    <col min="9477" max="9477" width="10.875" customWidth="1"/>
    <col min="9478" max="9478" width="11.25" customWidth="1"/>
    <col min="9479" max="9479" width="11.5" customWidth="1"/>
    <col min="9480" max="9480" width="11.625" customWidth="1"/>
    <col min="9481" max="9481" width="15.5" customWidth="1"/>
    <col min="9482" max="9482" width="18.75" customWidth="1"/>
    <col min="9483" max="9483" width="15.375" customWidth="1"/>
    <col min="9484" max="9484" width="15.125" customWidth="1"/>
    <col min="9486" max="9486" width="11" customWidth="1"/>
    <col min="9487" max="9487" width="10.625" customWidth="1"/>
    <col min="9488" max="9488" width="9.625" customWidth="1"/>
    <col min="9731" max="9731" width="7" customWidth="1"/>
    <col min="9732" max="9732" width="17.75" customWidth="1"/>
    <col min="9733" max="9733" width="10.875" customWidth="1"/>
    <col min="9734" max="9734" width="11.25" customWidth="1"/>
    <col min="9735" max="9735" width="11.5" customWidth="1"/>
    <col min="9736" max="9736" width="11.625" customWidth="1"/>
    <col min="9737" max="9737" width="15.5" customWidth="1"/>
    <col min="9738" max="9738" width="18.75" customWidth="1"/>
    <col min="9739" max="9739" width="15.375" customWidth="1"/>
    <col min="9740" max="9740" width="15.125" customWidth="1"/>
    <col min="9742" max="9742" width="11" customWidth="1"/>
    <col min="9743" max="9743" width="10.625" customWidth="1"/>
    <col min="9744" max="9744" width="9.625" customWidth="1"/>
    <col min="9987" max="9987" width="7" customWidth="1"/>
    <col min="9988" max="9988" width="17.75" customWidth="1"/>
    <col min="9989" max="9989" width="10.875" customWidth="1"/>
    <col min="9990" max="9990" width="11.25" customWidth="1"/>
    <col min="9991" max="9991" width="11.5" customWidth="1"/>
    <col min="9992" max="9992" width="11.625" customWidth="1"/>
    <col min="9993" max="9993" width="15.5" customWidth="1"/>
    <col min="9994" max="9994" width="18.75" customWidth="1"/>
    <col min="9995" max="9995" width="15.375" customWidth="1"/>
    <col min="9996" max="9996" width="15.125" customWidth="1"/>
    <col min="9998" max="9998" width="11" customWidth="1"/>
    <col min="9999" max="9999" width="10.625" customWidth="1"/>
    <col min="10000" max="10000" width="9.625" customWidth="1"/>
    <col min="10243" max="10243" width="7" customWidth="1"/>
    <col min="10244" max="10244" width="17.75" customWidth="1"/>
    <col min="10245" max="10245" width="10.875" customWidth="1"/>
    <col min="10246" max="10246" width="11.25" customWidth="1"/>
    <col min="10247" max="10247" width="11.5" customWidth="1"/>
    <col min="10248" max="10248" width="11.625" customWidth="1"/>
    <col min="10249" max="10249" width="15.5" customWidth="1"/>
    <col min="10250" max="10250" width="18.75" customWidth="1"/>
    <col min="10251" max="10251" width="15.375" customWidth="1"/>
    <col min="10252" max="10252" width="15.125" customWidth="1"/>
    <col min="10254" max="10254" width="11" customWidth="1"/>
    <col min="10255" max="10255" width="10.625" customWidth="1"/>
    <col min="10256" max="10256" width="9.625" customWidth="1"/>
    <col min="10499" max="10499" width="7" customWidth="1"/>
    <col min="10500" max="10500" width="17.75" customWidth="1"/>
    <col min="10501" max="10501" width="10.875" customWidth="1"/>
    <col min="10502" max="10502" width="11.25" customWidth="1"/>
    <col min="10503" max="10503" width="11.5" customWidth="1"/>
    <col min="10504" max="10504" width="11.625" customWidth="1"/>
    <col min="10505" max="10505" width="15.5" customWidth="1"/>
    <col min="10506" max="10506" width="18.75" customWidth="1"/>
    <col min="10507" max="10507" width="15.375" customWidth="1"/>
    <col min="10508" max="10508" width="15.125" customWidth="1"/>
    <col min="10510" max="10510" width="11" customWidth="1"/>
    <col min="10511" max="10511" width="10.625" customWidth="1"/>
    <col min="10512" max="10512" width="9.625" customWidth="1"/>
    <col min="10755" max="10755" width="7" customWidth="1"/>
    <col min="10756" max="10756" width="17.75" customWidth="1"/>
    <col min="10757" max="10757" width="10.875" customWidth="1"/>
    <col min="10758" max="10758" width="11.25" customWidth="1"/>
    <col min="10759" max="10759" width="11.5" customWidth="1"/>
    <col min="10760" max="10760" width="11.625" customWidth="1"/>
    <col min="10761" max="10761" width="15.5" customWidth="1"/>
    <col min="10762" max="10762" width="18.75" customWidth="1"/>
    <col min="10763" max="10763" width="15.375" customWidth="1"/>
    <col min="10764" max="10764" width="15.125" customWidth="1"/>
    <col min="10766" max="10766" width="11" customWidth="1"/>
    <col min="10767" max="10767" width="10.625" customWidth="1"/>
    <col min="10768" max="10768" width="9.625" customWidth="1"/>
    <col min="11011" max="11011" width="7" customWidth="1"/>
    <col min="11012" max="11012" width="17.75" customWidth="1"/>
    <col min="11013" max="11013" width="10.875" customWidth="1"/>
    <col min="11014" max="11014" width="11.25" customWidth="1"/>
    <col min="11015" max="11015" width="11.5" customWidth="1"/>
    <col min="11016" max="11016" width="11.625" customWidth="1"/>
    <col min="11017" max="11017" width="15.5" customWidth="1"/>
    <col min="11018" max="11018" width="18.75" customWidth="1"/>
    <col min="11019" max="11019" width="15.375" customWidth="1"/>
    <col min="11020" max="11020" width="15.125" customWidth="1"/>
    <col min="11022" max="11022" width="11" customWidth="1"/>
    <col min="11023" max="11023" width="10.625" customWidth="1"/>
    <col min="11024" max="11024" width="9.625" customWidth="1"/>
    <col min="11267" max="11267" width="7" customWidth="1"/>
    <col min="11268" max="11268" width="17.75" customWidth="1"/>
    <col min="11269" max="11269" width="10.875" customWidth="1"/>
    <col min="11270" max="11270" width="11.25" customWidth="1"/>
    <col min="11271" max="11271" width="11.5" customWidth="1"/>
    <col min="11272" max="11272" width="11.625" customWidth="1"/>
    <col min="11273" max="11273" width="15.5" customWidth="1"/>
    <col min="11274" max="11274" width="18.75" customWidth="1"/>
    <col min="11275" max="11275" width="15.375" customWidth="1"/>
    <col min="11276" max="11276" width="15.125" customWidth="1"/>
    <col min="11278" max="11278" width="11" customWidth="1"/>
    <col min="11279" max="11279" width="10.625" customWidth="1"/>
    <col min="11280" max="11280" width="9.625" customWidth="1"/>
    <col min="11523" max="11523" width="7" customWidth="1"/>
    <col min="11524" max="11524" width="17.75" customWidth="1"/>
    <col min="11525" max="11525" width="10.875" customWidth="1"/>
    <col min="11526" max="11526" width="11.25" customWidth="1"/>
    <col min="11527" max="11527" width="11.5" customWidth="1"/>
    <col min="11528" max="11528" width="11.625" customWidth="1"/>
    <col min="11529" max="11529" width="15.5" customWidth="1"/>
    <col min="11530" max="11530" width="18.75" customWidth="1"/>
    <col min="11531" max="11531" width="15.375" customWidth="1"/>
    <col min="11532" max="11532" width="15.125" customWidth="1"/>
    <col min="11534" max="11534" width="11" customWidth="1"/>
    <col min="11535" max="11535" width="10.625" customWidth="1"/>
    <col min="11536" max="11536" width="9.625" customWidth="1"/>
    <col min="11779" max="11779" width="7" customWidth="1"/>
    <col min="11780" max="11780" width="17.75" customWidth="1"/>
    <col min="11781" max="11781" width="10.875" customWidth="1"/>
    <col min="11782" max="11782" width="11.25" customWidth="1"/>
    <col min="11783" max="11783" width="11.5" customWidth="1"/>
    <col min="11784" max="11784" width="11.625" customWidth="1"/>
    <col min="11785" max="11785" width="15.5" customWidth="1"/>
    <col min="11786" max="11786" width="18.75" customWidth="1"/>
    <col min="11787" max="11787" width="15.375" customWidth="1"/>
    <col min="11788" max="11788" width="15.125" customWidth="1"/>
    <col min="11790" max="11790" width="11" customWidth="1"/>
    <col min="11791" max="11791" width="10.625" customWidth="1"/>
    <col min="11792" max="11792" width="9.625" customWidth="1"/>
    <col min="12035" max="12035" width="7" customWidth="1"/>
    <col min="12036" max="12036" width="17.75" customWidth="1"/>
    <col min="12037" max="12037" width="10.875" customWidth="1"/>
    <col min="12038" max="12038" width="11.25" customWidth="1"/>
    <col min="12039" max="12039" width="11.5" customWidth="1"/>
    <col min="12040" max="12040" width="11.625" customWidth="1"/>
    <col min="12041" max="12041" width="15.5" customWidth="1"/>
    <col min="12042" max="12042" width="18.75" customWidth="1"/>
    <col min="12043" max="12043" width="15.375" customWidth="1"/>
    <col min="12044" max="12044" width="15.125" customWidth="1"/>
    <col min="12046" max="12046" width="11" customWidth="1"/>
    <col min="12047" max="12047" width="10.625" customWidth="1"/>
    <col min="12048" max="12048" width="9.625" customWidth="1"/>
    <col min="12291" max="12291" width="7" customWidth="1"/>
    <col min="12292" max="12292" width="17.75" customWidth="1"/>
    <col min="12293" max="12293" width="10.875" customWidth="1"/>
    <col min="12294" max="12294" width="11.25" customWidth="1"/>
    <col min="12295" max="12295" width="11.5" customWidth="1"/>
    <col min="12296" max="12296" width="11.625" customWidth="1"/>
    <col min="12297" max="12297" width="15.5" customWidth="1"/>
    <col min="12298" max="12298" width="18.75" customWidth="1"/>
    <col min="12299" max="12299" width="15.375" customWidth="1"/>
    <col min="12300" max="12300" width="15.125" customWidth="1"/>
    <col min="12302" max="12302" width="11" customWidth="1"/>
    <col min="12303" max="12303" width="10.625" customWidth="1"/>
    <col min="12304" max="12304" width="9.625" customWidth="1"/>
    <col min="12547" max="12547" width="7" customWidth="1"/>
    <col min="12548" max="12548" width="17.75" customWidth="1"/>
    <col min="12549" max="12549" width="10.875" customWidth="1"/>
    <col min="12550" max="12550" width="11.25" customWidth="1"/>
    <col min="12551" max="12551" width="11.5" customWidth="1"/>
    <col min="12552" max="12552" width="11.625" customWidth="1"/>
    <col min="12553" max="12553" width="15.5" customWidth="1"/>
    <col min="12554" max="12554" width="18.75" customWidth="1"/>
    <col min="12555" max="12555" width="15.375" customWidth="1"/>
    <col min="12556" max="12556" width="15.125" customWidth="1"/>
    <col min="12558" max="12558" width="11" customWidth="1"/>
    <col min="12559" max="12559" width="10.625" customWidth="1"/>
    <col min="12560" max="12560" width="9.625" customWidth="1"/>
    <col min="12803" max="12803" width="7" customWidth="1"/>
    <col min="12804" max="12804" width="17.75" customWidth="1"/>
    <col min="12805" max="12805" width="10.875" customWidth="1"/>
    <col min="12806" max="12806" width="11.25" customWidth="1"/>
    <col min="12807" max="12807" width="11.5" customWidth="1"/>
    <col min="12808" max="12808" width="11.625" customWidth="1"/>
    <col min="12809" max="12809" width="15.5" customWidth="1"/>
    <col min="12810" max="12810" width="18.75" customWidth="1"/>
    <col min="12811" max="12811" width="15.375" customWidth="1"/>
    <col min="12812" max="12812" width="15.125" customWidth="1"/>
    <col min="12814" max="12814" width="11" customWidth="1"/>
    <col min="12815" max="12815" width="10.625" customWidth="1"/>
    <col min="12816" max="12816" width="9.625" customWidth="1"/>
    <col min="13059" max="13059" width="7" customWidth="1"/>
    <col min="13060" max="13060" width="17.75" customWidth="1"/>
    <col min="13061" max="13061" width="10.875" customWidth="1"/>
    <col min="13062" max="13062" width="11.25" customWidth="1"/>
    <col min="13063" max="13063" width="11.5" customWidth="1"/>
    <col min="13064" max="13064" width="11.625" customWidth="1"/>
    <col min="13065" max="13065" width="15.5" customWidth="1"/>
    <col min="13066" max="13066" width="18.75" customWidth="1"/>
    <col min="13067" max="13067" width="15.375" customWidth="1"/>
    <col min="13068" max="13068" width="15.125" customWidth="1"/>
    <col min="13070" max="13070" width="11" customWidth="1"/>
    <col min="13071" max="13071" width="10.625" customWidth="1"/>
    <col min="13072" max="13072" width="9.625" customWidth="1"/>
    <col min="13315" max="13315" width="7" customWidth="1"/>
    <col min="13316" max="13316" width="17.75" customWidth="1"/>
    <col min="13317" max="13317" width="10.875" customWidth="1"/>
    <col min="13318" max="13318" width="11.25" customWidth="1"/>
    <col min="13319" max="13319" width="11.5" customWidth="1"/>
    <col min="13320" max="13320" width="11.625" customWidth="1"/>
    <col min="13321" max="13321" width="15.5" customWidth="1"/>
    <col min="13322" max="13322" width="18.75" customWidth="1"/>
    <col min="13323" max="13323" width="15.375" customWidth="1"/>
    <col min="13324" max="13324" width="15.125" customWidth="1"/>
    <col min="13326" max="13326" width="11" customWidth="1"/>
    <col min="13327" max="13327" width="10.625" customWidth="1"/>
    <col min="13328" max="13328" width="9.625" customWidth="1"/>
    <col min="13571" max="13571" width="7" customWidth="1"/>
    <col min="13572" max="13572" width="17.75" customWidth="1"/>
    <col min="13573" max="13573" width="10.875" customWidth="1"/>
    <col min="13574" max="13574" width="11.25" customWidth="1"/>
    <col min="13575" max="13575" width="11.5" customWidth="1"/>
    <col min="13576" max="13576" width="11.625" customWidth="1"/>
    <col min="13577" max="13577" width="15.5" customWidth="1"/>
    <col min="13578" max="13578" width="18.75" customWidth="1"/>
    <col min="13579" max="13579" width="15.375" customWidth="1"/>
    <col min="13580" max="13580" width="15.125" customWidth="1"/>
    <col min="13582" max="13582" width="11" customWidth="1"/>
    <col min="13583" max="13583" width="10.625" customWidth="1"/>
    <col min="13584" max="13584" width="9.625" customWidth="1"/>
    <col min="13827" max="13827" width="7" customWidth="1"/>
    <col min="13828" max="13828" width="17.75" customWidth="1"/>
    <col min="13829" max="13829" width="10.875" customWidth="1"/>
    <col min="13830" max="13830" width="11.25" customWidth="1"/>
    <col min="13831" max="13831" width="11.5" customWidth="1"/>
    <col min="13832" max="13832" width="11.625" customWidth="1"/>
    <col min="13833" max="13833" width="15.5" customWidth="1"/>
    <col min="13834" max="13834" width="18.75" customWidth="1"/>
    <col min="13835" max="13835" width="15.375" customWidth="1"/>
    <col min="13836" max="13836" width="15.125" customWidth="1"/>
    <col min="13838" max="13838" width="11" customWidth="1"/>
    <col min="13839" max="13839" width="10.625" customWidth="1"/>
    <col min="13840" max="13840" width="9.625" customWidth="1"/>
    <col min="14083" max="14083" width="7" customWidth="1"/>
    <col min="14084" max="14084" width="17.75" customWidth="1"/>
    <col min="14085" max="14085" width="10.875" customWidth="1"/>
    <col min="14086" max="14086" width="11.25" customWidth="1"/>
    <col min="14087" max="14087" width="11.5" customWidth="1"/>
    <col min="14088" max="14088" width="11.625" customWidth="1"/>
    <col min="14089" max="14089" width="15.5" customWidth="1"/>
    <col min="14090" max="14090" width="18.75" customWidth="1"/>
    <col min="14091" max="14091" width="15.375" customWidth="1"/>
    <col min="14092" max="14092" width="15.125" customWidth="1"/>
    <col min="14094" max="14094" width="11" customWidth="1"/>
    <col min="14095" max="14095" width="10.625" customWidth="1"/>
    <col min="14096" max="14096" width="9.625" customWidth="1"/>
    <col min="14339" max="14339" width="7" customWidth="1"/>
    <col min="14340" max="14340" width="17.75" customWidth="1"/>
    <col min="14341" max="14341" width="10.875" customWidth="1"/>
    <col min="14342" max="14342" width="11.25" customWidth="1"/>
    <col min="14343" max="14343" width="11.5" customWidth="1"/>
    <col min="14344" max="14344" width="11.625" customWidth="1"/>
    <col min="14345" max="14345" width="15.5" customWidth="1"/>
    <col min="14346" max="14346" width="18.75" customWidth="1"/>
    <col min="14347" max="14347" width="15.375" customWidth="1"/>
    <col min="14348" max="14348" width="15.125" customWidth="1"/>
    <col min="14350" max="14350" width="11" customWidth="1"/>
    <col min="14351" max="14351" width="10.625" customWidth="1"/>
    <col min="14352" max="14352" width="9.625" customWidth="1"/>
    <col min="14595" max="14595" width="7" customWidth="1"/>
    <col min="14596" max="14596" width="17.75" customWidth="1"/>
    <col min="14597" max="14597" width="10.875" customWidth="1"/>
    <col min="14598" max="14598" width="11.25" customWidth="1"/>
    <col min="14599" max="14599" width="11.5" customWidth="1"/>
    <col min="14600" max="14600" width="11.625" customWidth="1"/>
    <col min="14601" max="14601" width="15.5" customWidth="1"/>
    <col min="14602" max="14602" width="18.75" customWidth="1"/>
    <col min="14603" max="14603" width="15.375" customWidth="1"/>
    <col min="14604" max="14604" width="15.125" customWidth="1"/>
    <col min="14606" max="14606" width="11" customWidth="1"/>
    <col min="14607" max="14607" width="10.625" customWidth="1"/>
    <col min="14608" max="14608" width="9.625" customWidth="1"/>
    <col min="14851" max="14851" width="7" customWidth="1"/>
    <col min="14852" max="14852" width="17.75" customWidth="1"/>
    <col min="14853" max="14853" width="10.875" customWidth="1"/>
    <col min="14854" max="14854" width="11.25" customWidth="1"/>
    <col min="14855" max="14855" width="11.5" customWidth="1"/>
    <col min="14856" max="14856" width="11.625" customWidth="1"/>
    <col min="14857" max="14857" width="15.5" customWidth="1"/>
    <col min="14858" max="14858" width="18.75" customWidth="1"/>
    <col min="14859" max="14859" width="15.375" customWidth="1"/>
    <col min="14860" max="14860" width="15.125" customWidth="1"/>
    <col min="14862" max="14862" width="11" customWidth="1"/>
    <col min="14863" max="14863" width="10.625" customWidth="1"/>
    <col min="14864" max="14864" width="9.625" customWidth="1"/>
    <col min="15107" max="15107" width="7" customWidth="1"/>
    <col min="15108" max="15108" width="17.75" customWidth="1"/>
    <col min="15109" max="15109" width="10.875" customWidth="1"/>
    <col min="15110" max="15110" width="11.25" customWidth="1"/>
    <col min="15111" max="15111" width="11.5" customWidth="1"/>
    <col min="15112" max="15112" width="11.625" customWidth="1"/>
    <col min="15113" max="15113" width="15.5" customWidth="1"/>
    <col min="15114" max="15114" width="18.75" customWidth="1"/>
    <col min="15115" max="15115" width="15.375" customWidth="1"/>
    <col min="15116" max="15116" width="15.125" customWidth="1"/>
    <col min="15118" max="15118" width="11" customWidth="1"/>
    <col min="15119" max="15119" width="10.625" customWidth="1"/>
    <col min="15120" max="15120" width="9.625" customWidth="1"/>
    <col min="15363" max="15363" width="7" customWidth="1"/>
    <col min="15364" max="15364" width="17.75" customWidth="1"/>
    <col min="15365" max="15365" width="10.875" customWidth="1"/>
    <col min="15366" max="15366" width="11.25" customWidth="1"/>
    <col min="15367" max="15367" width="11.5" customWidth="1"/>
    <col min="15368" max="15368" width="11.625" customWidth="1"/>
    <col min="15369" max="15369" width="15.5" customWidth="1"/>
    <col min="15370" max="15370" width="18.75" customWidth="1"/>
    <col min="15371" max="15371" width="15.375" customWidth="1"/>
    <col min="15372" max="15372" width="15.125" customWidth="1"/>
    <col min="15374" max="15374" width="11" customWidth="1"/>
    <col min="15375" max="15375" width="10.625" customWidth="1"/>
    <col min="15376" max="15376" width="9.625" customWidth="1"/>
    <col min="15619" max="15619" width="7" customWidth="1"/>
    <col min="15620" max="15620" width="17.75" customWidth="1"/>
    <col min="15621" max="15621" width="10.875" customWidth="1"/>
    <col min="15622" max="15622" width="11.25" customWidth="1"/>
    <col min="15623" max="15623" width="11.5" customWidth="1"/>
    <col min="15624" max="15624" width="11.625" customWidth="1"/>
    <col min="15625" max="15625" width="15.5" customWidth="1"/>
    <col min="15626" max="15626" width="18.75" customWidth="1"/>
    <col min="15627" max="15627" width="15.375" customWidth="1"/>
    <col min="15628" max="15628" width="15.125" customWidth="1"/>
    <col min="15630" max="15630" width="11" customWidth="1"/>
    <col min="15631" max="15631" width="10.625" customWidth="1"/>
    <col min="15632" max="15632" width="9.625" customWidth="1"/>
    <col min="15875" max="15875" width="7" customWidth="1"/>
    <col min="15876" max="15876" width="17.75" customWidth="1"/>
    <col min="15877" max="15877" width="10.875" customWidth="1"/>
    <col min="15878" max="15878" width="11.25" customWidth="1"/>
    <col min="15879" max="15879" width="11.5" customWidth="1"/>
    <col min="15880" max="15880" width="11.625" customWidth="1"/>
    <col min="15881" max="15881" width="15.5" customWidth="1"/>
    <col min="15882" max="15882" width="18.75" customWidth="1"/>
    <col min="15883" max="15883" width="15.375" customWidth="1"/>
    <col min="15884" max="15884" width="15.125" customWidth="1"/>
    <col min="15886" max="15886" width="11" customWidth="1"/>
    <col min="15887" max="15887" width="10.625" customWidth="1"/>
    <col min="15888" max="15888" width="9.625" customWidth="1"/>
    <col min="16131" max="16131" width="7" customWidth="1"/>
    <col min="16132" max="16132" width="17.75" customWidth="1"/>
    <col min="16133" max="16133" width="10.875" customWidth="1"/>
    <col min="16134" max="16134" width="11.25" customWidth="1"/>
    <col min="16135" max="16135" width="11.5" customWidth="1"/>
    <col min="16136" max="16136" width="11.625" customWidth="1"/>
    <col min="16137" max="16137" width="15.5" customWidth="1"/>
    <col min="16138" max="16138" width="18.75" customWidth="1"/>
    <col min="16139" max="16139" width="15.375" customWidth="1"/>
    <col min="16140" max="16140" width="15.125" customWidth="1"/>
    <col min="16142" max="16142" width="11" customWidth="1"/>
    <col min="16143" max="16143" width="10.625" customWidth="1"/>
    <col min="16144" max="16144" width="9.625" customWidth="1"/>
  </cols>
  <sheetData>
    <row r="1" spans="2:16" ht="18.75" x14ac:dyDescent="0.3">
      <c r="B1" s="239"/>
      <c r="C1" s="239"/>
      <c r="D1" s="239"/>
      <c r="E1" s="239"/>
      <c r="F1" s="239"/>
      <c r="G1" s="239"/>
      <c r="H1" s="1" t="s">
        <v>0</v>
      </c>
      <c r="I1" s="239"/>
      <c r="J1" s="239"/>
      <c r="K1" s="239"/>
      <c r="L1" s="239"/>
      <c r="M1" s="239"/>
      <c r="N1" s="239"/>
      <c r="O1" s="239" t="s">
        <v>1</v>
      </c>
      <c r="P1" s="239"/>
    </row>
    <row r="2" spans="2:16" ht="18.75" x14ac:dyDescent="0.3">
      <c r="B2" s="475" t="s">
        <v>2</v>
      </c>
      <c r="C2" s="475"/>
      <c r="D2" s="1" t="s">
        <v>38</v>
      </c>
      <c r="E2" s="239"/>
      <c r="F2" s="239"/>
      <c r="G2" s="239"/>
      <c r="H2" s="1"/>
      <c r="I2" s="239"/>
      <c r="J2" s="239"/>
      <c r="K2" s="239"/>
      <c r="L2" s="239"/>
      <c r="M2" s="239"/>
      <c r="N2" s="239"/>
      <c r="O2" s="239"/>
      <c r="P2" s="239"/>
    </row>
    <row r="3" spans="2:16" ht="18.75" x14ac:dyDescent="0.3">
      <c r="B3" s="475" t="s">
        <v>3</v>
      </c>
      <c r="C3" s="475"/>
      <c r="D3" s="1" t="s">
        <v>40</v>
      </c>
      <c r="E3" s="239"/>
      <c r="F3" s="239"/>
      <c r="G3" s="239"/>
      <c r="H3" s="1"/>
      <c r="I3" s="239"/>
      <c r="J3" s="239"/>
      <c r="K3" s="239"/>
      <c r="L3" s="239"/>
      <c r="M3" s="239"/>
      <c r="N3" s="239"/>
      <c r="O3" s="239"/>
      <c r="P3" s="239"/>
    </row>
    <row r="4" spans="2:16" ht="18.75" x14ac:dyDescent="0.3">
      <c r="B4" s="475" t="s">
        <v>4</v>
      </c>
      <c r="C4" s="475"/>
      <c r="D4" s="1" t="s">
        <v>41</v>
      </c>
      <c r="E4" s="239"/>
      <c r="F4" s="239"/>
      <c r="G4" s="239"/>
      <c r="H4" s="1"/>
      <c r="I4" s="239"/>
      <c r="J4" s="239"/>
      <c r="K4" s="239"/>
      <c r="L4" s="239"/>
      <c r="M4" s="239"/>
      <c r="N4" s="239"/>
      <c r="O4" s="239"/>
      <c r="P4" s="239"/>
    </row>
    <row r="5" spans="2:16" ht="18.75" x14ac:dyDescent="0.3">
      <c r="B5" s="475" t="s">
        <v>5</v>
      </c>
      <c r="C5" s="475"/>
      <c r="D5" s="1" t="s">
        <v>68</v>
      </c>
      <c r="E5" s="239"/>
      <c r="F5" s="239"/>
      <c r="G5" s="239"/>
      <c r="H5" s="1"/>
      <c r="I5" s="239"/>
      <c r="J5" s="239"/>
      <c r="K5" s="239"/>
      <c r="L5" s="239"/>
      <c r="M5" s="239"/>
      <c r="N5" s="239"/>
      <c r="O5" s="239"/>
      <c r="P5" s="239"/>
    </row>
    <row r="6" spans="2:16" ht="18.75" x14ac:dyDescent="0.3">
      <c r="B6" s="1"/>
      <c r="C6" s="1"/>
      <c r="D6" s="1"/>
      <c r="E6" s="239"/>
      <c r="F6" s="239"/>
      <c r="G6" s="239"/>
      <c r="N6" s="239"/>
      <c r="O6" s="239"/>
      <c r="P6" s="239"/>
    </row>
    <row r="7" spans="2:16" ht="18.75" x14ac:dyDescent="0.3">
      <c r="B7" s="1" t="s">
        <v>6</v>
      </c>
      <c r="C7" s="1"/>
      <c r="D7" s="1"/>
      <c r="E7" s="239"/>
      <c r="F7" s="239"/>
      <c r="G7" s="239"/>
      <c r="H7" s="239"/>
      <c r="I7" s="239"/>
      <c r="J7" s="239"/>
      <c r="K7" s="239"/>
      <c r="L7" s="239"/>
      <c r="M7" s="239"/>
      <c r="N7" s="239"/>
      <c r="O7" s="239"/>
      <c r="P7" s="239"/>
    </row>
    <row r="8" spans="2:16" ht="24.75" customHeight="1" x14ac:dyDescent="0.3">
      <c r="B8" s="240" t="s">
        <v>7</v>
      </c>
      <c r="C8" s="476" t="s">
        <v>8</v>
      </c>
      <c r="D8" s="476"/>
      <c r="E8" s="240" t="s">
        <v>9</v>
      </c>
      <c r="F8" s="240" t="s">
        <v>10</v>
      </c>
      <c r="G8" s="467" t="s">
        <v>11</v>
      </c>
      <c r="H8" s="467" t="s">
        <v>12</v>
      </c>
      <c r="I8" s="240" t="s">
        <v>13</v>
      </c>
      <c r="J8" s="240"/>
      <c r="K8" s="240" t="s">
        <v>15</v>
      </c>
      <c r="L8" s="240" t="s">
        <v>16</v>
      </c>
      <c r="M8" s="470" t="s">
        <v>17</v>
      </c>
      <c r="N8" s="470"/>
      <c r="O8" s="470"/>
      <c r="P8" s="240" t="s">
        <v>18</v>
      </c>
    </row>
    <row r="9" spans="2:16" ht="18.75" x14ac:dyDescent="0.3">
      <c r="B9" s="468" t="s">
        <v>19</v>
      </c>
      <c r="C9" s="471" t="s">
        <v>20</v>
      </c>
      <c r="D9" s="472"/>
      <c r="E9" s="468" t="s">
        <v>21</v>
      </c>
      <c r="F9" s="468" t="s">
        <v>22</v>
      </c>
      <c r="G9" s="468"/>
      <c r="H9" s="468"/>
      <c r="I9" s="241" t="s">
        <v>23</v>
      </c>
      <c r="J9" s="241" t="s">
        <v>14</v>
      </c>
      <c r="K9" s="241" t="s">
        <v>24</v>
      </c>
      <c r="L9" s="241" t="s">
        <v>25</v>
      </c>
      <c r="M9" s="241" t="s">
        <v>26</v>
      </c>
      <c r="N9" s="241" t="s">
        <v>27</v>
      </c>
      <c r="O9" s="241" t="s">
        <v>28</v>
      </c>
      <c r="P9" s="463" t="s">
        <v>29</v>
      </c>
    </row>
    <row r="10" spans="2:16" ht="18.75" x14ac:dyDescent="0.3">
      <c r="B10" s="469"/>
      <c r="C10" s="473"/>
      <c r="D10" s="474"/>
      <c r="E10" s="469"/>
      <c r="F10" s="469"/>
      <c r="G10" s="469"/>
      <c r="H10" s="469"/>
      <c r="I10" s="242" t="s">
        <v>30</v>
      </c>
      <c r="J10" s="242"/>
      <c r="K10" s="242" t="s">
        <v>31</v>
      </c>
      <c r="L10" s="242" t="s">
        <v>32</v>
      </c>
      <c r="M10" s="242" t="s">
        <v>33</v>
      </c>
      <c r="N10" s="242" t="s">
        <v>34</v>
      </c>
      <c r="O10" s="242" t="s">
        <v>35</v>
      </c>
      <c r="P10" s="464"/>
    </row>
    <row r="11" spans="2:16" ht="18.75" x14ac:dyDescent="0.3">
      <c r="B11" s="243">
        <v>1</v>
      </c>
      <c r="C11" s="465">
        <v>2</v>
      </c>
      <c r="D11" s="466"/>
      <c r="E11" s="244">
        <v>3</v>
      </c>
      <c r="F11" s="244">
        <v>4</v>
      </c>
      <c r="G11" s="245">
        <v>5</v>
      </c>
      <c r="H11" s="245">
        <v>6</v>
      </c>
      <c r="I11" s="241">
        <v>7</v>
      </c>
      <c r="J11" s="241">
        <v>8</v>
      </c>
      <c r="K11" s="241">
        <v>9</v>
      </c>
      <c r="L11" s="241">
        <v>10</v>
      </c>
      <c r="M11" s="241">
        <v>11</v>
      </c>
      <c r="N11" s="241">
        <v>12</v>
      </c>
      <c r="O11" s="241">
        <v>13</v>
      </c>
      <c r="P11" s="244">
        <v>14</v>
      </c>
    </row>
    <row r="12" spans="2:16" ht="54" customHeight="1" x14ac:dyDescent="0.3">
      <c r="B12" s="243">
        <v>1</v>
      </c>
      <c r="C12" s="479" t="s">
        <v>450</v>
      </c>
      <c r="D12" s="480"/>
      <c r="E12" s="246" t="s">
        <v>451</v>
      </c>
      <c r="F12" s="247"/>
      <c r="G12" s="247"/>
      <c r="H12" s="248" t="s">
        <v>452</v>
      </c>
      <c r="I12" s="249">
        <v>2010</v>
      </c>
      <c r="J12" s="249" t="s">
        <v>449</v>
      </c>
      <c r="K12" s="250" t="s">
        <v>43</v>
      </c>
      <c r="L12" s="251">
        <v>1350000</v>
      </c>
      <c r="M12" s="249" t="s">
        <v>26</v>
      </c>
      <c r="N12" s="249"/>
      <c r="O12" s="247"/>
      <c r="P12" s="247"/>
    </row>
    <row r="13" spans="2:16" ht="37.5" x14ac:dyDescent="0.25">
      <c r="B13" s="252">
        <f>B12+1</f>
        <v>2</v>
      </c>
      <c r="C13" s="477" t="s">
        <v>61</v>
      </c>
      <c r="D13" s="478"/>
      <c r="E13" s="253" t="s">
        <v>245</v>
      </c>
      <c r="F13" s="254"/>
      <c r="G13" s="254"/>
      <c r="H13" s="252" t="s">
        <v>50</v>
      </c>
      <c r="I13" s="252">
        <v>2014</v>
      </c>
      <c r="J13" s="252" t="s">
        <v>62</v>
      </c>
      <c r="K13" s="255" t="s">
        <v>64</v>
      </c>
      <c r="L13" s="256">
        <v>794180</v>
      </c>
      <c r="M13" s="252" t="s">
        <v>26</v>
      </c>
      <c r="N13" s="254"/>
      <c r="O13" s="254"/>
      <c r="P13" s="254"/>
    </row>
    <row r="14" spans="2:16" ht="37.5" x14ac:dyDescent="0.25">
      <c r="B14" s="252">
        <f t="shared" ref="B14:B21" si="0">B13+1</f>
        <v>3</v>
      </c>
      <c r="C14" s="477" t="s">
        <v>61</v>
      </c>
      <c r="D14" s="478"/>
      <c r="E14" s="253" t="s">
        <v>245</v>
      </c>
      <c r="F14" s="254"/>
      <c r="G14" s="254"/>
      <c r="H14" s="252" t="s">
        <v>50</v>
      </c>
      <c r="I14" s="252">
        <v>2014</v>
      </c>
      <c r="J14" s="252" t="s">
        <v>62</v>
      </c>
      <c r="K14" s="255" t="s">
        <v>63</v>
      </c>
      <c r="L14" s="256">
        <v>794180</v>
      </c>
      <c r="M14" s="252" t="s">
        <v>26</v>
      </c>
      <c r="N14" s="254"/>
      <c r="O14" s="254"/>
      <c r="P14" s="254"/>
    </row>
    <row r="15" spans="2:16" ht="37.5" x14ac:dyDescent="0.25">
      <c r="B15" s="252">
        <f t="shared" si="0"/>
        <v>4</v>
      </c>
      <c r="C15" s="477" t="s">
        <v>44</v>
      </c>
      <c r="D15" s="478"/>
      <c r="E15" s="253" t="s">
        <v>69</v>
      </c>
      <c r="F15" s="253"/>
      <c r="G15" s="254"/>
      <c r="H15" s="252"/>
      <c r="I15" s="252">
        <v>2020</v>
      </c>
      <c r="J15" s="252" t="s">
        <v>45</v>
      </c>
      <c r="K15" s="255" t="s">
        <v>54</v>
      </c>
      <c r="L15" s="256">
        <v>12524430</v>
      </c>
      <c r="M15" s="252" t="s">
        <v>26</v>
      </c>
      <c r="N15" s="254"/>
      <c r="O15" s="254"/>
      <c r="P15" s="254"/>
    </row>
    <row r="16" spans="2:16" ht="54" customHeight="1" x14ac:dyDescent="0.25">
      <c r="B16" s="252">
        <f t="shared" si="0"/>
        <v>5</v>
      </c>
      <c r="C16" s="477" t="s">
        <v>55</v>
      </c>
      <c r="D16" s="478"/>
      <c r="E16" s="253" t="s">
        <v>242</v>
      </c>
      <c r="F16" s="254"/>
      <c r="G16" s="254"/>
      <c r="H16" s="252" t="s">
        <v>56</v>
      </c>
      <c r="I16" s="252">
        <v>2012</v>
      </c>
      <c r="J16" s="252" t="s">
        <v>57</v>
      </c>
      <c r="K16" s="255" t="s">
        <v>43</v>
      </c>
      <c r="L16" s="256">
        <v>1975000</v>
      </c>
      <c r="M16" s="252" t="s">
        <v>26</v>
      </c>
      <c r="N16" s="254"/>
      <c r="O16" s="254"/>
      <c r="P16" s="254"/>
    </row>
    <row r="17" spans="2:16" ht="36" customHeight="1" x14ac:dyDescent="0.25">
      <c r="B17" s="252">
        <f t="shared" si="0"/>
        <v>6</v>
      </c>
      <c r="C17" s="477" t="s">
        <v>52</v>
      </c>
      <c r="D17" s="478"/>
      <c r="E17" s="253" t="s">
        <v>243</v>
      </c>
      <c r="F17" s="254"/>
      <c r="G17" s="254"/>
      <c r="H17" s="252" t="s">
        <v>59</v>
      </c>
      <c r="I17" s="252">
        <v>2019</v>
      </c>
      <c r="J17" s="252" t="s">
        <v>53</v>
      </c>
      <c r="K17" s="255" t="s">
        <v>60</v>
      </c>
      <c r="L17" s="256">
        <v>5033356</v>
      </c>
      <c r="M17" s="252" t="s">
        <v>26</v>
      </c>
      <c r="N17" s="254"/>
      <c r="O17" s="254"/>
      <c r="P17" s="254"/>
    </row>
    <row r="18" spans="2:16" ht="36" customHeight="1" x14ac:dyDescent="0.25">
      <c r="B18" s="252">
        <f t="shared" si="0"/>
        <v>7</v>
      </c>
      <c r="C18" s="477" t="s">
        <v>65</v>
      </c>
      <c r="D18" s="478"/>
      <c r="E18" s="253" t="s">
        <v>244</v>
      </c>
      <c r="F18" s="254"/>
      <c r="G18" s="254"/>
      <c r="H18" s="252" t="s">
        <v>50</v>
      </c>
      <c r="I18" s="252">
        <v>2014</v>
      </c>
      <c r="J18" s="252" t="s">
        <v>66</v>
      </c>
      <c r="K18" s="255" t="s">
        <v>67</v>
      </c>
      <c r="L18" s="256">
        <v>10223684</v>
      </c>
      <c r="M18" s="252" t="s">
        <v>26</v>
      </c>
      <c r="N18" s="254"/>
      <c r="O18" s="254"/>
      <c r="P18" s="254"/>
    </row>
    <row r="19" spans="2:16" ht="37.5" x14ac:dyDescent="0.25">
      <c r="B19" s="252">
        <f t="shared" si="0"/>
        <v>8</v>
      </c>
      <c r="C19" s="477" t="s">
        <v>65</v>
      </c>
      <c r="D19" s="478"/>
      <c r="E19" s="253" t="s">
        <v>73</v>
      </c>
      <c r="F19" s="254"/>
      <c r="G19" s="254"/>
      <c r="H19" s="252"/>
      <c r="I19" s="252">
        <v>2020</v>
      </c>
      <c r="J19" s="252" t="s">
        <v>66</v>
      </c>
      <c r="K19" s="255" t="s">
        <v>74</v>
      </c>
      <c r="L19" s="256">
        <f>16532240/3</f>
        <v>5510746.666666667</v>
      </c>
      <c r="M19" s="252" t="s">
        <v>26</v>
      </c>
      <c r="N19" s="254"/>
      <c r="O19" s="254"/>
      <c r="P19" s="253"/>
    </row>
    <row r="20" spans="2:16" ht="72" customHeight="1" x14ac:dyDescent="0.25">
      <c r="B20" s="252">
        <f t="shared" si="0"/>
        <v>9</v>
      </c>
      <c r="C20" s="477" t="s">
        <v>273</v>
      </c>
      <c r="D20" s="478"/>
      <c r="E20" s="253" t="s">
        <v>274</v>
      </c>
      <c r="F20" s="254"/>
      <c r="G20" s="254"/>
      <c r="H20" s="252" t="s">
        <v>50</v>
      </c>
      <c r="I20" s="252">
        <v>2019</v>
      </c>
      <c r="J20" s="252" t="s">
        <v>275</v>
      </c>
      <c r="K20" s="255" t="s">
        <v>54</v>
      </c>
      <c r="L20" s="256">
        <v>4620620</v>
      </c>
      <c r="M20" s="252" t="s">
        <v>26</v>
      </c>
      <c r="N20" s="254"/>
      <c r="O20" s="254"/>
      <c r="P20" s="254"/>
    </row>
    <row r="21" spans="2:16" ht="36" customHeight="1" x14ac:dyDescent="0.25">
      <c r="B21" s="252">
        <f t="shared" si="0"/>
        <v>10</v>
      </c>
      <c r="C21" s="477" t="s">
        <v>46</v>
      </c>
      <c r="D21" s="478"/>
      <c r="E21" s="253" t="s">
        <v>47</v>
      </c>
      <c r="F21" s="254"/>
      <c r="G21" s="254"/>
      <c r="H21" s="252" t="s">
        <v>42</v>
      </c>
      <c r="I21" s="252">
        <v>2016</v>
      </c>
      <c r="J21" s="252" t="s">
        <v>48</v>
      </c>
      <c r="K21" s="255" t="s">
        <v>54</v>
      </c>
      <c r="L21" s="256">
        <v>2333333</v>
      </c>
      <c r="M21" s="252" t="s">
        <v>26</v>
      </c>
      <c r="N21" s="254"/>
      <c r="O21" s="254"/>
      <c r="P21" s="253"/>
    </row>
    <row r="22" spans="2:16" ht="15" customHeight="1" x14ac:dyDescent="0.3">
      <c r="B22" s="257"/>
      <c r="C22" s="239"/>
      <c r="D22" s="239"/>
      <c r="E22" s="239"/>
      <c r="F22" s="239"/>
      <c r="G22" s="239"/>
      <c r="H22" s="239"/>
      <c r="I22" s="239"/>
      <c r="J22" s="239"/>
      <c r="K22" s="239"/>
      <c r="L22" s="239"/>
      <c r="M22" s="239"/>
      <c r="N22" s="239"/>
      <c r="O22" s="239"/>
      <c r="P22" s="239"/>
    </row>
    <row r="23" spans="2:16" ht="15" customHeight="1" x14ac:dyDescent="0.3">
      <c r="B23" s="257"/>
      <c r="C23" s="239"/>
      <c r="D23" s="239"/>
      <c r="E23" s="239"/>
      <c r="F23" s="239"/>
      <c r="G23" s="239"/>
      <c r="H23" s="239"/>
      <c r="I23" s="239"/>
      <c r="J23" s="239"/>
      <c r="K23" s="239"/>
      <c r="L23" s="239"/>
      <c r="M23" s="239"/>
      <c r="N23" s="239"/>
      <c r="O23" s="239"/>
      <c r="P23" s="239"/>
    </row>
    <row r="24" spans="2:16" ht="18.75" x14ac:dyDescent="0.3">
      <c r="B24" s="239"/>
      <c r="C24" s="239"/>
      <c r="D24" s="258" t="s">
        <v>36</v>
      </c>
      <c r="E24" s="239"/>
      <c r="F24" s="239"/>
      <c r="G24" s="239"/>
      <c r="H24" s="239"/>
      <c r="I24" s="239"/>
      <c r="J24" s="239"/>
      <c r="K24" s="239"/>
      <c r="L24" s="239"/>
      <c r="M24" s="258" t="s">
        <v>578</v>
      </c>
      <c r="N24" s="239"/>
      <c r="O24" s="239"/>
      <c r="P24" s="239"/>
    </row>
    <row r="25" spans="2:16" ht="18.75" x14ac:dyDescent="0.3">
      <c r="B25" s="239"/>
      <c r="C25" s="239"/>
      <c r="D25" s="5" t="s">
        <v>572</v>
      </c>
      <c r="E25" s="239"/>
      <c r="F25" s="239"/>
      <c r="G25" s="239"/>
      <c r="H25" s="239"/>
      <c r="I25" s="239"/>
      <c r="J25" s="239"/>
      <c r="K25" s="239"/>
      <c r="L25" s="239"/>
      <c r="M25" s="5" t="s">
        <v>580</v>
      </c>
      <c r="N25" s="239"/>
      <c r="O25" s="239"/>
      <c r="P25" s="239"/>
    </row>
    <row r="26" spans="2:16" ht="18.75" x14ac:dyDescent="0.3">
      <c r="B26" s="239"/>
      <c r="C26" s="239"/>
      <c r="D26" s="5"/>
      <c r="E26" s="239"/>
      <c r="F26" s="239"/>
      <c r="G26" s="239"/>
      <c r="H26" s="239"/>
      <c r="I26" s="239"/>
      <c r="J26" s="239"/>
      <c r="K26" s="239"/>
      <c r="L26" s="239"/>
      <c r="M26" s="5"/>
      <c r="N26" s="239"/>
      <c r="O26" s="239"/>
      <c r="P26" s="239"/>
    </row>
    <row r="27" spans="2:16" ht="18.75" x14ac:dyDescent="0.3">
      <c r="B27" s="239"/>
      <c r="C27" s="239"/>
      <c r="D27" s="5"/>
      <c r="E27" s="239"/>
      <c r="F27" s="239"/>
      <c r="G27" s="239"/>
      <c r="H27" s="239"/>
      <c r="I27" s="239"/>
      <c r="J27" s="239"/>
      <c r="K27" s="239"/>
      <c r="L27" s="239"/>
      <c r="M27" s="5"/>
      <c r="N27" s="239"/>
      <c r="O27" s="239"/>
      <c r="P27" s="239"/>
    </row>
    <row r="28" spans="2:16" ht="18.75" x14ac:dyDescent="0.3">
      <c r="B28" s="239"/>
      <c r="C28" s="239"/>
      <c r="D28" s="5"/>
      <c r="E28" s="239"/>
      <c r="F28" s="239"/>
      <c r="G28" s="239"/>
      <c r="H28" s="239"/>
      <c r="I28" s="239"/>
      <c r="J28" s="239"/>
      <c r="K28" s="239"/>
      <c r="L28" s="239"/>
      <c r="M28" s="5"/>
      <c r="N28" s="239"/>
      <c r="O28" s="239"/>
      <c r="P28" s="239"/>
    </row>
    <row r="29" spans="2:16" ht="18.75" x14ac:dyDescent="0.3">
      <c r="B29" s="239"/>
      <c r="C29" s="239"/>
      <c r="D29" s="6" t="s">
        <v>573</v>
      </c>
      <c r="E29" s="239"/>
      <c r="F29" s="239"/>
      <c r="G29" s="239"/>
      <c r="H29" s="239"/>
      <c r="I29" s="239"/>
      <c r="J29" s="239"/>
      <c r="K29" s="239"/>
      <c r="L29" s="239"/>
      <c r="M29" s="6" t="s">
        <v>576</v>
      </c>
      <c r="N29" s="239"/>
      <c r="O29" s="239"/>
      <c r="P29" s="239"/>
    </row>
    <row r="30" spans="2:16" ht="14.25" customHeight="1" x14ac:dyDescent="0.3">
      <c r="B30" s="239"/>
      <c r="C30" s="239"/>
      <c r="D30" s="5" t="s">
        <v>39</v>
      </c>
      <c r="E30" s="239"/>
      <c r="F30" s="239"/>
      <c r="G30" s="239"/>
      <c r="H30" s="239"/>
      <c r="I30" s="239"/>
      <c r="J30" s="239"/>
      <c r="K30" s="239"/>
      <c r="L30" s="239"/>
      <c r="M30" s="23" t="s">
        <v>577</v>
      </c>
      <c r="N30" s="239"/>
      <c r="O30" s="239"/>
      <c r="P30" s="239"/>
    </row>
    <row r="31" spans="2:16" ht="18.75" x14ac:dyDescent="0.3">
      <c r="B31" s="239"/>
      <c r="C31" s="239"/>
      <c r="D31" s="23" t="s">
        <v>574</v>
      </c>
      <c r="E31" s="239"/>
      <c r="F31" s="239"/>
      <c r="G31" s="239"/>
      <c r="H31" s="239"/>
      <c r="I31" s="239"/>
      <c r="J31" s="239"/>
      <c r="K31" s="239"/>
      <c r="L31" s="239"/>
      <c r="M31" s="239"/>
      <c r="N31" s="239"/>
      <c r="O31" s="239"/>
      <c r="P31" s="239"/>
    </row>
    <row r="32" spans="2:16" x14ac:dyDescent="0.25">
      <c r="L32" s="24"/>
    </row>
    <row r="33" spans="3:12" x14ac:dyDescent="0.25">
      <c r="C33" s="21"/>
      <c r="L33" s="25"/>
    </row>
    <row r="34" spans="3:12" x14ac:dyDescent="0.25">
      <c r="C34" s="22"/>
    </row>
    <row r="35" spans="3:12" x14ac:dyDescent="0.25">
      <c r="C35" s="22"/>
    </row>
  </sheetData>
  <mergeCells count="24">
    <mergeCell ref="C12:D12"/>
    <mergeCell ref="C14:D14"/>
    <mergeCell ref="C13:D13"/>
    <mergeCell ref="C19:D19"/>
    <mergeCell ref="C21:D21"/>
    <mergeCell ref="C15:D15"/>
    <mergeCell ref="C16:D16"/>
    <mergeCell ref="C17:D17"/>
    <mergeCell ref="C20:D20"/>
    <mergeCell ref="C18:D18"/>
    <mergeCell ref="B2:C2"/>
    <mergeCell ref="B3:C3"/>
    <mergeCell ref="B4:C4"/>
    <mergeCell ref="B5:C5"/>
    <mergeCell ref="C8:D8"/>
    <mergeCell ref="P9:P10"/>
    <mergeCell ref="C11:D11"/>
    <mergeCell ref="H8:H10"/>
    <mergeCell ref="M8:O8"/>
    <mergeCell ref="B9:B10"/>
    <mergeCell ref="C9:D10"/>
    <mergeCell ref="E9:E10"/>
    <mergeCell ref="F9:F10"/>
    <mergeCell ref="G8:G10"/>
  </mergeCells>
  <printOptions horizontalCentered="1"/>
  <pageMargins left="0.118110236220472" right="0.35433070866141703" top="0.196850393700787" bottom="0.15748031496063" header="0" footer="0"/>
  <pageSetup paperSize="5" scale="65" orientation="landscape" horizontalDpi="4294967293" verticalDpi="180" r:id="rId1"/>
  <headerFooter alignWithMargins="0">
    <oddFooter>&amp;L&amp;9&amp;F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4"/>
  <sheetViews>
    <sheetView view="pageBreakPreview" zoomScale="60" zoomScaleNormal="55" workbookViewId="0">
      <selection activeCell="L30" sqref="L30"/>
    </sheetView>
  </sheetViews>
  <sheetFormatPr defaultRowHeight="15.75" x14ac:dyDescent="0.25"/>
  <cols>
    <col min="1" max="1" width="5.625" customWidth="1"/>
    <col min="2" max="2" width="7.875" customWidth="1"/>
    <col min="3" max="3" width="21.875" customWidth="1"/>
    <col min="4" max="4" width="16.625" customWidth="1"/>
    <col min="5" max="5" width="9.25" customWidth="1"/>
    <col min="6" max="6" width="9.125" customWidth="1"/>
    <col min="7" max="7" width="14.75" customWidth="1"/>
    <col min="8" max="8" width="18.125" customWidth="1"/>
    <col min="9" max="9" width="20.375" customWidth="1"/>
    <col min="10" max="10" width="13" customWidth="1"/>
    <col min="11" max="11" width="18.125" customWidth="1"/>
    <col min="13" max="13" width="15.125" customWidth="1"/>
    <col min="14" max="14" width="14.375" customWidth="1"/>
    <col min="15" max="15" width="14.875" customWidth="1"/>
    <col min="258" max="258" width="7" customWidth="1"/>
    <col min="259" max="259" width="17.75" customWidth="1"/>
    <col min="260" max="260" width="10.875" customWidth="1"/>
    <col min="261" max="261" width="11.25" customWidth="1"/>
    <col min="262" max="262" width="11.5" customWidth="1"/>
    <col min="263" max="263" width="11.625" customWidth="1"/>
    <col min="264" max="264" width="15.5" customWidth="1"/>
    <col min="265" max="265" width="18.75" customWidth="1"/>
    <col min="266" max="266" width="15.375" customWidth="1"/>
    <col min="267" max="267" width="15.125" customWidth="1"/>
    <col min="269" max="269" width="11" customWidth="1"/>
    <col min="270" max="270" width="10.625" customWidth="1"/>
    <col min="271" max="271" width="9.625" customWidth="1"/>
    <col min="514" max="514" width="7" customWidth="1"/>
    <col min="515" max="515" width="17.75" customWidth="1"/>
    <col min="516" max="516" width="10.875" customWidth="1"/>
    <col min="517" max="517" width="11.25" customWidth="1"/>
    <col min="518" max="518" width="11.5" customWidth="1"/>
    <col min="519" max="519" width="11.625" customWidth="1"/>
    <col min="520" max="520" width="15.5" customWidth="1"/>
    <col min="521" max="521" width="18.75" customWidth="1"/>
    <col min="522" max="522" width="15.375" customWidth="1"/>
    <col min="523" max="523" width="15.125" customWidth="1"/>
    <col min="525" max="525" width="11" customWidth="1"/>
    <col min="526" max="526" width="10.625" customWidth="1"/>
    <col min="527" max="527" width="9.625" customWidth="1"/>
    <col min="770" max="770" width="7" customWidth="1"/>
    <col min="771" max="771" width="17.75" customWidth="1"/>
    <col min="772" max="772" width="10.875" customWidth="1"/>
    <col min="773" max="773" width="11.25" customWidth="1"/>
    <col min="774" max="774" width="11.5" customWidth="1"/>
    <col min="775" max="775" width="11.625" customWidth="1"/>
    <col min="776" max="776" width="15.5" customWidth="1"/>
    <col min="777" max="777" width="18.75" customWidth="1"/>
    <col min="778" max="778" width="15.375" customWidth="1"/>
    <col min="779" max="779" width="15.125" customWidth="1"/>
    <col min="781" max="781" width="11" customWidth="1"/>
    <col min="782" max="782" width="10.625" customWidth="1"/>
    <col min="783" max="783" width="9.625" customWidth="1"/>
    <col min="1026" max="1026" width="7" customWidth="1"/>
    <col min="1027" max="1027" width="17.75" customWidth="1"/>
    <col min="1028" max="1028" width="10.875" customWidth="1"/>
    <col min="1029" max="1029" width="11.25" customWidth="1"/>
    <col min="1030" max="1030" width="11.5" customWidth="1"/>
    <col min="1031" max="1031" width="11.625" customWidth="1"/>
    <col min="1032" max="1032" width="15.5" customWidth="1"/>
    <col min="1033" max="1033" width="18.75" customWidth="1"/>
    <col min="1034" max="1034" width="15.375" customWidth="1"/>
    <col min="1035" max="1035" width="15.125" customWidth="1"/>
    <col min="1037" max="1037" width="11" customWidth="1"/>
    <col min="1038" max="1038" width="10.625" customWidth="1"/>
    <col min="1039" max="1039" width="9.625" customWidth="1"/>
    <col min="1282" max="1282" width="7" customWidth="1"/>
    <col min="1283" max="1283" width="17.75" customWidth="1"/>
    <col min="1284" max="1284" width="10.875" customWidth="1"/>
    <col min="1285" max="1285" width="11.25" customWidth="1"/>
    <col min="1286" max="1286" width="11.5" customWidth="1"/>
    <col min="1287" max="1287" width="11.625" customWidth="1"/>
    <col min="1288" max="1288" width="15.5" customWidth="1"/>
    <col min="1289" max="1289" width="18.75" customWidth="1"/>
    <col min="1290" max="1290" width="15.375" customWidth="1"/>
    <col min="1291" max="1291" width="15.125" customWidth="1"/>
    <col min="1293" max="1293" width="11" customWidth="1"/>
    <col min="1294" max="1294" width="10.625" customWidth="1"/>
    <col min="1295" max="1295" width="9.625" customWidth="1"/>
    <col min="1538" max="1538" width="7" customWidth="1"/>
    <col min="1539" max="1539" width="17.75" customWidth="1"/>
    <col min="1540" max="1540" width="10.875" customWidth="1"/>
    <col min="1541" max="1541" width="11.25" customWidth="1"/>
    <col min="1542" max="1542" width="11.5" customWidth="1"/>
    <col min="1543" max="1543" width="11.625" customWidth="1"/>
    <col min="1544" max="1544" width="15.5" customWidth="1"/>
    <col min="1545" max="1545" width="18.75" customWidth="1"/>
    <col min="1546" max="1546" width="15.375" customWidth="1"/>
    <col min="1547" max="1547" width="15.125" customWidth="1"/>
    <col min="1549" max="1549" width="11" customWidth="1"/>
    <col min="1550" max="1550" width="10.625" customWidth="1"/>
    <col min="1551" max="1551" width="9.625" customWidth="1"/>
    <col min="1794" max="1794" width="7" customWidth="1"/>
    <col min="1795" max="1795" width="17.75" customWidth="1"/>
    <col min="1796" max="1796" width="10.875" customWidth="1"/>
    <col min="1797" max="1797" width="11.25" customWidth="1"/>
    <col min="1798" max="1798" width="11.5" customWidth="1"/>
    <col min="1799" max="1799" width="11.625" customWidth="1"/>
    <col min="1800" max="1800" width="15.5" customWidth="1"/>
    <col min="1801" max="1801" width="18.75" customWidth="1"/>
    <col min="1802" max="1802" width="15.375" customWidth="1"/>
    <col min="1803" max="1803" width="15.125" customWidth="1"/>
    <col min="1805" max="1805" width="11" customWidth="1"/>
    <col min="1806" max="1806" width="10.625" customWidth="1"/>
    <col min="1807" max="1807" width="9.625" customWidth="1"/>
    <col min="2050" max="2050" width="7" customWidth="1"/>
    <col min="2051" max="2051" width="17.75" customWidth="1"/>
    <col min="2052" max="2052" width="10.875" customWidth="1"/>
    <col min="2053" max="2053" width="11.25" customWidth="1"/>
    <col min="2054" max="2054" width="11.5" customWidth="1"/>
    <col min="2055" max="2055" width="11.625" customWidth="1"/>
    <col min="2056" max="2056" width="15.5" customWidth="1"/>
    <col min="2057" max="2057" width="18.75" customWidth="1"/>
    <col min="2058" max="2058" width="15.375" customWidth="1"/>
    <col min="2059" max="2059" width="15.125" customWidth="1"/>
    <col min="2061" max="2061" width="11" customWidth="1"/>
    <col min="2062" max="2062" width="10.625" customWidth="1"/>
    <col min="2063" max="2063" width="9.625" customWidth="1"/>
    <col min="2306" max="2306" width="7" customWidth="1"/>
    <col min="2307" max="2307" width="17.75" customWidth="1"/>
    <col min="2308" max="2308" width="10.875" customWidth="1"/>
    <col min="2309" max="2309" width="11.25" customWidth="1"/>
    <col min="2310" max="2310" width="11.5" customWidth="1"/>
    <col min="2311" max="2311" width="11.625" customWidth="1"/>
    <col min="2312" max="2312" width="15.5" customWidth="1"/>
    <col min="2313" max="2313" width="18.75" customWidth="1"/>
    <col min="2314" max="2314" width="15.375" customWidth="1"/>
    <col min="2315" max="2315" width="15.125" customWidth="1"/>
    <col min="2317" max="2317" width="11" customWidth="1"/>
    <col min="2318" max="2318" width="10.625" customWidth="1"/>
    <col min="2319" max="2319" width="9.625" customWidth="1"/>
    <col min="2562" max="2562" width="7" customWidth="1"/>
    <col min="2563" max="2563" width="17.75" customWidth="1"/>
    <col min="2564" max="2564" width="10.875" customWidth="1"/>
    <col min="2565" max="2565" width="11.25" customWidth="1"/>
    <col min="2566" max="2566" width="11.5" customWidth="1"/>
    <col min="2567" max="2567" width="11.625" customWidth="1"/>
    <col min="2568" max="2568" width="15.5" customWidth="1"/>
    <col min="2569" max="2569" width="18.75" customWidth="1"/>
    <col min="2570" max="2570" width="15.375" customWidth="1"/>
    <col min="2571" max="2571" width="15.125" customWidth="1"/>
    <col min="2573" max="2573" width="11" customWidth="1"/>
    <col min="2574" max="2574" width="10.625" customWidth="1"/>
    <col min="2575" max="2575" width="9.625" customWidth="1"/>
    <col min="2818" max="2818" width="7" customWidth="1"/>
    <col min="2819" max="2819" width="17.75" customWidth="1"/>
    <col min="2820" max="2820" width="10.875" customWidth="1"/>
    <col min="2821" max="2821" width="11.25" customWidth="1"/>
    <col min="2822" max="2822" width="11.5" customWidth="1"/>
    <col min="2823" max="2823" width="11.625" customWidth="1"/>
    <col min="2824" max="2824" width="15.5" customWidth="1"/>
    <col min="2825" max="2825" width="18.75" customWidth="1"/>
    <col min="2826" max="2826" width="15.375" customWidth="1"/>
    <col min="2827" max="2827" width="15.125" customWidth="1"/>
    <col min="2829" max="2829" width="11" customWidth="1"/>
    <col min="2830" max="2830" width="10.625" customWidth="1"/>
    <col min="2831" max="2831" width="9.625" customWidth="1"/>
    <col min="3074" max="3074" width="7" customWidth="1"/>
    <col min="3075" max="3075" width="17.75" customWidth="1"/>
    <col min="3076" max="3076" width="10.875" customWidth="1"/>
    <col min="3077" max="3077" width="11.25" customWidth="1"/>
    <col min="3078" max="3078" width="11.5" customWidth="1"/>
    <col min="3079" max="3079" width="11.625" customWidth="1"/>
    <col min="3080" max="3080" width="15.5" customWidth="1"/>
    <col min="3081" max="3081" width="18.75" customWidth="1"/>
    <col min="3082" max="3082" width="15.375" customWidth="1"/>
    <col min="3083" max="3083" width="15.125" customWidth="1"/>
    <col min="3085" max="3085" width="11" customWidth="1"/>
    <col min="3086" max="3086" width="10.625" customWidth="1"/>
    <col min="3087" max="3087" width="9.625" customWidth="1"/>
    <col min="3330" max="3330" width="7" customWidth="1"/>
    <col min="3331" max="3331" width="17.75" customWidth="1"/>
    <col min="3332" max="3332" width="10.875" customWidth="1"/>
    <col min="3333" max="3333" width="11.25" customWidth="1"/>
    <col min="3334" max="3334" width="11.5" customWidth="1"/>
    <col min="3335" max="3335" width="11.625" customWidth="1"/>
    <col min="3336" max="3336" width="15.5" customWidth="1"/>
    <col min="3337" max="3337" width="18.75" customWidth="1"/>
    <col min="3338" max="3338" width="15.375" customWidth="1"/>
    <col min="3339" max="3339" width="15.125" customWidth="1"/>
    <col min="3341" max="3341" width="11" customWidth="1"/>
    <col min="3342" max="3342" width="10.625" customWidth="1"/>
    <col min="3343" max="3343" width="9.625" customWidth="1"/>
    <col min="3586" max="3586" width="7" customWidth="1"/>
    <col min="3587" max="3587" width="17.75" customWidth="1"/>
    <col min="3588" max="3588" width="10.875" customWidth="1"/>
    <col min="3589" max="3589" width="11.25" customWidth="1"/>
    <col min="3590" max="3590" width="11.5" customWidth="1"/>
    <col min="3591" max="3591" width="11.625" customWidth="1"/>
    <col min="3592" max="3592" width="15.5" customWidth="1"/>
    <col min="3593" max="3593" width="18.75" customWidth="1"/>
    <col min="3594" max="3594" width="15.375" customWidth="1"/>
    <col min="3595" max="3595" width="15.125" customWidth="1"/>
    <col min="3597" max="3597" width="11" customWidth="1"/>
    <col min="3598" max="3598" width="10.625" customWidth="1"/>
    <col min="3599" max="3599" width="9.625" customWidth="1"/>
    <col min="3842" max="3842" width="7" customWidth="1"/>
    <col min="3843" max="3843" width="17.75" customWidth="1"/>
    <col min="3844" max="3844" width="10.875" customWidth="1"/>
    <col min="3845" max="3845" width="11.25" customWidth="1"/>
    <col min="3846" max="3846" width="11.5" customWidth="1"/>
    <col min="3847" max="3847" width="11.625" customWidth="1"/>
    <col min="3848" max="3848" width="15.5" customWidth="1"/>
    <col min="3849" max="3849" width="18.75" customWidth="1"/>
    <col min="3850" max="3850" width="15.375" customWidth="1"/>
    <col min="3851" max="3851" width="15.125" customWidth="1"/>
    <col min="3853" max="3853" width="11" customWidth="1"/>
    <col min="3854" max="3854" width="10.625" customWidth="1"/>
    <col min="3855" max="3855" width="9.625" customWidth="1"/>
    <col min="4098" max="4098" width="7" customWidth="1"/>
    <col min="4099" max="4099" width="17.75" customWidth="1"/>
    <col min="4100" max="4100" width="10.875" customWidth="1"/>
    <col min="4101" max="4101" width="11.25" customWidth="1"/>
    <col min="4102" max="4102" width="11.5" customWidth="1"/>
    <col min="4103" max="4103" width="11.625" customWidth="1"/>
    <col min="4104" max="4104" width="15.5" customWidth="1"/>
    <col min="4105" max="4105" width="18.75" customWidth="1"/>
    <col min="4106" max="4106" width="15.375" customWidth="1"/>
    <col min="4107" max="4107" width="15.125" customWidth="1"/>
    <col min="4109" max="4109" width="11" customWidth="1"/>
    <col min="4110" max="4110" width="10.625" customWidth="1"/>
    <col min="4111" max="4111" width="9.625" customWidth="1"/>
    <col min="4354" max="4354" width="7" customWidth="1"/>
    <col min="4355" max="4355" width="17.75" customWidth="1"/>
    <col min="4356" max="4356" width="10.875" customWidth="1"/>
    <col min="4357" max="4357" width="11.25" customWidth="1"/>
    <col min="4358" max="4358" width="11.5" customWidth="1"/>
    <col min="4359" max="4359" width="11.625" customWidth="1"/>
    <col min="4360" max="4360" width="15.5" customWidth="1"/>
    <col min="4361" max="4361" width="18.75" customWidth="1"/>
    <col min="4362" max="4362" width="15.375" customWidth="1"/>
    <col min="4363" max="4363" width="15.125" customWidth="1"/>
    <col min="4365" max="4365" width="11" customWidth="1"/>
    <col min="4366" max="4366" width="10.625" customWidth="1"/>
    <col min="4367" max="4367" width="9.625" customWidth="1"/>
    <col min="4610" max="4610" width="7" customWidth="1"/>
    <col min="4611" max="4611" width="17.75" customWidth="1"/>
    <col min="4612" max="4612" width="10.875" customWidth="1"/>
    <col min="4613" max="4613" width="11.25" customWidth="1"/>
    <col min="4614" max="4614" width="11.5" customWidth="1"/>
    <col min="4615" max="4615" width="11.625" customWidth="1"/>
    <col min="4616" max="4616" width="15.5" customWidth="1"/>
    <col min="4617" max="4617" width="18.75" customWidth="1"/>
    <col min="4618" max="4618" width="15.375" customWidth="1"/>
    <col min="4619" max="4619" width="15.125" customWidth="1"/>
    <col min="4621" max="4621" width="11" customWidth="1"/>
    <col min="4622" max="4622" width="10.625" customWidth="1"/>
    <col min="4623" max="4623" width="9.625" customWidth="1"/>
    <col min="4866" max="4866" width="7" customWidth="1"/>
    <col min="4867" max="4867" width="17.75" customWidth="1"/>
    <col min="4868" max="4868" width="10.875" customWidth="1"/>
    <col min="4869" max="4869" width="11.25" customWidth="1"/>
    <col min="4870" max="4870" width="11.5" customWidth="1"/>
    <col min="4871" max="4871" width="11.625" customWidth="1"/>
    <col min="4872" max="4872" width="15.5" customWidth="1"/>
    <col min="4873" max="4873" width="18.75" customWidth="1"/>
    <col min="4874" max="4874" width="15.375" customWidth="1"/>
    <col min="4875" max="4875" width="15.125" customWidth="1"/>
    <col min="4877" max="4877" width="11" customWidth="1"/>
    <col min="4878" max="4878" width="10.625" customWidth="1"/>
    <col min="4879" max="4879" width="9.625" customWidth="1"/>
    <col min="5122" max="5122" width="7" customWidth="1"/>
    <col min="5123" max="5123" width="17.75" customWidth="1"/>
    <col min="5124" max="5124" width="10.875" customWidth="1"/>
    <col min="5125" max="5125" width="11.25" customWidth="1"/>
    <col min="5126" max="5126" width="11.5" customWidth="1"/>
    <col min="5127" max="5127" width="11.625" customWidth="1"/>
    <col min="5128" max="5128" width="15.5" customWidth="1"/>
    <col min="5129" max="5129" width="18.75" customWidth="1"/>
    <col min="5130" max="5130" width="15.375" customWidth="1"/>
    <col min="5131" max="5131" width="15.125" customWidth="1"/>
    <col min="5133" max="5133" width="11" customWidth="1"/>
    <col min="5134" max="5134" width="10.625" customWidth="1"/>
    <col min="5135" max="5135" width="9.625" customWidth="1"/>
    <col min="5378" max="5378" width="7" customWidth="1"/>
    <col min="5379" max="5379" width="17.75" customWidth="1"/>
    <col min="5380" max="5380" width="10.875" customWidth="1"/>
    <col min="5381" max="5381" width="11.25" customWidth="1"/>
    <col min="5382" max="5382" width="11.5" customWidth="1"/>
    <col min="5383" max="5383" width="11.625" customWidth="1"/>
    <col min="5384" max="5384" width="15.5" customWidth="1"/>
    <col min="5385" max="5385" width="18.75" customWidth="1"/>
    <col min="5386" max="5386" width="15.375" customWidth="1"/>
    <col min="5387" max="5387" width="15.125" customWidth="1"/>
    <col min="5389" max="5389" width="11" customWidth="1"/>
    <col min="5390" max="5390" width="10.625" customWidth="1"/>
    <col min="5391" max="5391" width="9.625" customWidth="1"/>
    <col min="5634" max="5634" width="7" customWidth="1"/>
    <col min="5635" max="5635" width="17.75" customWidth="1"/>
    <col min="5636" max="5636" width="10.875" customWidth="1"/>
    <col min="5637" max="5637" width="11.25" customWidth="1"/>
    <col min="5638" max="5638" width="11.5" customWidth="1"/>
    <col min="5639" max="5639" width="11.625" customWidth="1"/>
    <col min="5640" max="5640" width="15.5" customWidth="1"/>
    <col min="5641" max="5641" width="18.75" customWidth="1"/>
    <col min="5642" max="5642" width="15.375" customWidth="1"/>
    <col min="5643" max="5643" width="15.125" customWidth="1"/>
    <col min="5645" max="5645" width="11" customWidth="1"/>
    <col min="5646" max="5646" width="10.625" customWidth="1"/>
    <col min="5647" max="5647" width="9.625" customWidth="1"/>
    <col min="5890" max="5890" width="7" customWidth="1"/>
    <col min="5891" max="5891" width="17.75" customWidth="1"/>
    <col min="5892" max="5892" width="10.875" customWidth="1"/>
    <col min="5893" max="5893" width="11.25" customWidth="1"/>
    <col min="5894" max="5894" width="11.5" customWidth="1"/>
    <col min="5895" max="5895" width="11.625" customWidth="1"/>
    <col min="5896" max="5896" width="15.5" customWidth="1"/>
    <col min="5897" max="5897" width="18.75" customWidth="1"/>
    <col min="5898" max="5898" width="15.375" customWidth="1"/>
    <col min="5899" max="5899" width="15.125" customWidth="1"/>
    <col min="5901" max="5901" width="11" customWidth="1"/>
    <col min="5902" max="5902" width="10.625" customWidth="1"/>
    <col min="5903" max="5903" width="9.625" customWidth="1"/>
    <col min="6146" max="6146" width="7" customWidth="1"/>
    <col min="6147" max="6147" width="17.75" customWidth="1"/>
    <col min="6148" max="6148" width="10.875" customWidth="1"/>
    <col min="6149" max="6149" width="11.25" customWidth="1"/>
    <col min="6150" max="6150" width="11.5" customWidth="1"/>
    <col min="6151" max="6151" width="11.625" customWidth="1"/>
    <col min="6152" max="6152" width="15.5" customWidth="1"/>
    <col min="6153" max="6153" width="18.75" customWidth="1"/>
    <col min="6154" max="6154" width="15.375" customWidth="1"/>
    <col min="6155" max="6155" width="15.125" customWidth="1"/>
    <col min="6157" max="6157" width="11" customWidth="1"/>
    <col min="6158" max="6158" width="10.625" customWidth="1"/>
    <col min="6159" max="6159" width="9.625" customWidth="1"/>
    <col min="6402" max="6402" width="7" customWidth="1"/>
    <col min="6403" max="6403" width="17.75" customWidth="1"/>
    <col min="6404" max="6404" width="10.875" customWidth="1"/>
    <col min="6405" max="6405" width="11.25" customWidth="1"/>
    <col min="6406" max="6406" width="11.5" customWidth="1"/>
    <col min="6407" max="6407" width="11.625" customWidth="1"/>
    <col min="6408" max="6408" width="15.5" customWidth="1"/>
    <col min="6409" max="6409" width="18.75" customWidth="1"/>
    <col min="6410" max="6410" width="15.375" customWidth="1"/>
    <col min="6411" max="6411" width="15.125" customWidth="1"/>
    <col min="6413" max="6413" width="11" customWidth="1"/>
    <col min="6414" max="6414" width="10.625" customWidth="1"/>
    <col min="6415" max="6415" width="9.625" customWidth="1"/>
    <col min="6658" max="6658" width="7" customWidth="1"/>
    <col min="6659" max="6659" width="17.75" customWidth="1"/>
    <col min="6660" max="6660" width="10.875" customWidth="1"/>
    <col min="6661" max="6661" width="11.25" customWidth="1"/>
    <col min="6662" max="6662" width="11.5" customWidth="1"/>
    <col min="6663" max="6663" width="11.625" customWidth="1"/>
    <col min="6664" max="6664" width="15.5" customWidth="1"/>
    <col min="6665" max="6665" width="18.75" customWidth="1"/>
    <col min="6666" max="6666" width="15.375" customWidth="1"/>
    <col min="6667" max="6667" width="15.125" customWidth="1"/>
    <col min="6669" max="6669" width="11" customWidth="1"/>
    <col min="6670" max="6670" width="10.625" customWidth="1"/>
    <col min="6671" max="6671" width="9.625" customWidth="1"/>
    <col min="6914" max="6914" width="7" customWidth="1"/>
    <col min="6915" max="6915" width="17.75" customWidth="1"/>
    <col min="6916" max="6916" width="10.875" customWidth="1"/>
    <col min="6917" max="6917" width="11.25" customWidth="1"/>
    <col min="6918" max="6918" width="11.5" customWidth="1"/>
    <col min="6919" max="6919" width="11.625" customWidth="1"/>
    <col min="6920" max="6920" width="15.5" customWidth="1"/>
    <col min="6921" max="6921" width="18.75" customWidth="1"/>
    <col min="6922" max="6922" width="15.375" customWidth="1"/>
    <col min="6923" max="6923" width="15.125" customWidth="1"/>
    <col min="6925" max="6925" width="11" customWidth="1"/>
    <col min="6926" max="6926" width="10.625" customWidth="1"/>
    <col min="6927" max="6927" width="9.625" customWidth="1"/>
    <col min="7170" max="7170" width="7" customWidth="1"/>
    <col min="7171" max="7171" width="17.75" customWidth="1"/>
    <col min="7172" max="7172" width="10.875" customWidth="1"/>
    <col min="7173" max="7173" width="11.25" customWidth="1"/>
    <col min="7174" max="7174" width="11.5" customWidth="1"/>
    <col min="7175" max="7175" width="11.625" customWidth="1"/>
    <col min="7176" max="7176" width="15.5" customWidth="1"/>
    <col min="7177" max="7177" width="18.75" customWidth="1"/>
    <col min="7178" max="7178" width="15.375" customWidth="1"/>
    <col min="7179" max="7179" width="15.125" customWidth="1"/>
    <col min="7181" max="7181" width="11" customWidth="1"/>
    <col min="7182" max="7182" width="10.625" customWidth="1"/>
    <col min="7183" max="7183" width="9.625" customWidth="1"/>
    <col min="7426" max="7426" width="7" customWidth="1"/>
    <col min="7427" max="7427" width="17.75" customWidth="1"/>
    <col min="7428" max="7428" width="10.875" customWidth="1"/>
    <col min="7429" max="7429" width="11.25" customWidth="1"/>
    <col min="7430" max="7430" width="11.5" customWidth="1"/>
    <col min="7431" max="7431" width="11.625" customWidth="1"/>
    <col min="7432" max="7432" width="15.5" customWidth="1"/>
    <col min="7433" max="7433" width="18.75" customWidth="1"/>
    <col min="7434" max="7434" width="15.375" customWidth="1"/>
    <col min="7435" max="7435" width="15.125" customWidth="1"/>
    <col min="7437" max="7437" width="11" customWidth="1"/>
    <col min="7438" max="7438" width="10.625" customWidth="1"/>
    <col min="7439" max="7439" width="9.625" customWidth="1"/>
    <col min="7682" max="7682" width="7" customWidth="1"/>
    <col min="7683" max="7683" width="17.75" customWidth="1"/>
    <col min="7684" max="7684" width="10.875" customWidth="1"/>
    <col min="7685" max="7685" width="11.25" customWidth="1"/>
    <col min="7686" max="7686" width="11.5" customWidth="1"/>
    <col min="7687" max="7687" width="11.625" customWidth="1"/>
    <col min="7688" max="7688" width="15.5" customWidth="1"/>
    <col min="7689" max="7689" width="18.75" customWidth="1"/>
    <col min="7690" max="7690" width="15.375" customWidth="1"/>
    <col min="7691" max="7691" width="15.125" customWidth="1"/>
    <col min="7693" max="7693" width="11" customWidth="1"/>
    <col min="7694" max="7694" width="10.625" customWidth="1"/>
    <col min="7695" max="7695" width="9.625" customWidth="1"/>
    <col min="7938" max="7938" width="7" customWidth="1"/>
    <col min="7939" max="7939" width="17.75" customWidth="1"/>
    <col min="7940" max="7940" width="10.875" customWidth="1"/>
    <col min="7941" max="7941" width="11.25" customWidth="1"/>
    <col min="7942" max="7942" width="11.5" customWidth="1"/>
    <col min="7943" max="7943" width="11.625" customWidth="1"/>
    <col min="7944" max="7944" width="15.5" customWidth="1"/>
    <col min="7945" max="7945" width="18.75" customWidth="1"/>
    <col min="7946" max="7946" width="15.375" customWidth="1"/>
    <col min="7947" max="7947" width="15.125" customWidth="1"/>
    <col min="7949" max="7949" width="11" customWidth="1"/>
    <col min="7950" max="7950" width="10.625" customWidth="1"/>
    <col min="7951" max="7951" width="9.625" customWidth="1"/>
    <col min="8194" max="8194" width="7" customWidth="1"/>
    <col min="8195" max="8195" width="17.75" customWidth="1"/>
    <col min="8196" max="8196" width="10.875" customWidth="1"/>
    <col min="8197" max="8197" width="11.25" customWidth="1"/>
    <col min="8198" max="8198" width="11.5" customWidth="1"/>
    <col min="8199" max="8199" width="11.625" customWidth="1"/>
    <col min="8200" max="8200" width="15.5" customWidth="1"/>
    <col min="8201" max="8201" width="18.75" customWidth="1"/>
    <col min="8202" max="8202" width="15.375" customWidth="1"/>
    <col min="8203" max="8203" width="15.125" customWidth="1"/>
    <col min="8205" max="8205" width="11" customWidth="1"/>
    <col min="8206" max="8206" width="10.625" customWidth="1"/>
    <col min="8207" max="8207" width="9.625" customWidth="1"/>
    <col min="8450" max="8450" width="7" customWidth="1"/>
    <col min="8451" max="8451" width="17.75" customWidth="1"/>
    <col min="8452" max="8452" width="10.875" customWidth="1"/>
    <col min="8453" max="8453" width="11.25" customWidth="1"/>
    <col min="8454" max="8454" width="11.5" customWidth="1"/>
    <col min="8455" max="8455" width="11.625" customWidth="1"/>
    <col min="8456" max="8456" width="15.5" customWidth="1"/>
    <col min="8457" max="8457" width="18.75" customWidth="1"/>
    <col min="8458" max="8458" width="15.375" customWidth="1"/>
    <col min="8459" max="8459" width="15.125" customWidth="1"/>
    <col min="8461" max="8461" width="11" customWidth="1"/>
    <col min="8462" max="8462" width="10.625" customWidth="1"/>
    <col min="8463" max="8463" width="9.625" customWidth="1"/>
    <col min="8706" max="8706" width="7" customWidth="1"/>
    <col min="8707" max="8707" width="17.75" customWidth="1"/>
    <col min="8708" max="8708" width="10.875" customWidth="1"/>
    <col min="8709" max="8709" width="11.25" customWidth="1"/>
    <col min="8710" max="8710" width="11.5" customWidth="1"/>
    <col min="8711" max="8711" width="11.625" customWidth="1"/>
    <col min="8712" max="8712" width="15.5" customWidth="1"/>
    <col min="8713" max="8713" width="18.75" customWidth="1"/>
    <col min="8714" max="8714" width="15.375" customWidth="1"/>
    <col min="8715" max="8715" width="15.125" customWidth="1"/>
    <col min="8717" max="8717" width="11" customWidth="1"/>
    <col min="8718" max="8718" width="10.625" customWidth="1"/>
    <col min="8719" max="8719" width="9.625" customWidth="1"/>
    <col min="8962" max="8962" width="7" customWidth="1"/>
    <col min="8963" max="8963" width="17.75" customWidth="1"/>
    <col min="8964" max="8964" width="10.875" customWidth="1"/>
    <col min="8965" max="8965" width="11.25" customWidth="1"/>
    <col min="8966" max="8966" width="11.5" customWidth="1"/>
    <col min="8967" max="8967" width="11.625" customWidth="1"/>
    <col min="8968" max="8968" width="15.5" customWidth="1"/>
    <col min="8969" max="8969" width="18.75" customWidth="1"/>
    <col min="8970" max="8970" width="15.375" customWidth="1"/>
    <col min="8971" max="8971" width="15.125" customWidth="1"/>
    <col min="8973" max="8973" width="11" customWidth="1"/>
    <col min="8974" max="8974" width="10.625" customWidth="1"/>
    <col min="8975" max="8975" width="9.625" customWidth="1"/>
    <col min="9218" max="9218" width="7" customWidth="1"/>
    <col min="9219" max="9219" width="17.75" customWidth="1"/>
    <col min="9220" max="9220" width="10.875" customWidth="1"/>
    <col min="9221" max="9221" width="11.25" customWidth="1"/>
    <col min="9222" max="9222" width="11.5" customWidth="1"/>
    <col min="9223" max="9223" width="11.625" customWidth="1"/>
    <col min="9224" max="9224" width="15.5" customWidth="1"/>
    <col min="9225" max="9225" width="18.75" customWidth="1"/>
    <col min="9226" max="9226" width="15.375" customWidth="1"/>
    <col min="9227" max="9227" width="15.125" customWidth="1"/>
    <col min="9229" max="9229" width="11" customWidth="1"/>
    <col min="9230" max="9230" width="10.625" customWidth="1"/>
    <col min="9231" max="9231" width="9.625" customWidth="1"/>
    <col min="9474" max="9474" width="7" customWidth="1"/>
    <col min="9475" max="9475" width="17.75" customWidth="1"/>
    <col min="9476" max="9476" width="10.875" customWidth="1"/>
    <col min="9477" max="9477" width="11.25" customWidth="1"/>
    <col min="9478" max="9478" width="11.5" customWidth="1"/>
    <col min="9479" max="9479" width="11.625" customWidth="1"/>
    <col min="9480" max="9480" width="15.5" customWidth="1"/>
    <col min="9481" max="9481" width="18.75" customWidth="1"/>
    <col min="9482" max="9482" width="15.375" customWidth="1"/>
    <col min="9483" max="9483" width="15.125" customWidth="1"/>
    <col min="9485" max="9485" width="11" customWidth="1"/>
    <col min="9486" max="9486" width="10.625" customWidth="1"/>
    <col min="9487" max="9487" width="9.625" customWidth="1"/>
    <col min="9730" max="9730" width="7" customWidth="1"/>
    <col min="9731" max="9731" width="17.75" customWidth="1"/>
    <col min="9732" max="9732" width="10.875" customWidth="1"/>
    <col min="9733" max="9733" width="11.25" customWidth="1"/>
    <col min="9734" max="9734" width="11.5" customWidth="1"/>
    <col min="9735" max="9735" width="11.625" customWidth="1"/>
    <col min="9736" max="9736" width="15.5" customWidth="1"/>
    <col min="9737" max="9737" width="18.75" customWidth="1"/>
    <col min="9738" max="9738" width="15.375" customWidth="1"/>
    <col min="9739" max="9739" width="15.125" customWidth="1"/>
    <col min="9741" max="9741" width="11" customWidth="1"/>
    <col min="9742" max="9742" width="10.625" customWidth="1"/>
    <col min="9743" max="9743" width="9.625" customWidth="1"/>
    <col min="9986" max="9986" width="7" customWidth="1"/>
    <col min="9987" max="9987" width="17.75" customWidth="1"/>
    <col min="9988" max="9988" width="10.875" customWidth="1"/>
    <col min="9989" max="9989" width="11.25" customWidth="1"/>
    <col min="9990" max="9990" width="11.5" customWidth="1"/>
    <col min="9991" max="9991" width="11.625" customWidth="1"/>
    <col min="9992" max="9992" width="15.5" customWidth="1"/>
    <col min="9993" max="9993" width="18.75" customWidth="1"/>
    <col min="9994" max="9994" width="15.375" customWidth="1"/>
    <col min="9995" max="9995" width="15.125" customWidth="1"/>
    <col min="9997" max="9997" width="11" customWidth="1"/>
    <col min="9998" max="9998" width="10.625" customWidth="1"/>
    <col min="9999" max="9999" width="9.625" customWidth="1"/>
    <col min="10242" max="10242" width="7" customWidth="1"/>
    <col min="10243" max="10243" width="17.75" customWidth="1"/>
    <col min="10244" max="10244" width="10.875" customWidth="1"/>
    <col min="10245" max="10245" width="11.25" customWidth="1"/>
    <col min="10246" max="10246" width="11.5" customWidth="1"/>
    <col min="10247" max="10247" width="11.625" customWidth="1"/>
    <col min="10248" max="10248" width="15.5" customWidth="1"/>
    <col min="10249" max="10249" width="18.75" customWidth="1"/>
    <col min="10250" max="10250" width="15.375" customWidth="1"/>
    <col min="10251" max="10251" width="15.125" customWidth="1"/>
    <col min="10253" max="10253" width="11" customWidth="1"/>
    <col min="10254" max="10254" width="10.625" customWidth="1"/>
    <col min="10255" max="10255" width="9.625" customWidth="1"/>
    <col min="10498" max="10498" width="7" customWidth="1"/>
    <col min="10499" max="10499" width="17.75" customWidth="1"/>
    <col min="10500" max="10500" width="10.875" customWidth="1"/>
    <col min="10501" max="10501" width="11.25" customWidth="1"/>
    <col min="10502" max="10502" width="11.5" customWidth="1"/>
    <col min="10503" max="10503" width="11.625" customWidth="1"/>
    <col min="10504" max="10504" width="15.5" customWidth="1"/>
    <col min="10505" max="10505" width="18.75" customWidth="1"/>
    <col min="10506" max="10506" width="15.375" customWidth="1"/>
    <col min="10507" max="10507" width="15.125" customWidth="1"/>
    <col min="10509" max="10509" width="11" customWidth="1"/>
    <col min="10510" max="10510" width="10.625" customWidth="1"/>
    <col min="10511" max="10511" width="9.625" customWidth="1"/>
    <col min="10754" max="10754" width="7" customWidth="1"/>
    <col min="10755" max="10755" width="17.75" customWidth="1"/>
    <col min="10756" max="10756" width="10.875" customWidth="1"/>
    <col min="10757" max="10757" width="11.25" customWidth="1"/>
    <col min="10758" max="10758" width="11.5" customWidth="1"/>
    <col min="10759" max="10759" width="11.625" customWidth="1"/>
    <col min="10760" max="10760" width="15.5" customWidth="1"/>
    <col min="10761" max="10761" width="18.75" customWidth="1"/>
    <col min="10762" max="10762" width="15.375" customWidth="1"/>
    <col min="10763" max="10763" width="15.125" customWidth="1"/>
    <col min="10765" max="10765" width="11" customWidth="1"/>
    <col min="10766" max="10766" width="10.625" customWidth="1"/>
    <col min="10767" max="10767" width="9.625" customWidth="1"/>
    <col min="11010" max="11010" width="7" customWidth="1"/>
    <col min="11011" max="11011" width="17.75" customWidth="1"/>
    <col min="11012" max="11012" width="10.875" customWidth="1"/>
    <col min="11013" max="11013" width="11.25" customWidth="1"/>
    <col min="11014" max="11014" width="11.5" customWidth="1"/>
    <col min="11015" max="11015" width="11.625" customWidth="1"/>
    <col min="11016" max="11016" width="15.5" customWidth="1"/>
    <col min="11017" max="11017" width="18.75" customWidth="1"/>
    <col min="11018" max="11018" width="15.375" customWidth="1"/>
    <col min="11019" max="11019" width="15.125" customWidth="1"/>
    <col min="11021" max="11021" width="11" customWidth="1"/>
    <col min="11022" max="11022" width="10.625" customWidth="1"/>
    <col min="11023" max="11023" width="9.625" customWidth="1"/>
    <col min="11266" max="11266" width="7" customWidth="1"/>
    <col min="11267" max="11267" width="17.75" customWidth="1"/>
    <col min="11268" max="11268" width="10.875" customWidth="1"/>
    <col min="11269" max="11269" width="11.25" customWidth="1"/>
    <col min="11270" max="11270" width="11.5" customWidth="1"/>
    <col min="11271" max="11271" width="11.625" customWidth="1"/>
    <col min="11272" max="11272" width="15.5" customWidth="1"/>
    <col min="11273" max="11273" width="18.75" customWidth="1"/>
    <col min="11274" max="11274" width="15.375" customWidth="1"/>
    <col min="11275" max="11275" width="15.125" customWidth="1"/>
    <col min="11277" max="11277" width="11" customWidth="1"/>
    <col min="11278" max="11278" width="10.625" customWidth="1"/>
    <col min="11279" max="11279" width="9.625" customWidth="1"/>
    <col min="11522" max="11522" width="7" customWidth="1"/>
    <col min="11523" max="11523" width="17.75" customWidth="1"/>
    <col min="11524" max="11524" width="10.875" customWidth="1"/>
    <col min="11525" max="11525" width="11.25" customWidth="1"/>
    <col min="11526" max="11526" width="11.5" customWidth="1"/>
    <col min="11527" max="11527" width="11.625" customWidth="1"/>
    <col min="11528" max="11528" width="15.5" customWidth="1"/>
    <col min="11529" max="11529" width="18.75" customWidth="1"/>
    <col min="11530" max="11530" width="15.375" customWidth="1"/>
    <col min="11531" max="11531" width="15.125" customWidth="1"/>
    <col min="11533" max="11533" width="11" customWidth="1"/>
    <col min="11534" max="11534" width="10.625" customWidth="1"/>
    <col min="11535" max="11535" width="9.625" customWidth="1"/>
    <col min="11778" max="11778" width="7" customWidth="1"/>
    <col min="11779" max="11779" width="17.75" customWidth="1"/>
    <col min="11780" max="11780" width="10.875" customWidth="1"/>
    <col min="11781" max="11781" width="11.25" customWidth="1"/>
    <col min="11782" max="11782" width="11.5" customWidth="1"/>
    <col min="11783" max="11783" width="11.625" customWidth="1"/>
    <col min="11784" max="11784" width="15.5" customWidth="1"/>
    <col min="11785" max="11785" width="18.75" customWidth="1"/>
    <col min="11786" max="11786" width="15.375" customWidth="1"/>
    <col min="11787" max="11787" width="15.125" customWidth="1"/>
    <col min="11789" max="11789" width="11" customWidth="1"/>
    <col min="11790" max="11790" width="10.625" customWidth="1"/>
    <col min="11791" max="11791" width="9.625" customWidth="1"/>
    <col min="12034" max="12034" width="7" customWidth="1"/>
    <col min="12035" max="12035" width="17.75" customWidth="1"/>
    <col min="12036" max="12036" width="10.875" customWidth="1"/>
    <col min="12037" max="12037" width="11.25" customWidth="1"/>
    <col min="12038" max="12038" width="11.5" customWidth="1"/>
    <col min="12039" max="12039" width="11.625" customWidth="1"/>
    <col min="12040" max="12040" width="15.5" customWidth="1"/>
    <col min="12041" max="12041" width="18.75" customWidth="1"/>
    <col min="12042" max="12042" width="15.375" customWidth="1"/>
    <col min="12043" max="12043" width="15.125" customWidth="1"/>
    <col min="12045" max="12045" width="11" customWidth="1"/>
    <col min="12046" max="12046" width="10.625" customWidth="1"/>
    <col min="12047" max="12047" width="9.625" customWidth="1"/>
    <col min="12290" max="12290" width="7" customWidth="1"/>
    <col min="12291" max="12291" width="17.75" customWidth="1"/>
    <col min="12292" max="12292" width="10.875" customWidth="1"/>
    <col min="12293" max="12293" width="11.25" customWidth="1"/>
    <col min="12294" max="12294" width="11.5" customWidth="1"/>
    <col min="12295" max="12295" width="11.625" customWidth="1"/>
    <col min="12296" max="12296" width="15.5" customWidth="1"/>
    <col min="12297" max="12297" width="18.75" customWidth="1"/>
    <col min="12298" max="12298" width="15.375" customWidth="1"/>
    <col min="12299" max="12299" width="15.125" customWidth="1"/>
    <col min="12301" max="12301" width="11" customWidth="1"/>
    <col min="12302" max="12302" width="10.625" customWidth="1"/>
    <col min="12303" max="12303" width="9.625" customWidth="1"/>
    <col min="12546" max="12546" width="7" customWidth="1"/>
    <col min="12547" max="12547" width="17.75" customWidth="1"/>
    <col min="12548" max="12548" width="10.875" customWidth="1"/>
    <col min="12549" max="12549" width="11.25" customWidth="1"/>
    <col min="12550" max="12550" width="11.5" customWidth="1"/>
    <col min="12551" max="12551" width="11.625" customWidth="1"/>
    <col min="12552" max="12552" width="15.5" customWidth="1"/>
    <col min="12553" max="12553" width="18.75" customWidth="1"/>
    <col min="12554" max="12554" width="15.375" customWidth="1"/>
    <col min="12555" max="12555" width="15.125" customWidth="1"/>
    <col min="12557" max="12557" width="11" customWidth="1"/>
    <col min="12558" max="12558" width="10.625" customWidth="1"/>
    <col min="12559" max="12559" width="9.625" customWidth="1"/>
    <col min="12802" max="12802" width="7" customWidth="1"/>
    <col min="12803" max="12803" width="17.75" customWidth="1"/>
    <col min="12804" max="12804" width="10.875" customWidth="1"/>
    <col min="12805" max="12805" width="11.25" customWidth="1"/>
    <col min="12806" max="12806" width="11.5" customWidth="1"/>
    <col min="12807" max="12807" width="11.625" customWidth="1"/>
    <col min="12808" max="12808" width="15.5" customWidth="1"/>
    <col min="12809" max="12809" width="18.75" customWidth="1"/>
    <col min="12810" max="12810" width="15.375" customWidth="1"/>
    <col min="12811" max="12811" width="15.125" customWidth="1"/>
    <col min="12813" max="12813" width="11" customWidth="1"/>
    <col min="12814" max="12814" width="10.625" customWidth="1"/>
    <col min="12815" max="12815" width="9.625" customWidth="1"/>
    <col min="13058" max="13058" width="7" customWidth="1"/>
    <col min="13059" max="13059" width="17.75" customWidth="1"/>
    <col min="13060" max="13060" width="10.875" customWidth="1"/>
    <col min="13061" max="13061" width="11.25" customWidth="1"/>
    <col min="13062" max="13062" width="11.5" customWidth="1"/>
    <col min="13063" max="13063" width="11.625" customWidth="1"/>
    <col min="13064" max="13064" width="15.5" customWidth="1"/>
    <col min="13065" max="13065" width="18.75" customWidth="1"/>
    <col min="13066" max="13066" width="15.375" customWidth="1"/>
    <col min="13067" max="13067" width="15.125" customWidth="1"/>
    <col min="13069" max="13069" width="11" customWidth="1"/>
    <col min="13070" max="13070" width="10.625" customWidth="1"/>
    <col min="13071" max="13071" width="9.625" customWidth="1"/>
    <col min="13314" max="13314" width="7" customWidth="1"/>
    <col min="13315" max="13315" width="17.75" customWidth="1"/>
    <col min="13316" max="13316" width="10.875" customWidth="1"/>
    <col min="13317" max="13317" width="11.25" customWidth="1"/>
    <col min="13318" max="13318" width="11.5" customWidth="1"/>
    <col min="13319" max="13319" width="11.625" customWidth="1"/>
    <col min="13320" max="13320" width="15.5" customWidth="1"/>
    <col min="13321" max="13321" width="18.75" customWidth="1"/>
    <col min="13322" max="13322" width="15.375" customWidth="1"/>
    <col min="13323" max="13323" width="15.125" customWidth="1"/>
    <col min="13325" max="13325" width="11" customWidth="1"/>
    <col min="13326" max="13326" width="10.625" customWidth="1"/>
    <col min="13327" max="13327" width="9.625" customWidth="1"/>
    <col min="13570" max="13570" width="7" customWidth="1"/>
    <col min="13571" max="13571" width="17.75" customWidth="1"/>
    <col min="13572" max="13572" width="10.875" customWidth="1"/>
    <col min="13573" max="13573" width="11.25" customWidth="1"/>
    <col min="13574" max="13574" width="11.5" customWidth="1"/>
    <col min="13575" max="13575" width="11.625" customWidth="1"/>
    <col min="13576" max="13576" width="15.5" customWidth="1"/>
    <col min="13577" max="13577" width="18.75" customWidth="1"/>
    <col min="13578" max="13578" width="15.375" customWidth="1"/>
    <col min="13579" max="13579" width="15.125" customWidth="1"/>
    <col min="13581" max="13581" width="11" customWidth="1"/>
    <col min="13582" max="13582" width="10.625" customWidth="1"/>
    <col min="13583" max="13583" width="9.625" customWidth="1"/>
    <col min="13826" max="13826" width="7" customWidth="1"/>
    <col min="13827" max="13827" width="17.75" customWidth="1"/>
    <col min="13828" max="13828" width="10.875" customWidth="1"/>
    <col min="13829" max="13829" width="11.25" customWidth="1"/>
    <col min="13830" max="13830" width="11.5" customWidth="1"/>
    <col min="13831" max="13831" width="11.625" customWidth="1"/>
    <col min="13832" max="13832" width="15.5" customWidth="1"/>
    <col min="13833" max="13833" width="18.75" customWidth="1"/>
    <col min="13834" max="13834" width="15.375" customWidth="1"/>
    <col min="13835" max="13835" width="15.125" customWidth="1"/>
    <col min="13837" max="13837" width="11" customWidth="1"/>
    <col min="13838" max="13838" width="10.625" customWidth="1"/>
    <col min="13839" max="13839" width="9.625" customWidth="1"/>
    <col min="14082" max="14082" width="7" customWidth="1"/>
    <col min="14083" max="14083" width="17.75" customWidth="1"/>
    <col min="14084" max="14084" width="10.875" customWidth="1"/>
    <col min="14085" max="14085" width="11.25" customWidth="1"/>
    <col min="14086" max="14086" width="11.5" customWidth="1"/>
    <col min="14087" max="14087" width="11.625" customWidth="1"/>
    <col min="14088" max="14088" width="15.5" customWidth="1"/>
    <col min="14089" max="14089" width="18.75" customWidth="1"/>
    <col min="14090" max="14090" width="15.375" customWidth="1"/>
    <col min="14091" max="14091" width="15.125" customWidth="1"/>
    <col min="14093" max="14093" width="11" customWidth="1"/>
    <col min="14094" max="14094" width="10.625" customWidth="1"/>
    <col min="14095" max="14095" width="9.625" customWidth="1"/>
    <col min="14338" max="14338" width="7" customWidth="1"/>
    <col min="14339" max="14339" width="17.75" customWidth="1"/>
    <col min="14340" max="14340" width="10.875" customWidth="1"/>
    <col min="14341" max="14341" width="11.25" customWidth="1"/>
    <col min="14342" max="14342" width="11.5" customWidth="1"/>
    <col min="14343" max="14343" width="11.625" customWidth="1"/>
    <col min="14344" max="14344" width="15.5" customWidth="1"/>
    <col min="14345" max="14345" width="18.75" customWidth="1"/>
    <col min="14346" max="14346" width="15.375" customWidth="1"/>
    <col min="14347" max="14347" width="15.125" customWidth="1"/>
    <col min="14349" max="14349" width="11" customWidth="1"/>
    <col min="14350" max="14350" width="10.625" customWidth="1"/>
    <col min="14351" max="14351" width="9.625" customWidth="1"/>
    <col min="14594" max="14594" width="7" customWidth="1"/>
    <col min="14595" max="14595" width="17.75" customWidth="1"/>
    <col min="14596" max="14596" width="10.875" customWidth="1"/>
    <col min="14597" max="14597" width="11.25" customWidth="1"/>
    <col min="14598" max="14598" width="11.5" customWidth="1"/>
    <col min="14599" max="14599" width="11.625" customWidth="1"/>
    <col min="14600" max="14600" width="15.5" customWidth="1"/>
    <col min="14601" max="14601" width="18.75" customWidth="1"/>
    <col min="14602" max="14602" width="15.375" customWidth="1"/>
    <col min="14603" max="14603" width="15.125" customWidth="1"/>
    <col min="14605" max="14605" width="11" customWidth="1"/>
    <col min="14606" max="14606" width="10.625" customWidth="1"/>
    <col min="14607" max="14607" width="9.625" customWidth="1"/>
    <col min="14850" max="14850" width="7" customWidth="1"/>
    <col min="14851" max="14851" width="17.75" customWidth="1"/>
    <col min="14852" max="14852" width="10.875" customWidth="1"/>
    <col min="14853" max="14853" width="11.25" customWidth="1"/>
    <col min="14854" max="14854" width="11.5" customWidth="1"/>
    <col min="14855" max="14855" width="11.625" customWidth="1"/>
    <col min="14856" max="14856" width="15.5" customWidth="1"/>
    <col min="14857" max="14857" width="18.75" customWidth="1"/>
    <col min="14858" max="14858" width="15.375" customWidth="1"/>
    <col min="14859" max="14859" width="15.125" customWidth="1"/>
    <col min="14861" max="14861" width="11" customWidth="1"/>
    <col min="14862" max="14862" width="10.625" customWidth="1"/>
    <col min="14863" max="14863" width="9.625" customWidth="1"/>
    <col min="15106" max="15106" width="7" customWidth="1"/>
    <col min="15107" max="15107" width="17.75" customWidth="1"/>
    <col min="15108" max="15108" width="10.875" customWidth="1"/>
    <col min="15109" max="15109" width="11.25" customWidth="1"/>
    <col min="15110" max="15110" width="11.5" customWidth="1"/>
    <col min="15111" max="15111" width="11.625" customWidth="1"/>
    <col min="15112" max="15112" width="15.5" customWidth="1"/>
    <col min="15113" max="15113" width="18.75" customWidth="1"/>
    <col min="15114" max="15114" width="15.375" customWidth="1"/>
    <col min="15115" max="15115" width="15.125" customWidth="1"/>
    <col min="15117" max="15117" width="11" customWidth="1"/>
    <col min="15118" max="15118" width="10.625" customWidth="1"/>
    <col min="15119" max="15119" width="9.625" customWidth="1"/>
    <col min="15362" max="15362" width="7" customWidth="1"/>
    <col min="15363" max="15363" width="17.75" customWidth="1"/>
    <col min="15364" max="15364" width="10.875" customWidth="1"/>
    <col min="15365" max="15365" width="11.25" customWidth="1"/>
    <col min="15366" max="15366" width="11.5" customWidth="1"/>
    <col min="15367" max="15367" width="11.625" customWidth="1"/>
    <col min="15368" max="15368" width="15.5" customWidth="1"/>
    <col min="15369" max="15369" width="18.75" customWidth="1"/>
    <col min="15370" max="15370" width="15.375" customWidth="1"/>
    <col min="15371" max="15371" width="15.125" customWidth="1"/>
    <col min="15373" max="15373" width="11" customWidth="1"/>
    <col min="15374" max="15374" width="10.625" customWidth="1"/>
    <col min="15375" max="15375" width="9.625" customWidth="1"/>
    <col min="15618" max="15618" width="7" customWidth="1"/>
    <col min="15619" max="15619" width="17.75" customWidth="1"/>
    <col min="15620" max="15620" width="10.875" customWidth="1"/>
    <col min="15621" max="15621" width="11.25" customWidth="1"/>
    <col min="15622" max="15622" width="11.5" customWidth="1"/>
    <col min="15623" max="15623" width="11.625" customWidth="1"/>
    <col min="15624" max="15624" width="15.5" customWidth="1"/>
    <col min="15625" max="15625" width="18.75" customWidth="1"/>
    <col min="15626" max="15626" width="15.375" customWidth="1"/>
    <col min="15627" max="15627" width="15.125" customWidth="1"/>
    <col min="15629" max="15629" width="11" customWidth="1"/>
    <col min="15630" max="15630" width="10.625" customWidth="1"/>
    <col min="15631" max="15631" width="9.625" customWidth="1"/>
    <col min="15874" max="15874" width="7" customWidth="1"/>
    <col min="15875" max="15875" width="17.75" customWidth="1"/>
    <col min="15876" max="15876" width="10.875" customWidth="1"/>
    <col min="15877" max="15877" width="11.25" customWidth="1"/>
    <col min="15878" max="15878" width="11.5" customWidth="1"/>
    <col min="15879" max="15879" width="11.625" customWidth="1"/>
    <col min="15880" max="15880" width="15.5" customWidth="1"/>
    <col min="15881" max="15881" width="18.75" customWidth="1"/>
    <col min="15882" max="15882" width="15.375" customWidth="1"/>
    <col min="15883" max="15883" width="15.125" customWidth="1"/>
    <col min="15885" max="15885" width="11" customWidth="1"/>
    <col min="15886" max="15886" width="10.625" customWidth="1"/>
    <col min="15887" max="15887" width="9.625" customWidth="1"/>
    <col min="16130" max="16130" width="7" customWidth="1"/>
    <col min="16131" max="16131" width="17.75" customWidth="1"/>
    <col min="16132" max="16132" width="10.875" customWidth="1"/>
    <col min="16133" max="16133" width="11.25" customWidth="1"/>
    <col min="16134" max="16134" width="11.5" customWidth="1"/>
    <col min="16135" max="16135" width="11.625" customWidth="1"/>
    <col min="16136" max="16136" width="15.5" customWidth="1"/>
    <col min="16137" max="16137" width="18.75" customWidth="1"/>
    <col min="16138" max="16138" width="15.375" customWidth="1"/>
    <col min="16139" max="16139" width="15.125" customWidth="1"/>
    <col min="16141" max="16141" width="11" customWidth="1"/>
    <col min="16142" max="16142" width="10.625" customWidth="1"/>
    <col min="16143" max="16143" width="9.625" customWidth="1"/>
  </cols>
  <sheetData>
    <row r="1" spans="1:15" ht="20.25" x14ac:dyDescent="0.3">
      <c r="A1" s="279"/>
      <c r="B1" s="279"/>
      <c r="C1" s="279"/>
      <c r="D1" s="279"/>
      <c r="E1" s="279"/>
      <c r="F1" s="279"/>
      <c r="G1" s="280" t="s">
        <v>0</v>
      </c>
      <c r="H1" s="279"/>
      <c r="I1" s="279"/>
      <c r="J1" s="279"/>
      <c r="K1" s="279"/>
      <c r="L1" s="279"/>
      <c r="M1" s="279"/>
      <c r="N1" s="279" t="s">
        <v>1</v>
      </c>
      <c r="O1" s="213"/>
    </row>
    <row r="2" spans="1:15" ht="20.25" x14ac:dyDescent="0.3">
      <c r="A2" s="279"/>
      <c r="B2" s="279"/>
      <c r="C2" s="279"/>
      <c r="D2" s="279"/>
      <c r="E2" s="279"/>
      <c r="F2" s="279"/>
      <c r="G2" s="280"/>
      <c r="H2" s="279"/>
      <c r="I2" s="279"/>
      <c r="J2" s="279"/>
      <c r="K2" s="279"/>
      <c r="L2" s="279"/>
      <c r="M2" s="279"/>
      <c r="N2" s="279"/>
      <c r="O2" s="213"/>
    </row>
    <row r="3" spans="1:15" ht="20.25" x14ac:dyDescent="0.3">
      <c r="A3" s="499" t="s">
        <v>2</v>
      </c>
      <c r="B3" s="499"/>
      <c r="C3" s="280" t="s">
        <v>38</v>
      </c>
      <c r="D3" s="280"/>
      <c r="E3" s="279"/>
      <c r="F3" s="279"/>
      <c r="G3" s="280"/>
      <c r="H3" s="279"/>
      <c r="I3" s="279"/>
      <c r="J3" s="279"/>
      <c r="K3" s="279"/>
      <c r="L3" s="279"/>
      <c r="M3" s="279"/>
      <c r="N3" s="279"/>
      <c r="O3" s="213"/>
    </row>
    <row r="4" spans="1:15" ht="20.25" x14ac:dyDescent="0.3">
      <c r="A4" s="499" t="s">
        <v>3</v>
      </c>
      <c r="B4" s="499"/>
      <c r="C4" s="280" t="s">
        <v>40</v>
      </c>
      <c r="D4" s="280"/>
      <c r="E4" s="279"/>
      <c r="F4" s="279"/>
      <c r="G4" s="280"/>
      <c r="H4" s="279"/>
      <c r="I4" s="279"/>
      <c r="J4" s="279"/>
      <c r="K4" s="279"/>
      <c r="L4" s="279"/>
      <c r="M4" s="279"/>
      <c r="N4" s="279"/>
      <c r="O4" s="213"/>
    </row>
    <row r="5" spans="1:15" ht="20.25" x14ac:dyDescent="0.3">
      <c r="A5" s="499" t="s">
        <v>4</v>
      </c>
      <c r="B5" s="499"/>
      <c r="C5" s="280" t="s">
        <v>41</v>
      </c>
      <c r="D5" s="280"/>
      <c r="E5" s="279"/>
      <c r="F5" s="279"/>
      <c r="G5" s="280"/>
      <c r="H5" s="279"/>
      <c r="I5" s="279"/>
      <c r="J5" s="279"/>
      <c r="K5" s="279"/>
      <c r="L5" s="279"/>
      <c r="M5" s="279"/>
      <c r="N5" s="279"/>
      <c r="O5" s="213"/>
    </row>
    <row r="6" spans="1:15" ht="20.25" x14ac:dyDescent="0.3">
      <c r="A6" s="499" t="s">
        <v>5</v>
      </c>
      <c r="B6" s="499"/>
      <c r="C6" s="280" t="s">
        <v>279</v>
      </c>
      <c r="D6" s="280"/>
      <c r="E6" s="279"/>
      <c r="F6" s="279"/>
      <c r="G6" s="280"/>
      <c r="H6" s="279"/>
      <c r="I6" s="279"/>
      <c r="J6" s="279"/>
      <c r="K6" s="279"/>
      <c r="L6" s="279"/>
      <c r="M6" s="279"/>
      <c r="N6" s="279"/>
      <c r="O6" s="213"/>
    </row>
    <row r="7" spans="1:15" ht="20.25" x14ac:dyDescent="0.3">
      <c r="A7" s="280"/>
      <c r="B7" s="280"/>
      <c r="C7" s="280"/>
      <c r="D7" s="280"/>
      <c r="E7" s="279"/>
      <c r="F7" s="279"/>
      <c r="G7" s="279"/>
      <c r="H7" s="279"/>
      <c r="I7" s="279"/>
      <c r="J7" s="279"/>
      <c r="K7" s="279"/>
      <c r="L7" s="279"/>
      <c r="M7" s="279"/>
      <c r="N7" s="279"/>
      <c r="O7" s="213"/>
    </row>
    <row r="8" spans="1:15" ht="20.25" x14ac:dyDescent="0.3">
      <c r="A8" s="280" t="s">
        <v>6</v>
      </c>
      <c r="B8" s="279"/>
      <c r="C8" s="279"/>
      <c r="D8" s="279"/>
      <c r="E8" s="279"/>
      <c r="F8" s="279"/>
      <c r="G8" s="279"/>
      <c r="H8" s="279"/>
      <c r="I8" s="279"/>
      <c r="J8" s="279"/>
      <c r="K8" s="279"/>
      <c r="L8" s="279"/>
      <c r="M8" s="279"/>
      <c r="N8" s="279"/>
      <c r="O8" s="213"/>
    </row>
    <row r="9" spans="1:15" ht="15.95" customHeight="1" x14ac:dyDescent="0.25">
      <c r="A9" s="259" t="s">
        <v>7</v>
      </c>
      <c r="B9" s="500" t="s">
        <v>8</v>
      </c>
      <c r="C9" s="500"/>
      <c r="D9" s="259" t="s">
        <v>9</v>
      </c>
      <c r="E9" s="259" t="s">
        <v>10</v>
      </c>
      <c r="F9" s="489" t="s">
        <v>11</v>
      </c>
      <c r="G9" s="489" t="s">
        <v>12</v>
      </c>
      <c r="H9" s="259" t="s">
        <v>13</v>
      </c>
      <c r="I9" s="259"/>
      <c r="J9" s="259" t="s">
        <v>15</v>
      </c>
      <c r="K9" s="259" t="s">
        <v>16</v>
      </c>
      <c r="L9" s="494" t="s">
        <v>17</v>
      </c>
      <c r="M9" s="494"/>
      <c r="N9" s="494"/>
      <c r="O9" s="259" t="s">
        <v>18</v>
      </c>
    </row>
    <row r="10" spans="1:15" ht="15.95" customHeight="1" x14ac:dyDescent="0.25">
      <c r="A10" s="490" t="s">
        <v>19</v>
      </c>
      <c r="B10" s="495" t="s">
        <v>20</v>
      </c>
      <c r="C10" s="496"/>
      <c r="D10" s="490" t="s">
        <v>21</v>
      </c>
      <c r="E10" s="490" t="s">
        <v>22</v>
      </c>
      <c r="F10" s="490"/>
      <c r="G10" s="490"/>
      <c r="H10" s="261" t="s">
        <v>23</v>
      </c>
      <c r="I10" s="261" t="s">
        <v>14</v>
      </c>
      <c r="J10" s="261" t="s">
        <v>24</v>
      </c>
      <c r="K10" s="261" t="s">
        <v>25</v>
      </c>
      <c r="L10" s="261" t="s">
        <v>26</v>
      </c>
      <c r="M10" s="261" t="s">
        <v>27</v>
      </c>
      <c r="N10" s="261" t="s">
        <v>28</v>
      </c>
      <c r="O10" s="481" t="s">
        <v>29</v>
      </c>
    </row>
    <row r="11" spans="1:15" ht="15.95" customHeight="1" x14ac:dyDescent="0.25">
      <c r="A11" s="491"/>
      <c r="B11" s="497"/>
      <c r="C11" s="498"/>
      <c r="D11" s="491"/>
      <c r="E11" s="491"/>
      <c r="F11" s="491"/>
      <c r="G11" s="491"/>
      <c r="H11" s="262" t="s">
        <v>30</v>
      </c>
      <c r="I11" s="262"/>
      <c r="J11" s="262" t="s">
        <v>31</v>
      </c>
      <c r="K11" s="262" t="s">
        <v>32</v>
      </c>
      <c r="L11" s="262" t="s">
        <v>33</v>
      </c>
      <c r="M11" s="262" t="s">
        <v>34</v>
      </c>
      <c r="N11" s="262" t="s">
        <v>35</v>
      </c>
      <c r="O11" s="482"/>
    </row>
    <row r="12" spans="1:15" ht="18" x14ac:dyDescent="0.25">
      <c r="A12" s="263">
        <v>1</v>
      </c>
      <c r="B12" s="483">
        <v>2</v>
      </c>
      <c r="C12" s="484"/>
      <c r="D12" s="264">
        <v>3</v>
      </c>
      <c r="E12" s="264">
        <v>4</v>
      </c>
      <c r="F12" s="265">
        <v>5</v>
      </c>
      <c r="G12" s="265">
        <v>6</v>
      </c>
      <c r="H12" s="261">
        <v>7</v>
      </c>
      <c r="I12" s="261">
        <v>8</v>
      </c>
      <c r="J12" s="261">
        <v>9</v>
      </c>
      <c r="K12" s="261">
        <v>10</v>
      </c>
      <c r="L12" s="261">
        <v>11</v>
      </c>
      <c r="M12" s="261">
        <v>12</v>
      </c>
      <c r="N12" s="261">
        <v>13</v>
      </c>
      <c r="O12" s="264">
        <v>14</v>
      </c>
    </row>
    <row r="13" spans="1:15" ht="18" customHeight="1" x14ac:dyDescent="0.25">
      <c r="A13" s="266">
        <v>1</v>
      </c>
      <c r="B13" s="492" t="s">
        <v>94</v>
      </c>
      <c r="C13" s="493"/>
      <c r="D13" s="267" t="s">
        <v>95</v>
      </c>
      <c r="E13" s="268"/>
      <c r="F13" s="268"/>
      <c r="G13" s="266"/>
      <c r="H13" s="266">
        <v>2018</v>
      </c>
      <c r="I13" s="266" t="s">
        <v>96</v>
      </c>
      <c r="J13" s="269" t="s">
        <v>58</v>
      </c>
      <c r="K13" s="270">
        <v>333232</v>
      </c>
      <c r="L13" s="266" t="s">
        <v>26</v>
      </c>
      <c r="M13" s="268"/>
      <c r="N13" s="268"/>
      <c r="O13" s="268"/>
    </row>
    <row r="14" spans="1:15" ht="18" customHeight="1" x14ac:dyDescent="0.25">
      <c r="A14" s="266">
        <f>A13+1</f>
        <v>2</v>
      </c>
      <c r="B14" s="492" t="s">
        <v>94</v>
      </c>
      <c r="C14" s="493"/>
      <c r="D14" s="267" t="s">
        <v>95</v>
      </c>
      <c r="E14" s="268"/>
      <c r="F14" s="268"/>
      <c r="G14" s="266"/>
      <c r="H14" s="266">
        <v>2018</v>
      </c>
      <c r="I14" s="266" t="s">
        <v>96</v>
      </c>
      <c r="J14" s="269" t="s">
        <v>97</v>
      </c>
      <c r="K14" s="270">
        <v>333232</v>
      </c>
      <c r="L14" s="266" t="s">
        <v>26</v>
      </c>
      <c r="M14" s="268"/>
      <c r="N14" s="268"/>
      <c r="O14" s="268"/>
    </row>
    <row r="15" spans="1:15" ht="72" customHeight="1" x14ac:dyDescent="0.25">
      <c r="A15" s="266">
        <f t="shared" ref="A15:A20" si="0">A14+1</f>
        <v>3</v>
      </c>
      <c r="B15" s="487" t="s">
        <v>44</v>
      </c>
      <c r="C15" s="488"/>
      <c r="D15" s="271" t="s">
        <v>79</v>
      </c>
      <c r="E15" s="271"/>
      <c r="F15" s="272"/>
      <c r="G15" s="273" t="s">
        <v>80</v>
      </c>
      <c r="H15" s="273">
        <v>2013</v>
      </c>
      <c r="I15" s="273" t="s">
        <v>45</v>
      </c>
      <c r="J15" s="274" t="s">
        <v>43</v>
      </c>
      <c r="K15" s="275">
        <v>9384350.0399999991</v>
      </c>
      <c r="L15" s="273" t="s">
        <v>26</v>
      </c>
      <c r="M15" s="276"/>
      <c r="N15" s="272"/>
      <c r="O15" s="272"/>
    </row>
    <row r="16" spans="1:15" ht="36" customHeight="1" x14ac:dyDescent="0.25">
      <c r="A16" s="266">
        <f t="shared" si="0"/>
        <v>4</v>
      </c>
      <c r="B16" s="487" t="s">
        <v>52</v>
      </c>
      <c r="C16" s="488"/>
      <c r="D16" s="271" t="s">
        <v>82</v>
      </c>
      <c r="E16" s="272"/>
      <c r="F16" s="272"/>
      <c r="G16" s="273"/>
      <c r="H16" s="273">
        <v>2020</v>
      </c>
      <c r="I16" s="273" t="s">
        <v>53</v>
      </c>
      <c r="J16" s="274" t="s">
        <v>83</v>
      </c>
      <c r="K16" s="275">
        <v>8165750</v>
      </c>
      <c r="L16" s="273" t="s">
        <v>26</v>
      </c>
      <c r="M16" s="272"/>
      <c r="N16" s="272"/>
      <c r="O16" s="272"/>
    </row>
    <row r="17" spans="1:15" ht="36" customHeight="1" x14ac:dyDescent="0.25">
      <c r="A17" s="266">
        <f t="shared" si="0"/>
        <v>5</v>
      </c>
      <c r="B17" s="492" t="s">
        <v>84</v>
      </c>
      <c r="C17" s="493"/>
      <c r="D17" s="267" t="s">
        <v>90</v>
      </c>
      <c r="E17" s="268"/>
      <c r="F17" s="268"/>
      <c r="G17" s="266" t="s">
        <v>91</v>
      </c>
      <c r="H17" s="266">
        <v>2020</v>
      </c>
      <c r="I17" s="266" t="s">
        <v>92</v>
      </c>
      <c r="J17" s="269" t="s">
        <v>93</v>
      </c>
      <c r="K17" s="270">
        <v>2783950</v>
      </c>
      <c r="L17" s="266" t="s">
        <v>26</v>
      </c>
      <c r="M17" s="268"/>
      <c r="N17" s="268"/>
      <c r="O17" s="268"/>
    </row>
    <row r="18" spans="1:15" ht="36" customHeight="1" x14ac:dyDescent="0.25">
      <c r="A18" s="266">
        <f t="shared" si="0"/>
        <v>6</v>
      </c>
      <c r="B18" s="487" t="s">
        <v>46</v>
      </c>
      <c r="C18" s="488"/>
      <c r="D18" s="271" t="s">
        <v>281</v>
      </c>
      <c r="E18" s="272"/>
      <c r="F18" s="272"/>
      <c r="G18" s="273" t="s">
        <v>42</v>
      </c>
      <c r="H18" s="273">
        <v>2014</v>
      </c>
      <c r="I18" s="273" t="s">
        <v>48</v>
      </c>
      <c r="J18" s="274" t="s">
        <v>43</v>
      </c>
      <c r="K18" s="275">
        <v>5780423</v>
      </c>
      <c r="L18" s="273" t="s">
        <v>26</v>
      </c>
      <c r="M18" s="272"/>
      <c r="N18" s="272"/>
      <c r="O18" s="271"/>
    </row>
    <row r="19" spans="1:15" ht="36" customHeight="1" x14ac:dyDescent="0.25">
      <c r="A19" s="266">
        <f t="shared" si="0"/>
        <v>7</v>
      </c>
      <c r="B19" s="487" t="s">
        <v>49</v>
      </c>
      <c r="C19" s="488"/>
      <c r="D19" s="271" t="s">
        <v>280</v>
      </c>
      <c r="E19" s="272"/>
      <c r="F19" s="272"/>
      <c r="G19" s="273" t="s">
        <v>50</v>
      </c>
      <c r="H19" s="273">
        <v>2011</v>
      </c>
      <c r="I19" s="273" t="s">
        <v>51</v>
      </c>
      <c r="J19" s="274" t="s">
        <v>74</v>
      </c>
      <c r="K19" s="275">
        <v>1485000</v>
      </c>
      <c r="L19" s="273" t="s">
        <v>26</v>
      </c>
      <c r="M19" s="272"/>
      <c r="N19" s="272"/>
      <c r="O19" s="272"/>
    </row>
    <row r="20" spans="1:15" ht="72" customHeight="1" x14ac:dyDescent="0.25">
      <c r="A20" s="266">
        <f t="shared" si="0"/>
        <v>8</v>
      </c>
      <c r="B20" s="485" t="s">
        <v>75</v>
      </c>
      <c r="C20" s="486"/>
      <c r="D20" s="271" t="s">
        <v>76</v>
      </c>
      <c r="E20" s="272"/>
      <c r="F20" s="272"/>
      <c r="G20" s="273" t="s">
        <v>42</v>
      </c>
      <c r="H20" s="273">
        <v>2016</v>
      </c>
      <c r="I20" s="273" t="s">
        <v>77</v>
      </c>
      <c r="J20" s="274" t="s">
        <v>43</v>
      </c>
      <c r="K20" s="275">
        <v>2739131</v>
      </c>
      <c r="L20" s="273" t="s">
        <v>26</v>
      </c>
      <c r="M20" s="272"/>
      <c r="N20" s="272"/>
      <c r="O20" s="271"/>
    </row>
    <row r="21" spans="1:15" ht="18" x14ac:dyDescent="0.25">
      <c r="A21" s="214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</row>
    <row r="22" spans="1:15" ht="53.25" customHeight="1" x14ac:dyDescent="0.25">
      <c r="A22" s="214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</row>
    <row r="23" spans="1:15" ht="18" x14ac:dyDescent="0.25">
      <c r="A23" s="214"/>
      <c r="B23" s="214"/>
      <c r="C23" s="277" t="s">
        <v>36</v>
      </c>
      <c r="D23" s="214"/>
      <c r="E23" s="214"/>
      <c r="F23" s="214"/>
      <c r="G23" s="214"/>
      <c r="H23" s="214"/>
      <c r="I23" s="214"/>
      <c r="J23" s="214"/>
      <c r="K23" s="214"/>
      <c r="L23" s="277" t="s">
        <v>579</v>
      </c>
      <c r="M23" s="214"/>
      <c r="N23" s="214"/>
      <c r="O23" s="214"/>
    </row>
    <row r="24" spans="1:15" ht="18" x14ac:dyDescent="0.25">
      <c r="A24" s="214"/>
      <c r="B24" s="214"/>
      <c r="C24" s="5" t="s">
        <v>572</v>
      </c>
      <c r="D24" s="214"/>
      <c r="E24" s="214"/>
      <c r="F24" s="214"/>
      <c r="G24" s="214"/>
      <c r="H24" s="214"/>
      <c r="I24" s="214"/>
      <c r="J24" s="214"/>
      <c r="K24" s="214"/>
      <c r="L24" s="5" t="s">
        <v>580</v>
      </c>
      <c r="M24" s="214"/>
      <c r="N24" s="214"/>
      <c r="O24" s="214"/>
    </row>
    <row r="25" spans="1:15" ht="18" x14ac:dyDescent="0.25">
      <c r="A25" s="214"/>
      <c r="B25" s="214"/>
      <c r="C25" s="5"/>
      <c r="D25" s="214"/>
      <c r="E25" s="214"/>
      <c r="F25" s="214"/>
      <c r="G25" s="214"/>
      <c r="H25" s="214"/>
      <c r="I25" s="214"/>
      <c r="J25" s="214"/>
      <c r="K25" s="214"/>
      <c r="L25" s="5"/>
      <c r="M25" s="214"/>
      <c r="N25" s="214"/>
      <c r="O25" s="214"/>
    </row>
    <row r="26" spans="1:15" ht="18" x14ac:dyDescent="0.25">
      <c r="A26" s="214"/>
      <c r="B26" s="214"/>
      <c r="C26" s="5"/>
      <c r="D26" s="214"/>
      <c r="E26" s="214"/>
      <c r="F26" s="214"/>
      <c r="G26" s="214"/>
      <c r="H26" s="214"/>
      <c r="I26" s="214"/>
      <c r="J26" s="214"/>
      <c r="K26" s="214"/>
      <c r="L26" s="5"/>
      <c r="M26" s="214"/>
      <c r="N26" s="214"/>
      <c r="O26" s="214"/>
    </row>
    <row r="27" spans="1:15" ht="18" x14ac:dyDescent="0.25">
      <c r="A27" s="214"/>
      <c r="B27" s="214"/>
      <c r="C27" s="5"/>
      <c r="D27" s="214"/>
      <c r="E27" s="214"/>
      <c r="F27" s="214"/>
      <c r="G27" s="214"/>
      <c r="H27" s="214"/>
      <c r="I27" s="214"/>
      <c r="J27" s="214"/>
      <c r="K27" s="214"/>
      <c r="L27" s="5"/>
      <c r="M27" s="214"/>
      <c r="N27" s="214"/>
      <c r="O27" s="214"/>
    </row>
    <row r="28" spans="1:15" ht="18" x14ac:dyDescent="0.25">
      <c r="A28" s="214"/>
      <c r="B28" s="214"/>
      <c r="C28" s="6" t="s">
        <v>573</v>
      </c>
      <c r="D28" s="214"/>
      <c r="E28" s="214"/>
      <c r="F28" s="214"/>
      <c r="G28" s="214"/>
      <c r="H28" s="214"/>
      <c r="I28" s="214"/>
      <c r="J28" s="214"/>
      <c r="K28" s="214"/>
      <c r="L28" s="6" t="s">
        <v>576</v>
      </c>
      <c r="M28" s="214"/>
      <c r="N28" s="214"/>
      <c r="O28" s="214"/>
    </row>
    <row r="29" spans="1:15" ht="24" customHeight="1" x14ac:dyDescent="0.25">
      <c r="A29" s="214"/>
      <c r="B29" s="214"/>
      <c r="C29" s="5" t="s">
        <v>39</v>
      </c>
      <c r="D29" s="214"/>
      <c r="E29" s="214"/>
      <c r="F29" s="214"/>
      <c r="G29" s="214"/>
      <c r="H29" s="214"/>
      <c r="I29" s="214"/>
      <c r="J29" s="214"/>
      <c r="K29" s="214"/>
      <c r="L29" s="23" t="str">
        <f>'RUANG KABAN'!M30</f>
        <v>NIP. 19721124 200604 2 005</v>
      </c>
      <c r="M29" s="214"/>
      <c r="N29" s="214"/>
      <c r="O29" s="214"/>
    </row>
    <row r="30" spans="1:15" ht="18" x14ac:dyDescent="0.25">
      <c r="A30" s="214"/>
      <c r="B30" s="214"/>
      <c r="C30" s="23" t="s">
        <v>574</v>
      </c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</row>
    <row r="31" spans="1:15" x14ac:dyDescent="0.25">
      <c r="K31" s="24"/>
    </row>
    <row r="32" spans="1:15" x14ac:dyDescent="0.25">
      <c r="B32" s="21"/>
      <c r="K32" s="25"/>
    </row>
    <row r="33" spans="2:2" x14ac:dyDescent="0.25">
      <c r="B33" s="22"/>
    </row>
    <row r="34" spans="2:2" x14ac:dyDescent="0.25">
      <c r="B34" s="22"/>
    </row>
  </sheetData>
  <mergeCells count="22">
    <mergeCell ref="A3:B3"/>
    <mergeCell ref="A4:B4"/>
    <mergeCell ref="A5:B5"/>
    <mergeCell ref="A6:B6"/>
    <mergeCell ref="B9:C9"/>
    <mergeCell ref="A10:A11"/>
    <mergeCell ref="B10:C11"/>
    <mergeCell ref="D10:D11"/>
    <mergeCell ref="E10:E11"/>
    <mergeCell ref="F9:F11"/>
    <mergeCell ref="O10:O11"/>
    <mergeCell ref="B12:C12"/>
    <mergeCell ref="B20:C20"/>
    <mergeCell ref="B15:C15"/>
    <mergeCell ref="B18:C18"/>
    <mergeCell ref="B19:C19"/>
    <mergeCell ref="G9:G11"/>
    <mergeCell ref="B14:C14"/>
    <mergeCell ref="B16:C16"/>
    <mergeCell ref="B17:C17"/>
    <mergeCell ref="B13:C13"/>
    <mergeCell ref="L9:N9"/>
  </mergeCells>
  <printOptions horizontalCentered="1"/>
  <pageMargins left="0.11811023622047245" right="0.35433070866141736" top="0.19685039370078741" bottom="0.15748031496062992" header="0" footer="0"/>
  <pageSetup paperSize="5" scale="65" orientation="landscape" horizontalDpi="4294967293" verticalDpi="180" r:id="rId1"/>
  <headerFooter alignWithMargins="0">
    <oddFooter>&amp;L&amp;9&amp;F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5"/>
  <sheetViews>
    <sheetView view="pageBreakPreview" topLeftCell="A3" zoomScale="90" zoomScaleNormal="55" zoomScaleSheetLayoutView="90" workbookViewId="0">
      <selection activeCell="Q29" sqref="Q29"/>
    </sheetView>
  </sheetViews>
  <sheetFormatPr defaultRowHeight="15.75" x14ac:dyDescent="0.25"/>
  <cols>
    <col min="1" max="1" width="5.75" customWidth="1"/>
    <col min="2" max="2" width="7" customWidth="1"/>
    <col min="3" max="3" width="23.625" customWidth="1"/>
    <col min="4" max="4" width="19.375" customWidth="1"/>
    <col min="5" max="5" width="10.125" customWidth="1"/>
    <col min="6" max="6" width="9.875" customWidth="1"/>
    <col min="7" max="7" width="11.625" customWidth="1"/>
    <col min="8" max="8" width="18.125" customWidth="1"/>
    <col min="9" max="9" width="20" customWidth="1"/>
    <col min="10" max="10" width="12.875" customWidth="1"/>
    <col min="11" max="11" width="17.25" customWidth="1"/>
    <col min="13" max="13" width="15.125" customWidth="1"/>
    <col min="14" max="14" width="14.25" customWidth="1"/>
    <col min="15" max="15" width="15.5" customWidth="1"/>
    <col min="258" max="258" width="7" customWidth="1"/>
    <col min="259" max="259" width="17.75" customWidth="1"/>
    <col min="260" max="260" width="10.875" customWidth="1"/>
    <col min="261" max="261" width="11.25" customWidth="1"/>
    <col min="262" max="262" width="11.5" customWidth="1"/>
    <col min="263" max="263" width="11.625" customWidth="1"/>
    <col min="264" max="264" width="15.5" customWidth="1"/>
    <col min="265" max="265" width="18.75" customWidth="1"/>
    <col min="266" max="266" width="15.375" customWidth="1"/>
    <col min="267" max="267" width="15.125" customWidth="1"/>
    <col min="269" max="269" width="11" customWidth="1"/>
    <col min="270" max="270" width="10.625" customWidth="1"/>
    <col min="271" max="271" width="9.625" customWidth="1"/>
    <col min="514" max="514" width="7" customWidth="1"/>
    <col min="515" max="515" width="17.75" customWidth="1"/>
    <col min="516" max="516" width="10.875" customWidth="1"/>
    <col min="517" max="517" width="11.25" customWidth="1"/>
    <col min="518" max="518" width="11.5" customWidth="1"/>
    <col min="519" max="519" width="11.625" customWidth="1"/>
    <col min="520" max="520" width="15.5" customWidth="1"/>
    <col min="521" max="521" width="18.75" customWidth="1"/>
    <col min="522" max="522" width="15.375" customWidth="1"/>
    <col min="523" max="523" width="15.125" customWidth="1"/>
    <col min="525" max="525" width="11" customWidth="1"/>
    <col min="526" max="526" width="10.625" customWidth="1"/>
    <col min="527" max="527" width="9.625" customWidth="1"/>
    <col min="770" max="770" width="7" customWidth="1"/>
    <col min="771" max="771" width="17.75" customWidth="1"/>
    <col min="772" max="772" width="10.875" customWidth="1"/>
    <col min="773" max="773" width="11.25" customWidth="1"/>
    <col min="774" max="774" width="11.5" customWidth="1"/>
    <col min="775" max="775" width="11.625" customWidth="1"/>
    <col min="776" max="776" width="15.5" customWidth="1"/>
    <col min="777" max="777" width="18.75" customWidth="1"/>
    <col min="778" max="778" width="15.375" customWidth="1"/>
    <col min="779" max="779" width="15.125" customWidth="1"/>
    <col min="781" max="781" width="11" customWidth="1"/>
    <col min="782" max="782" width="10.625" customWidth="1"/>
    <col min="783" max="783" width="9.625" customWidth="1"/>
    <col min="1026" max="1026" width="7" customWidth="1"/>
    <col min="1027" max="1027" width="17.75" customWidth="1"/>
    <col min="1028" max="1028" width="10.875" customWidth="1"/>
    <col min="1029" max="1029" width="11.25" customWidth="1"/>
    <col min="1030" max="1030" width="11.5" customWidth="1"/>
    <col min="1031" max="1031" width="11.625" customWidth="1"/>
    <col min="1032" max="1032" width="15.5" customWidth="1"/>
    <col min="1033" max="1033" width="18.75" customWidth="1"/>
    <col min="1034" max="1034" width="15.375" customWidth="1"/>
    <col min="1035" max="1035" width="15.125" customWidth="1"/>
    <col min="1037" max="1037" width="11" customWidth="1"/>
    <col min="1038" max="1038" width="10.625" customWidth="1"/>
    <col min="1039" max="1039" width="9.625" customWidth="1"/>
    <col min="1282" max="1282" width="7" customWidth="1"/>
    <col min="1283" max="1283" width="17.75" customWidth="1"/>
    <col min="1284" max="1284" width="10.875" customWidth="1"/>
    <col min="1285" max="1285" width="11.25" customWidth="1"/>
    <col min="1286" max="1286" width="11.5" customWidth="1"/>
    <col min="1287" max="1287" width="11.625" customWidth="1"/>
    <col min="1288" max="1288" width="15.5" customWidth="1"/>
    <col min="1289" max="1289" width="18.75" customWidth="1"/>
    <col min="1290" max="1290" width="15.375" customWidth="1"/>
    <col min="1291" max="1291" width="15.125" customWidth="1"/>
    <col min="1293" max="1293" width="11" customWidth="1"/>
    <col min="1294" max="1294" width="10.625" customWidth="1"/>
    <col min="1295" max="1295" width="9.625" customWidth="1"/>
    <col min="1538" max="1538" width="7" customWidth="1"/>
    <col min="1539" max="1539" width="17.75" customWidth="1"/>
    <col min="1540" max="1540" width="10.875" customWidth="1"/>
    <col min="1541" max="1541" width="11.25" customWidth="1"/>
    <col min="1542" max="1542" width="11.5" customWidth="1"/>
    <col min="1543" max="1543" width="11.625" customWidth="1"/>
    <col min="1544" max="1544" width="15.5" customWidth="1"/>
    <col min="1545" max="1545" width="18.75" customWidth="1"/>
    <col min="1546" max="1546" width="15.375" customWidth="1"/>
    <col min="1547" max="1547" width="15.125" customWidth="1"/>
    <col min="1549" max="1549" width="11" customWidth="1"/>
    <col min="1550" max="1550" width="10.625" customWidth="1"/>
    <col min="1551" max="1551" width="9.625" customWidth="1"/>
    <col min="1794" max="1794" width="7" customWidth="1"/>
    <col min="1795" max="1795" width="17.75" customWidth="1"/>
    <col min="1796" max="1796" width="10.875" customWidth="1"/>
    <col min="1797" max="1797" width="11.25" customWidth="1"/>
    <col min="1798" max="1798" width="11.5" customWidth="1"/>
    <col min="1799" max="1799" width="11.625" customWidth="1"/>
    <col min="1800" max="1800" width="15.5" customWidth="1"/>
    <col min="1801" max="1801" width="18.75" customWidth="1"/>
    <col min="1802" max="1802" width="15.375" customWidth="1"/>
    <col min="1803" max="1803" width="15.125" customWidth="1"/>
    <col min="1805" max="1805" width="11" customWidth="1"/>
    <col min="1806" max="1806" width="10.625" customWidth="1"/>
    <col min="1807" max="1807" width="9.625" customWidth="1"/>
    <col min="2050" max="2050" width="7" customWidth="1"/>
    <col min="2051" max="2051" width="17.75" customWidth="1"/>
    <col min="2052" max="2052" width="10.875" customWidth="1"/>
    <col min="2053" max="2053" width="11.25" customWidth="1"/>
    <col min="2054" max="2054" width="11.5" customWidth="1"/>
    <col min="2055" max="2055" width="11.625" customWidth="1"/>
    <col min="2056" max="2056" width="15.5" customWidth="1"/>
    <col min="2057" max="2057" width="18.75" customWidth="1"/>
    <col min="2058" max="2058" width="15.375" customWidth="1"/>
    <col min="2059" max="2059" width="15.125" customWidth="1"/>
    <col min="2061" max="2061" width="11" customWidth="1"/>
    <col min="2062" max="2062" width="10.625" customWidth="1"/>
    <col min="2063" max="2063" width="9.625" customWidth="1"/>
    <col min="2306" max="2306" width="7" customWidth="1"/>
    <col min="2307" max="2307" width="17.75" customWidth="1"/>
    <col min="2308" max="2308" width="10.875" customWidth="1"/>
    <col min="2309" max="2309" width="11.25" customWidth="1"/>
    <col min="2310" max="2310" width="11.5" customWidth="1"/>
    <col min="2311" max="2311" width="11.625" customWidth="1"/>
    <col min="2312" max="2312" width="15.5" customWidth="1"/>
    <col min="2313" max="2313" width="18.75" customWidth="1"/>
    <col min="2314" max="2314" width="15.375" customWidth="1"/>
    <col min="2315" max="2315" width="15.125" customWidth="1"/>
    <col min="2317" max="2317" width="11" customWidth="1"/>
    <col min="2318" max="2318" width="10.625" customWidth="1"/>
    <col min="2319" max="2319" width="9.625" customWidth="1"/>
    <col min="2562" max="2562" width="7" customWidth="1"/>
    <col min="2563" max="2563" width="17.75" customWidth="1"/>
    <col min="2564" max="2564" width="10.875" customWidth="1"/>
    <col min="2565" max="2565" width="11.25" customWidth="1"/>
    <col min="2566" max="2566" width="11.5" customWidth="1"/>
    <col min="2567" max="2567" width="11.625" customWidth="1"/>
    <col min="2568" max="2568" width="15.5" customWidth="1"/>
    <col min="2569" max="2569" width="18.75" customWidth="1"/>
    <col min="2570" max="2570" width="15.375" customWidth="1"/>
    <col min="2571" max="2571" width="15.125" customWidth="1"/>
    <col min="2573" max="2573" width="11" customWidth="1"/>
    <col min="2574" max="2574" width="10.625" customWidth="1"/>
    <col min="2575" max="2575" width="9.625" customWidth="1"/>
    <col min="2818" max="2818" width="7" customWidth="1"/>
    <col min="2819" max="2819" width="17.75" customWidth="1"/>
    <col min="2820" max="2820" width="10.875" customWidth="1"/>
    <col min="2821" max="2821" width="11.25" customWidth="1"/>
    <col min="2822" max="2822" width="11.5" customWidth="1"/>
    <col min="2823" max="2823" width="11.625" customWidth="1"/>
    <col min="2824" max="2824" width="15.5" customWidth="1"/>
    <col min="2825" max="2825" width="18.75" customWidth="1"/>
    <col min="2826" max="2826" width="15.375" customWidth="1"/>
    <col min="2827" max="2827" width="15.125" customWidth="1"/>
    <col min="2829" max="2829" width="11" customWidth="1"/>
    <col min="2830" max="2830" width="10.625" customWidth="1"/>
    <col min="2831" max="2831" width="9.625" customWidth="1"/>
    <col min="3074" max="3074" width="7" customWidth="1"/>
    <col min="3075" max="3075" width="17.75" customWidth="1"/>
    <col min="3076" max="3076" width="10.875" customWidth="1"/>
    <col min="3077" max="3077" width="11.25" customWidth="1"/>
    <col min="3078" max="3078" width="11.5" customWidth="1"/>
    <col min="3079" max="3079" width="11.625" customWidth="1"/>
    <col min="3080" max="3080" width="15.5" customWidth="1"/>
    <col min="3081" max="3081" width="18.75" customWidth="1"/>
    <col min="3082" max="3082" width="15.375" customWidth="1"/>
    <col min="3083" max="3083" width="15.125" customWidth="1"/>
    <col min="3085" max="3085" width="11" customWidth="1"/>
    <col min="3086" max="3086" width="10.625" customWidth="1"/>
    <col min="3087" max="3087" width="9.625" customWidth="1"/>
    <col min="3330" max="3330" width="7" customWidth="1"/>
    <col min="3331" max="3331" width="17.75" customWidth="1"/>
    <col min="3332" max="3332" width="10.875" customWidth="1"/>
    <col min="3333" max="3333" width="11.25" customWidth="1"/>
    <col min="3334" max="3334" width="11.5" customWidth="1"/>
    <col min="3335" max="3335" width="11.625" customWidth="1"/>
    <col min="3336" max="3336" width="15.5" customWidth="1"/>
    <col min="3337" max="3337" width="18.75" customWidth="1"/>
    <col min="3338" max="3338" width="15.375" customWidth="1"/>
    <col min="3339" max="3339" width="15.125" customWidth="1"/>
    <col min="3341" max="3341" width="11" customWidth="1"/>
    <col min="3342" max="3342" width="10.625" customWidth="1"/>
    <col min="3343" max="3343" width="9.625" customWidth="1"/>
    <col min="3586" max="3586" width="7" customWidth="1"/>
    <col min="3587" max="3587" width="17.75" customWidth="1"/>
    <col min="3588" max="3588" width="10.875" customWidth="1"/>
    <col min="3589" max="3589" width="11.25" customWidth="1"/>
    <col min="3590" max="3590" width="11.5" customWidth="1"/>
    <col min="3591" max="3591" width="11.625" customWidth="1"/>
    <col min="3592" max="3592" width="15.5" customWidth="1"/>
    <col min="3593" max="3593" width="18.75" customWidth="1"/>
    <col min="3594" max="3594" width="15.375" customWidth="1"/>
    <col min="3595" max="3595" width="15.125" customWidth="1"/>
    <col min="3597" max="3597" width="11" customWidth="1"/>
    <col min="3598" max="3598" width="10.625" customWidth="1"/>
    <col min="3599" max="3599" width="9.625" customWidth="1"/>
    <col min="3842" max="3842" width="7" customWidth="1"/>
    <col min="3843" max="3843" width="17.75" customWidth="1"/>
    <col min="3844" max="3844" width="10.875" customWidth="1"/>
    <col min="3845" max="3845" width="11.25" customWidth="1"/>
    <col min="3846" max="3846" width="11.5" customWidth="1"/>
    <col min="3847" max="3847" width="11.625" customWidth="1"/>
    <col min="3848" max="3848" width="15.5" customWidth="1"/>
    <col min="3849" max="3849" width="18.75" customWidth="1"/>
    <col min="3850" max="3850" width="15.375" customWidth="1"/>
    <col min="3851" max="3851" width="15.125" customWidth="1"/>
    <col min="3853" max="3853" width="11" customWidth="1"/>
    <col min="3854" max="3854" width="10.625" customWidth="1"/>
    <col min="3855" max="3855" width="9.625" customWidth="1"/>
    <col min="4098" max="4098" width="7" customWidth="1"/>
    <col min="4099" max="4099" width="17.75" customWidth="1"/>
    <col min="4100" max="4100" width="10.875" customWidth="1"/>
    <col min="4101" max="4101" width="11.25" customWidth="1"/>
    <col min="4102" max="4102" width="11.5" customWidth="1"/>
    <col min="4103" max="4103" width="11.625" customWidth="1"/>
    <col min="4104" max="4104" width="15.5" customWidth="1"/>
    <col min="4105" max="4105" width="18.75" customWidth="1"/>
    <col min="4106" max="4106" width="15.375" customWidth="1"/>
    <col min="4107" max="4107" width="15.125" customWidth="1"/>
    <col min="4109" max="4109" width="11" customWidth="1"/>
    <col min="4110" max="4110" width="10.625" customWidth="1"/>
    <col min="4111" max="4111" width="9.625" customWidth="1"/>
    <col min="4354" max="4354" width="7" customWidth="1"/>
    <col min="4355" max="4355" width="17.75" customWidth="1"/>
    <col min="4356" max="4356" width="10.875" customWidth="1"/>
    <col min="4357" max="4357" width="11.25" customWidth="1"/>
    <col min="4358" max="4358" width="11.5" customWidth="1"/>
    <col min="4359" max="4359" width="11.625" customWidth="1"/>
    <col min="4360" max="4360" width="15.5" customWidth="1"/>
    <col min="4361" max="4361" width="18.75" customWidth="1"/>
    <col min="4362" max="4362" width="15.375" customWidth="1"/>
    <col min="4363" max="4363" width="15.125" customWidth="1"/>
    <col min="4365" max="4365" width="11" customWidth="1"/>
    <col min="4366" max="4366" width="10.625" customWidth="1"/>
    <col min="4367" max="4367" width="9.625" customWidth="1"/>
    <col min="4610" max="4610" width="7" customWidth="1"/>
    <col min="4611" max="4611" width="17.75" customWidth="1"/>
    <col min="4612" max="4612" width="10.875" customWidth="1"/>
    <col min="4613" max="4613" width="11.25" customWidth="1"/>
    <col min="4614" max="4614" width="11.5" customWidth="1"/>
    <col min="4615" max="4615" width="11.625" customWidth="1"/>
    <col min="4616" max="4616" width="15.5" customWidth="1"/>
    <col min="4617" max="4617" width="18.75" customWidth="1"/>
    <col min="4618" max="4618" width="15.375" customWidth="1"/>
    <col min="4619" max="4619" width="15.125" customWidth="1"/>
    <col min="4621" max="4621" width="11" customWidth="1"/>
    <col min="4622" max="4622" width="10.625" customWidth="1"/>
    <col min="4623" max="4623" width="9.625" customWidth="1"/>
    <col min="4866" max="4866" width="7" customWidth="1"/>
    <col min="4867" max="4867" width="17.75" customWidth="1"/>
    <col min="4868" max="4868" width="10.875" customWidth="1"/>
    <col min="4869" max="4869" width="11.25" customWidth="1"/>
    <col min="4870" max="4870" width="11.5" customWidth="1"/>
    <col min="4871" max="4871" width="11.625" customWidth="1"/>
    <col min="4872" max="4872" width="15.5" customWidth="1"/>
    <col min="4873" max="4873" width="18.75" customWidth="1"/>
    <col min="4874" max="4874" width="15.375" customWidth="1"/>
    <col min="4875" max="4875" width="15.125" customWidth="1"/>
    <col min="4877" max="4877" width="11" customWidth="1"/>
    <col min="4878" max="4878" width="10.625" customWidth="1"/>
    <col min="4879" max="4879" width="9.625" customWidth="1"/>
    <col min="5122" max="5122" width="7" customWidth="1"/>
    <col min="5123" max="5123" width="17.75" customWidth="1"/>
    <col min="5124" max="5124" width="10.875" customWidth="1"/>
    <col min="5125" max="5125" width="11.25" customWidth="1"/>
    <col min="5126" max="5126" width="11.5" customWidth="1"/>
    <col min="5127" max="5127" width="11.625" customWidth="1"/>
    <col min="5128" max="5128" width="15.5" customWidth="1"/>
    <col min="5129" max="5129" width="18.75" customWidth="1"/>
    <col min="5130" max="5130" width="15.375" customWidth="1"/>
    <col min="5131" max="5131" width="15.125" customWidth="1"/>
    <col min="5133" max="5133" width="11" customWidth="1"/>
    <col min="5134" max="5134" width="10.625" customWidth="1"/>
    <col min="5135" max="5135" width="9.625" customWidth="1"/>
    <col min="5378" max="5378" width="7" customWidth="1"/>
    <col min="5379" max="5379" width="17.75" customWidth="1"/>
    <col min="5380" max="5380" width="10.875" customWidth="1"/>
    <col min="5381" max="5381" width="11.25" customWidth="1"/>
    <col min="5382" max="5382" width="11.5" customWidth="1"/>
    <col min="5383" max="5383" width="11.625" customWidth="1"/>
    <col min="5384" max="5384" width="15.5" customWidth="1"/>
    <col min="5385" max="5385" width="18.75" customWidth="1"/>
    <col min="5386" max="5386" width="15.375" customWidth="1"/>
    <col min="5387" max="5387" width="15.125" customWidth="1"/>
    <col min="5389" max="5389" width="11" customWidth="1"/>
    <col min="5390" max="5390" width="10.625" customWidth="1"/>
    <col min="5391" max="5391" width="9.625" customWidth="1"/>
    <col min="5634" max="5634" width="7" customWidth="1"/>
    <col min="5635" max="5635" width="17.75" customWidth="1"/>
    <col min="5636" max="5636" width="10.875" customWidth="1"/>
    <col min="5637" max="5637" width="11.25" customWidth="1"/>
    <col min="5638" max="5638" width="11.5" customWidth="1"/>
    <col min="5639" max="5639" width="11.625" customWidth="1"/>
    <col min="5640" max="5640" width="15.5" customWidth="1"/>
    <col min="5641" max="5641" width="18.75" customWidth="1"/>
    <col min="5642" max="5642" width="15.375" customWidth="1"/>
    <col min="5643" max="5643" width="15.125" customWidth="1"/>
    <col min="5645" max="5645" width="11" customWidth="1"/>
    <col min="5646" max="5646" width="10.625" customWidth="1"/>
    <col min="5647" max="5647" width="9.625" customWidth="1"/>
    <col min="5890" max="5890" width="7" customWidth="1"/>
    <col min="5891" max="5891" width="17.75" customWidth="1"/>
    <col min="5892" max="5892" width="10.875" customWidth="1"/>
    <col min="5893" max="5893" width="11.25" customWidth="1"/>
    <col min="5894" max="5894" width="11.5" customWidth="1"/>
    <col min="5895" max="5895" width="11.625" customWidth="1"/>
    <col min="5896" max="5896" width="15.5" customWidth="1"/>
    <col min="5897" max="5897" width="18.75" customWidth="1"/>
    <col min="5898" max="5898" width="15.375" customWidth="1"/>
    <col min="5899" max="5899" width="15.125" customWidth="1"/>
    <col min="5901" max="5901" width="11" customWidth="1"/>
    <col min="5902" max="5902" width="10.625" customWidth="1"/>
    <col min="5903" max="5903" width="9.625" customWidth="1"/>
    <col min="6146" max="6146" width="7" customWidth="1"/>
    <col min="6147" max="6147" width="17.75" customWidth="1"/>
    <col min="6148" max="6148" width="10.875" customWidth="1"/>
    <col min="6149" max="6149" width="11.25" customWidth="1"/>
    <col min="6150" max="6150" width="11.5" customWidth="1"/>
    <col min="6151" max="6151" width="11.625" customWidth="1"/>
    <col min="6152" max="6152" width="15.5" customWidth="1"/>
    <col min="6153" max="6153" width="18.75" customWidth="1"/>
    <col min="6154" max="6154" width="15.375" customWidth="1"/>
    <col min="6155" max="6155" width="15.125" customWidth="1"/>
    <col min="6157" max="6157" width="11" customWidth="1"/>
    <col min="6158" max="6158" width="10.625" customWidth="1"/>
    <col min="6159" max="6159" width="9.625" customWidth="1"/>
    <col min="6402" max="6402" width="7" customWidth="1"/>
    <col min="6403" max="6403" width="17.75" customWidth="1"/>
    <col min="6404" max="6404" width="10.875" customWidth="1"/>
    <col min="6405" max="6405" width="11.25" customWidth="1"/>
    <col min="6406" max="6406" width="11.5" customWidth="1"/>
    <col min="6407" max="6407" width="11.625" customWidth="1"/>
    <col min="6408" max="6408" width="15.5" customWidth="1"/>
    <col min="6409" max="6409" width="18.75" customWidth="1"/>
    <col min="6410" max="6410" width="15.375" customWidth="1"/>
    <col min="6411" max="6411" width="15.125" customWidth="1"/>
    <col min="6413" max="6413" width="11" customWidth="1"/>
    <col min="6414" max="6414" width="10.625" customWidth="1"/>
    <col min="6415" max="6415" width="9.625" customWidth="1"/>
    <col min="6658" max="6658" width="7" customWidth="1"/>
    <col min="6659" max="6659" width="17.75" customWidth="1"/>
    <col min="6660" max="6660" width="10.875" customWidth="1"/>
    <col min="6661" max="6661" width="11.25" customWidth="1"/>
    <col min="6662" max="6662" width="11.5" customWidth="1"/>
    <col min="6663" max="6663" width="11.625" customWidth="1"/>
    <col min="6664" max="6664" width="15.5" customWidth="1"/>
    <col min="6665" max="6665" width="18.75" customWidth="1"/>
    <col min="6666" max="6666" width="15.375" customWidth="1"/>
    <col min="6667" max="6667" width="15.125" customWidth="1"/>
    <col min="6669" max="6669" width="11" customWidth="1"/>
    <col min="6670" max="6670" width="10.625" customWidth="1"/>
    <col min="6671" max="6671" width="9.625" customWidth="1"/>
    <col min="6914" max="6914" width="7" customWidth="1"/>
    <col min="6915" max="6915" width="17.75" customWidth="1"/>
    <col min="6916" max="6916" width="10.875" customWidth="1"/>
    <col min="6917" max="6917" width="11.25" customWidth="1"/>
    <col min="6918" max="6918" width="11.5" customWidth="1"/>
    <col min="6919" max="6919" width="11.625" customWidth="1"/>
    <col min="6920" max="6920" width="15.5" customWidth="1"/>
    <col min="6921" max="6921" width="18.75" customWidth="1"/>
    <col min="6922" max="6922" width="15.375" customWidth="1"/>
    <col min="6923" max="6923" width="15.125" customWidth="1"/>
    <col min="6925" max="6925" width="11" customWidth="1"/>
    <col min="6926" max="6926" width="10.625" customWidth="1"/>
    <col min="6927" max="6927" width="9.625" customWidth="1"/>
    <col min="7170" max="7170" width="7" customWidth="1"/>
    <col min="7171" max="7171" width="17.75" customWidth="1"/>
    <col min="7172" max="7172" width="10.875" customWidth="1"/>
    <col min="7173" max="7173" width="11.25" customWidth="1"/>
    <col min="7174" max="7174" width="11.5" customWidth="1"/>
    <col min="7175" max="7175" width="11.625" customWidth="1"/>
    <col min="7176" max="7176" width="15.5" customWidth="1"/>
    <col min="7177" max="7177" width="18.75" customWidth="1"/>
    <col min="7178" max="7178" width="15.375" customWidth="1"/>
    <col min="7179" max="7179" width="15.125" customWidth="1"/>
    <col min="7181" max="7181" width="11" customWidth="1"/>
    <col min="7182" max="7182" width="10.625" customWidth="1"/>
    <col min="7183" max="7183" width="9.625" customWidth="1"/>
    <col min="7426" max="7426" width="7" customWidth="1"/>
    <col min="7427" max="7427" width="17.75" customWidth="1"/>
    <col min="7428" max="7428" width="10.875" customWidth="1"/>
    <col min="7429" max="7429" width="11.25" customWidth="1"/>
    <col min="7430" max="7430" width="11.5" customWidth="1"/>
    <col min="7431" max="7431" width="11.625" customWidth="1"/>
    <col min="7432" max="7432" width="15.5" customWidth="1"/>
    <col min="7433" max="7433" width="18.75" customWidth="1"/>
    <col min="7434" max="7434" width="15.375" customWidth="1"/>
    <col min="7435" max="7435" width="15.125" customWidth="1"/>
    <col min="7437" max="7437" width="11" customWidth="1"/>
    <col min="7438" max="7438" width="10.625" customWidth="1"/>
    <col min="7439" max="7439" width="9.625" customWidth="1"/>
    <col min="7682" max="7682" width="7" customWidth="1"/>
    <col min="7683" max="7683" width="17.75" customWidth="1"/>
    <col min="7684" max="7684" width="10.875" customWidth="1"/>
    <col min="7685" max="7685" width="11.25" customWidth="1"/>
    <col min="7686" max="7686" width="11.5" customWidth="1"/>
    <col min="7687" max="7687" width="11.625" customWidth="1"/>
    <col min="7688" max="7688" width="15.5" customWidth="1"/>
    <col min="7689" max="7689" width="18.75" customWidth="1"/>
    <col min="7690" max="7690" width="15.375" customWidth="1"/>
    <col min="7691" max="7691" width="15.125" customWidth="1"/>
    <col min="7693" max="7693" width="11" customWidth="1"/>
    <col min="7694" max="7694" width="10.625" customWidth="1"/>
    <col min="7695" max="7695" width="9.625" customWidth="1"/>
    <col min="7938" max="7938" width="7" customWidth="1"/>
    <col min="7939" max="7939" width="17.75" customWidth="1"/>
    <col min="7940" max="7940" width="10.875" customWidth="1"/>
    <col min="7941" max="7941" width="11.25" customWidth="1"/>
    <col min="7942" max="7942" width="11.5" customWidth="1"/>
    <col min="7943" max="7943" width="11.625" customWidth="1"/>
    <col min="7944" max="7944" width="15.5" customWidth="1"/>
    <col min="7945" max="7945" width="18.75" customWidth="1"/>
    <col min="7946" max="7946" width="15.375" customWidth="1"/>
    <col min="7947" max="7947" width="15.125" customWidth="1"/>
    <col min="7949" max="7949" width="11" customWidth="1"/>
    <col min="7950" max="7950" width="10.625" customWidth="1"/>
    <col min="7951" max="7951" width="9.625" customWidth="1"/>
    <col min="8194" max="8194" width="7" customWidth="1"/>
    <col min="8195" max="8195" width="17.75" customWidth="1"/>
    <col min="8196" max="8196" width="10.875" customWidth="1"/>
    <col min="8197" max="8197" width="11.25" customWidth="1"/>
    <col min="8198" max="8198" width="11.5" customWidth="1"/>
    <col min="8199" max="8199" width="11.625" customWidth="1"/>
    <col min="8200" max="8200" width="15.5" customWidth="1"/>
    <col min="8201" max="8201" width="18.75" customWidth="1"/>
    <col min="8202" max="8202" width="15.375" customWidth="1"/>
    <col min="8203" max="8203" width="15.125" customWidth="1"/>
    <col min="8205" max="8205" width="11" customWidth="1"/>
    <col min="8206" max="8206" width="10.625" customWidth="1"/>
    <col min="8207" max="8207" width="9.625" customWidth="1"/>
    <col min="8450" max="8450" width="7" customWidth="1"/>
    <col min="8451" max="8451" width="17.75" customWidth="1"/>
    <col min="8452" max="8452" width="10.875" customWidth="1"/>
    <col min="8453" max="8453" width="11.25" customWidth="1"/>
    <col min="8454" max="8454" width="11.5" customWidth="1"/>
    <col min="8455" max="8455" width="11.625" customWidth="1"/>
    <col min="8456" max="8456" width="15.5" customWidth="1"/>
    <col min="8457" max="8457" width="18.75" customWidth="1"/>
    <col min="8458" max="8458" width="15.375" customWidth="1"/>
    <col min="8459" max="8459" width="15.125" customWidth="1"/>
    <col min="8461" max="8461" width="11" customWidth="1"/>
    <col min="8462" max="8462" width="10.625" customWidth="1"/>
    <col min="8463" max="8463" width="9.625" customWidth="1"/>
    <col min="8706" max="8706" width="7" customWidth="1"/>
    <col min="8707" max="8707" width="17.75" customWidth="1"/>
    <col min="8708" max="8708" width="10.875" customWidth="1"/>
    <col min="8709" max="8709" width="11.25" customWidth="1"/>
    <col min="8710" max="8710" width="11.5" customWidth="1"/>
    <col min="8711" max="8711" width="11.625" customWidth="1"/>
    <col min="8712" max="8712" width="15.5" customWidth="1"/>
    <col min="8713" max="8713" width="18.75" customWidth="1"/>
    <col min="8714" max="8714" width="15.375" customWidth="1"/>
    <col min="8715" max="8715" width="15.125" customWidth="1"/>
    <col min="8717" max="8717" width="11" customWidth="1"/>
    <col min="8718" max="8718" width="10.625" customWidth="1"/>
    <col min="8719" max="8719" width="9.625" customWidth="1"/>
    <col min="8962" max="8962" width="7" customWidth="1"/>
    <col min="8963" max="8963" width="17.75" customWidth="1"/>
    <col min="8964" max="8964" width="10.875" customWidth="1"/>
    <col min="8965" max="8965" width="11.25" customWidth="1"/>
    <col min="8966" max="8966" width="11.5" customWidth="1"/>
    <col min="8967" max="8967" width="11.625" customWidth="1"/>
    <col min="8968" max="8968" width="15.5" customWidth="1"/>
    <col min="8969" max="8969" width="18.75" customWidth="1"/>
    <col min="8970" max="8970" width="15.375" customWidth="1"/>
    <col min="8971" max="8971" width="15.125" customWidth="1"/>
    <col min="8973" max="8973" width="11" customWidth="1"/>
    <col min="8974" max="8974" width="10.625" customWidth="1"/>
    <col min="8975" max="8975" width="9.625" customWidth="1"/>
    <col min="9218" max="9218" width="7" customWidth="1"/>
    <col min="9219" max="9219" width="17.75" customWidth="1"/>
    <col min="9220" max="9220" width="10.875" customWidth="1"/>
    <col min="9221" max="9221" width="11.25" customWidth="1"/>
    <col min="9222" max="9222" width="11.5" customWidth="1"/>
    <col min="9223" max="9223" width="11.625" customWidth="1"/>
    <col min="9224" max="9224" width="15.5" customWidth="1"/>
    <col min="9225" max="9225" width="18.75" customWidth="1"/>
    <col min="9226" max="9226" width="15.375" customWidth="1"/>
    <col min="9227" max="9227" width="15.125" customWidth="1"/>
    <col min="9229" max="9229" width="11" customWidth="1"/>
    <col min="9230" max="9230" width="10.625" customWidth="1"/>
    <col min="9231" max="9231" width="9.625" customWidth="1"/>
    <col min="9474" max="9474" width="7" customWidth="1"/>
    <col min="9475" max="9475" width="17.75" customWidth="1"/>
    <col min="9476" max="9476" width="10.875" customWidth="1"/>
    <col min="9477" max="9477" width="11.25" customWidth="1"/>
    <col min="9478" max="9478" width="11.5" customWidth="1"/>
    <col min="9479" max="9479" width="11.625" customWidth="1"/>
    <col min="9480" max="9480" width="15.5" customWidth="1"/>
    <col min="9481" max="9481" width="18.75" customWidth="1"/>
    <col min="9482" max="9482" width="15.375" customWidth="1"/>
    <col min="9483" max="9483" width="15.125" customWidth="1"/>
    <col min="9485" max="9485" width="11" customWidth="1"/>
    <col min="9486" max="9486" width="10.625" customWidth="1"/>
    <col min="9487" max="9487" width="9.625" customWidth="1"/>
    <col min="9730" max="9730" width="7" customWidth="1"/>
    <col min="9731" max="9731" width="17.75" customWidth="1"/>
    <col min="9732" max="9732" width="10.875" customWidth="1"/>
    <col min="9733" max="9733" width="11.25" customWidth="1"/>
    <col min="9734" max="9734" width="11.5" customWidth="1"/>
    <col min="9735" max="9735" width="11.625" customWidth="1"/>
    <col min="9736" max="9736" width="15.5" customWidth="1"/>
    <col min="9737" max="9737" width="18.75" customWidth="1"/>
    <col min="9738" max="9738" width="15.375" customWidth="1"/>
    <col min="9739" max="9739" width="15.125" customWidth="1"/>
    <col min="9741" max="9741" width="11" customWidth="1"/>
    <col min="9742" max="9742" width="10.625" customWidth="1"/>
    <col min="9743" max="9743" width="9.625" customWidth="1"/>
    <col min="9986" max="9986" width="7" customWidth="1"/>
    <col min="9987" max="9987" width="17.75" customWidth="1"/>
    <col min="9988" max="9988" width="10.875" customWidth="1"/>
    <col min="9989" max="9989" width="11.25" customWidth="1"/>
    <col min="9990" max="9990" width="11.5" customWidth="1"/>
    <col min="9991" max="9991" width="11.625" customWidth="1"/>
    <col min="9992" max="9992" width="15.5" customWidth="1"/>
    <col min="9993" max="9993" width="18.75" customWidth="1"/>
    <col min="9994" max="9994" width="15.375" customWidth="1"/>
    <col min="9995" max="9995" width="15.125" customWidth="1"/>
    <col min="9997" max="9997" width="11" customWidth="1"/>
    <col min="9998" max="9998" width="10.625" customWidth="1"/>
    <col min="9999" max="9999" width="9.625" customWidth="1"/>
    <col min="10242" max="10242" width="7" customWidth="1"/>
    <col min="10243" max="10243" width="17.75" customWidth="1"/>
    <col min="10244" max="10244" width="10.875" customWidth="1"/>
    <col min="10245" max="10245" width="11.25" customWidth="1"/>
    <col min="10246" max="10246" width="11.5" customWidth="1"/>
    <col min="10247" max="10247" width="11.625" customWidth="1"/>
    <col min="10248" max="10248" width="15.5" customWidth="1"/>
    <col min="10249" max="10249" width="18.75" customWidth="1"/>
    <col min="10250" max="10250" width="15.375" customWidth="1"/>
    <col min="10251" max="10251" width="15.125" customWidth="1"/>
    <col min="10253" max="10253" width="11" customWidth="1"/>
    <col min="10254" max="10254" width="10.625" customWidth="1"/>
    <col min="10255" max="10255" width="9.625" customWidth="1"/>
    <col min="10498" max="10498" width="7" customWidth="1"/>
    <col min="10499" max="10499" width="17.75" customWidth="1"/>
    <col min="10500" max="10500" width="10.875" customWidth="1"/>
    <col min="10501" max="10501" width="11.25" customWidth="1"/>
    <col min="10502" max="10502" width="11.5" customWidth="1"/>
    <col min="10503" max="10503" width="11.625" customWidth="1"/>
    <col min="10504" max="10504" width="15.5" customWidth="1"/>
    <col min="10505" max="10505" width="18.75" customWidth="1"/>
    <col min="10506" max="10506" width="15.375" customWidth="1"/>
    <col min="10507" max="10507" width="15.125" customWidth="1"/>
    <col min="10509" max="10509" width="11" customWidth="1"/>
    <col min="10510" max="10510" width="10.625" customWidth="1"/>
    <col min="10511" max="10511" width="9.625" customWidth="1"/>
    <col min="10754" max="10754" width="7" customWidth="1"/>
    <col min="10755" max="10755" width="17.75" customWidth="1"/>
    <col min="10756" max="10756" width="10.875" customWidth="1"/>
    <col min="10757" max="10757" width="11.25" customWidth="1"/>
    <col min="10758" max="10758" width="11.5" customWidth="1"/>
    <col min="10759" max="10759" width="11.625" customWidth="1"/>
    <col min="10760" max="10760" width="15.5" customWidth="1"/>
    <col min="10761" max="10761" width="18.75" customWidth="1"/>
    <col min="10762" max="10762" width="15.375" customWidth="1"/>
    <col min="10763" max="10763" width="15.125" customWidth="1"/>
    <col min="10765" max="10765" width="11" customWidth="1"/>
    <col min="10766" max="10766" width="10.625" customWidth="1"/>
    <col min="10767" max="10767" width="9.625" customWidth="1"/>
    <col min="11010" max="11010" width="7" customWidth="1"/>
    <col min="11011" max="11011" width="17.75" customWidth="1"/>
    <col min="11012" max="11012" width="10.875" customWidth="1"/>
    <col min="11013" max="11013" width="11.25" customWidth="1"/>
    <col min="11014" max="11014" width="11.5" customWidth="1"/>
    <col min="11015" max="11015" width="11.625" customWidth="1"/>
    <col min="11016" max="11016" width="15.5" customWidth="1"/>
    <col min="11017" max="11017" width="18.75" customWidth="1"/>
    <col min="11018" max="11018" width="15.375" customWidth="1"/>
    <col min="11019" max="11019" width="15.125" customWidth="1"/>
    <col min="11021" max="11021" width="11" customWidth="1"/>
    <col min="11022" max="11022" width="10.625" customWidth="1"/>
    <col min="11023" max="11023" width="9.625" customWidth="1"/>
    <col min="11266" max="11266" width="7" customWidth="1"/>
    <col min="11267" max="11267" width="17.75" customWidth="1"/>
    <col min="11268" max="11268" width="10.875" customWidth="1"/>
    <col min="11269" max="11269" width="11.25" customWidth="1"/>
    <col min="11270" max="11270" width="11.5" customWidth="1"/>
    <col min="11271" max="11271" width="11.625" customWidth="1"/>
    <col min="11272" max="11272" width="15.5" customWidth="1"/>
    <col min="11273" max="11273" width="18.75" customWidth="1"/>
    <col min="11274" max="11274" width="15.375" customWidth="1"/>
    <col min="11275" max="11275" width="15.125" customWidth="1"/>
    <col min="11277" max="11277" width="11" customWidth="1"/>
    <col min="11278" max="11278" width="10.625" customWidth="1"/>
    <col min="11279" max="11279" width="9.625" customWidth="1"/>
    <col min="11522" max="11522" width="7" customWidth="1"/>
    <col min="11523" max="11523" width="17.75" customWidth="1"/>
    <col min="11524" max="11524" width="10.875" customWidth="1"/>
    <col min="11525" max="11525" width="11.25" customWidth="1"/>
    <col min="11526" max="11526" width="11.5" customWidth="1"/>
    <col min="11527" max="11527" width="11.625" customWidth="1"/>
    <col min="11528" max="11528" width="15.5" customWidth="1"/>
    <col min="11529" max="11529" width="18.75" customWidth="1"/>
    <col min="11530" max="11530" width="15.375" customWidth="1"/>
    <col min="11531" max="11531" width="15.125" customWidth="1"/>
    <col min="11533" max="11533" width="11" customWidth="1"/>
    <col min="11534" max="11534" width="10.625" customWidth="1"/>
    <col min="11535" max="11535" width="9.625" customWidth="1"/>
    <col min="11778" max="11778" width="7" customWidth="1"/>
    <col min="11779" max="11779" width="17.75" customWidth="1"/>
    <col min="11780" max="11780" width="10.875" customWidth="1"/>
    <col min="11781" max="11781" width="11.25" customWidth="1"/>
    <col min="11782" max="11782" width="11.5" customWidth="1"/>
    <col min="11783" max="11783" width="11.625" customWidth="1"/>
    <col min="11784" max="11784" width="15.5" customWidth="1"/>
    <col min="11785" max="11785" width="18.75" customWidth="1"/>
    <col min="11786" max="11786" width="15.375" customWidth="1"/>
    <col min="11787" max="11787" width="15.125" customWidth="1"/>
    <col min="11789" max="11789" width="11" customWidth="1"/>
    <col min="11790" max="11790" width="10.625" customWidth="1"/>
    <col min="11791" max="11791" width="9.625" customWidth="1"/>
    <col min="12034" max="12034" width="7" customWidth="1"/>
    <col min="12035" max="12035" width="17.75" customWidth="1"/>
    <col min="12036" max="12036" width="10.875" customWidth="1"/>
    <col min="12037" max="12037" width="11.25" customWidth="1"/>
    <col min="12038" max="12038" width="11.5" customWidth="1"/>
    <col min="12039" max="12039" width="11.625" customWidth="1"/>
    <col min="12040" max="12040" width="15.5" customWidth="1"/>
    <col min="12041" max="12041" width="18.75" customWidth="1"/>
    <col min="12042" max="12042" width="15.375" customWidth="1"/>
    <col min="12043" max="12043" width="15.125" customWidth="1"/>
    <col min="12045" max="12045" width="11" customWidth="1"/>
    <col min="12046" max="12046" width="10.625" customWidth="1"/>
    <col min="12047" max="12047" width="9.625" customWidth="1"/>
    <col min="12290" max="12290" width="7" customWidth="1"/>
    <col min="12291" max="12291" width="17.75" customWidth="1"/>
    <col min="12292" max="12292" width="10.875" customWidth="1"/>
    <col min="12293" max="12293" width="11.25" customWidth="1"/>
    <col min="12294" max="12294" width="11.5" customWidth="1"/>
    <col min="12295" max="12295" width="11.625" customWidth="1"/>
    <col min="12296" max="12296" width="15.5" customWidth="1"/>
    <col min="12297" max="12297" width="18.75" customWidth="1"/>
    <col min="12298" max="12298" width="15.375" customWidth="1"/>
    <col min="12299" max="12299" width="15.125" customWidth="1"/>
    <col min="12301" max="12301" width="11" customWidth="1"/>
    <col min="12302" max="12302" width="10.625" customWidth="1"/>
    <col min="12303" max="12303" width="9.625" customWidth="1"/>
    <col min="12546" max="12546" width="7" customWidth="1"/>
    <col min="12547" max="12547" width="17.75" customWidth="1"/>
    <col min="12548" max="12548" width="10.875" customWidth="1"/>
    <col min="12549" max="12549" width="11.25" customWidth="1"/>
    <col min="12550" max="12550" width="11.5" customWidth="1"/>
    <col min="12551" max="12551" width="11.625" customWidth="1"/>
    <col min="12552" max="12552" width="15.5" customWidth="1"/>
    <col min="12553" max="12553" width="18.75" customWidth="1"/>
    <col min="12554" max="12554" width="15.375" customWidth="1"/>
    <col min="12555" max="12555" width="15.125" customWidth="1"/>
    <col min="12557" max="12557" width="11" customWidth="1"/>
    <col min="12558" max="12558" width="10.625" customWidth="1"/>
    <col min="12559" max="12559" width="9.625" customWidth="1"/>
    <col min="12802" max="12802" width="7" customWidth="1"/>
    <col min="12803" max="12803" width="17.75" customWidth="1"/>
    <col min="12804" max="12804" width="10.875" customWidth="1"/>
    <col min="12805" max="12805" width="11.25" customWidth="1"/>
    <col min="12806" max="12806" width="11.5" customWidth="1"/>
    <col min="12807" max="12807" width="11.625" customWidth="1"/>
    <col min="12808" max="12808" width="15.5" customWidth="1"/>
    <col min="12809" max="12809" width="18.75" customWidth="1"/>
    <col min="12810" max="12810" width="15.375" customWidth="1"/>
    <col min="12811" max="12811" width="15.125" customWidth="1"/>
    <col min="12813" max="12813" width="11" customWidth="1"/>
    <col min="12814" max="12814" width="10.625" customWidth="1"/>
    <col min="12815" max="12815" width="9.625" customWidth="1"/>
    <col min="13058" max="13058" width="7" customWidth="1"/>
    <col min="13059" max="13059" width="17.75" customWidth="1"/>
    <col min="13060" max="13060" width="10.875" customWidth="1"/>
    <col min="13061" max="13061" width="11.25" customWidth="1"/>
    <col min="13062" max="13062" width="11.5" customWidth="1"/>
    <col min="13063" max="13063" width="11.625" customWidth="1"/>
    <col min="13064" max="13064" width="15.5" customWidth="1"/>
    <col min="13065" max="13065" width="18.75" customWidth="1"/>
    <col min="13066" max="13066" width="15.375" customWidth="1"/>
    <col min="13067" max="13067" width="15.125" customWidth="1"/>
    <col min="13069" max="13069" width="11" customWidth="1"/>
    <col min="13070" max="13070" width="10.625" customWidth="1"/>
    <col min="13071" max="13071" width="9.625" customWidth="1"/>
    <col min="13314" max="13314" width="7" customWidth="1"/>
    <col min="13315" max="13315" width="17.75" customWidth="1"/>
    <col min="13316" max="13316" width="10.875" customWidth="1"/>
    <col min="13317" max="13317" width="11.25" customWidth="1"/>
    <col min="13318" max="13318" width="11.5" customWidth="1"/>
    <col min="13319" max="13319" width="11.625" customWidth="1"/>
    <col min="13320" max="13320" width="15.5" customWidth="1"/>
    <col min="13321" max="13321" width="18.75" customWidth="1"/>
    <col min="13322" max="13322" width="15.375" customWidth="1"/>
    <col min="13323" max="13323" width="15.125" customWidth="1"/>
    <col min="13325" max="13325" width="11" customWidth="1"/>
    <col min="13326" max="13326" width="10.625" customWidth="1"/>
    <col min="13327" max="13327" width="9.625" customWidth="1"/>
    <col min="13570" max="13570" width="7" customWidth="1"/>
    <col min="13571" max="13571" width="17.75" customWidth="1"/>
    <col min="13572" max="13572" width="10.875" customWidth="1"/>
    <col min="13573" max="13573" width="11.25" customWidth="1"/>
    <col min="13574" max="13574" width="11.5" customWidth="1"/>
    <col min="13575" max="13575" width="11.625" customWidth="1"/>
    <col min="13576" max="13576" width="15.5" customWidth="1"/>
    <col min="13577" max="13577" width="18.75" customWidth="1"/>
    <col min="13578" max="13578" width="15.375" customWidth="1"/>
    <col min="13579" max="13579" width="15.125" customWidth="1"/>
    <col min="13581" max="13581" width="11" customWidth="1"/>
    <col min="13582" max="13582" width="10.625" customWidth="1"/>
    <col min="13583" max="13583" width="9.625" customWidth="1"/>
    <col min="13826" max="13826" width="7" customWidth="1"/>
    <col min="13827" max="13827" width="17.75" customWidth="1"/>
    <col min="13828" max="13828" width="10.875" customWidth="1"/>
    <col min="13829" max="13829" width="11.25" customWidth="1"/>
    <col min="13830" max="13830" width="11.5" customWidth="1"/>
    <col min="13831" max="13831" width="11.625" customWidth="1"/>
    <col min="13832" max="13832" width="15.5" customWidth="1"/>
    <col min="13833" max="13833" width="18.75" customWidth="1"/>
    <col min="13834" max="13834" width="15.375" customWidth="1"/>
    <col min="13835" max="13835" width="15.125" customWidth="1"/>
    <col min="13837" max="13837" width="11" customWidth="1"/>
    <col min="13838" max="13838" width="10.625" customWidth="1"/>
    <col min="13839" max="13839" width="9.625" customWidth="1"/>
    <col min="14082" max="14082" width="7" customWidth="1"/>
    <col min="14083" max="14083" width="17.75" customWidth="1"/>
    <col min="14084" max="14084" width="10.875" customWidth="1"/>
    <col min="14085" max="14085" width="11.25" customWidth="1"/>
    <col min="14086" max="14086" width="11.5" customWidth="1"/>
    <col min="14087" max="14087" width="11.625" customWidth="1"/>
    <col min="14088" max="14088" width="15.5" customWidth="1"/>
    <col min="14089" max="14089" width="18.75" customWidth="1"/>
    <col min="14090" max="14090" width="15.375" customWidth="1"/>
    <col min="14091" max="14091" width="15.125" customWidth="1"/>
    <col min="14093" max="14093" width="11" customWidth="1"/>
    <col min="14094" max="14094" width="10.625" customWidth="1"/>
    <col min="14095" max="14095" width="9.625" customWidth="1"/>
    <col min="14338" max="14338" width="7" customWidth="1"/>
    <col min="14339" max="14339" width="17.75" customWidth="1"/>
    <col min="14340" max="14340" width="10.875" customWidth="1"/>
    <col min="14341" max="14341" width="11.25" customWidth="1"/>
    <col min="14342" max="14342" width="11.5" customWidth="1"/>
    <col min="14343" max="14343" width="11.625" customWidth="1"/>
    <col min="14344" max="14344" width="15.5" customWidth="1"/>
    <col min="14345" max="14345" width="18.75" customWidth="1"/>
    <col min="14346" max="14346" width="15.375" customWidth="1"/>
    <col min="14347" max="14347" width="15.125" customWidth="1"/>
    <col min="14349" max="14349" width="11" customWidth="1"/>
    <col min="14350" max="14350" width="10.625" customWidth="1"/>
    <col min="14351" max="14351" width="9.625" customWidth="1"/>
    <col min="14594" max="14594" width="7" customWidth="1"/>
    <col min="14595" max="14595" width="17.75" customWidth="1"/>
    <col min="14596" max="14596" width="10.875" customWidth="1"/>
    <col min="14597" max="14597" width="11.25" customWidth="1"/>
    <col min="14598" max="14598" width="11.5" customWidth="1"/>
    <col min="14599" max="14599" width="11.625" customWidth="1"/>
    <col min="14600" max="14600" width="15.5" customWidth="1"/>
    <col min="14601" max="14601" width="18.75" customWidth="1"/>
    <col min="14602" max="14602" width="15.375" customWidth="1"/>
    <col min="14603" max="14603" width="15.125" customWidth="1"/>
    <col min="14605" max="14605" width="11" customWidth="1"/>
    <col min="14606" max="14606" width="10.625" customWidth="1"/>
    <col min="14607" max="14607" width="9.625" customWidth="1"/>
    <col min="14850" max="14850" width="7" customWidth="1"/>
    <col min="14851" max="14851" width="17.75" customWidth="1"/>
    <col min="14852" max="14852" width="10.875" customWidth="1"/>
    <col min="14853" max="14853" width="11.25" customWidth="1"/>
    <col min="14854" max="14854" width="11.5" customWidth="1"/>
    <col min="14855" max="14855" width="11.625" customWidth="1"/>
    <col min="14856" max="14856" width="15.5" customWidth="1"/>
    <col min="14857" max="14857" width="18.75" customWidth="1"/>
    <col min="14858" max="14858" width="15.375" customWidth="1"/>
    <col min="14859" max="14859" width="15.125" customWidth="1"/>
    <col min="14861" max="14861" width="11" customWidth="1"/>
    <col min="14862" max="14862" width="10.625" customWidth="1"/>
    <col min="14863" max="14863" width="9.625" customWidth="1"/>
    <col min="15106" max="15106" width="7" customWidth="1"/>
    <col min="15107" max="15107" width="17.75" customWidth="1"/>
    <col min="15108" max="15108" width="10.875" customWidth="1"/>
    <col min="15109" max="15109" width="11.25" customWidth="1"/>
    <col min="15110" max="15110" width="11.5" customWidth="1"/>
    <col min="15111" max="15111" width="11.625" customWidth="1"/>
    <col min="15112" max="15112" width="15.5" customWidth="1"/>
    <col min="15113" max="15113" width="18.75" customWidth="1"/>
    <col min="15114" max="15114" width="15.375" customWidth="1"/>
    <col min="15115" max="15115" width="15.125" customWidth="1"/>
    <col min="15117" max="15117" width="11" customWidth="1"/>
    <col min="15118" max="15118" width="10.625" customWidth="1"/>
    <col min="15119" max="15119" width="9.625" customWidth="1"/>
    <col min="15362" max="15362" width="7" customWidth="1"/>
    <col min="15363" max="15363" width="17.75" customWidth="1"/>
    <col min="15364" max="15364" width="10.875" customWidth="1"/>
    <col min="15365" max="15365" width="11.25" customWidth="1"/>
    <col min="15366" max="15366" width="11.5" customWidth="1"/>
    <col min="15367" max="15367" width="11.625" customWidth="1"/>
    <col min="15368" max="15368" width="15.5" customWidth="1"/>
    <col min="15369" max="15369" width="18.75" customWidth="1"/>
    <col min="15370" max="15370" width="15.375" customWidth="1"/>
    <col min="15371" max="15371" width="15.125" customWidth="1"/>
    <col min="15373" max="15373" width="11" customWidth="1"/>
    <col min="15374" max="15374" width="10.625" customWidth="1"/>
    <col min="15375" max="15375" width="9.625" customWidth="1"/>
    <col min="15618" max="15618" width="7" customWidth="1"/>
    <col min="15619" max="15619" width="17.75" customWidth="1"/>
    <col min="15620" max="15620" width="10.875" customWidth="1"/>
    <col min="15621" max="15621" width="11.25" customWidth="1"/>
    <col min="15622" max="15622" width="11.5" customWidth="1"/>
    <col min="15623" max="15623" width="11.625" customWidth="1"/>
    <col min="15624" max="15624" width="15.5" customWidth="1"/>
    <col min="15625" max="15625" width="18.75" customWidth="1"/>
    <col min="15626" max="15626" width="15.375" customWidth="1"/>
    <col min="15627" max="15627" width="15.125" customWidth="1"/>
    <col min="15629" max="15629" width="11" customWidth="1"/>
    <col min="15630" max="15630" width="10.625" customWidth="1"/>
    <col min="15631" max="15631" width="9.625" customWidth="1"/>
    <col min="15874" max="15874" width="7" customWidth="1"/>
    <col min="15875" max="15875" width="17.75" customWidth="1"/>
    <col min="15876" max="15876" width="10.875" customWidth="1"/>
    <col min="15877" max="15877" width="11.25" customWidth="1"/>
    <col min="15878" max="15878" width="11.5" customWidth="1"/>
    <col min="15879" max="15879" width="11.625" customWidth="1"/>
    <col min="15880" max="15880" width="15.5" customWidth="1"/>
    <col min="15881" max="15881" width="18.75" customWidth="1"/>
    <col min="15882" max="15882" width="15.375" customWidth="1"/>
    <col min="15883" max="15883" width="15.125" customWidth="1"/>
    <col min="15885" max="15885" width="11" customWidth="1"/>
    <col min="15886" max="15886" width="10.625" customWidth="1"/>
    <col min="15887" max="15887" width="9.625" customWidth="1"/>
    <col min="16130" max="16130" width="7" customWidth="1"/>
    <col min="16131" max="16131" width="17.75" customWidth="1"/>
    <col min="16132" max="16132" width="10.875" customWidth="1"/>
    <col min="16133" max="16133" width="11.25" customWidth="1"/>
    <col min="16134" max="16134" width="11.5" customWidth="1"/>
    <col min="16135" max="16135" width="11.625" customWidth="1"/>
    <col min="16136" max="16136" width="15.5" customWidth="1"/>
    <col min="16137" max="16137" width="18.75" customWidth="1"/>
    <col min="16138" max="16138" width="15.375" customWidth="1"/>
    <col min="16139" max="16139" width="15.125" customWidth="1"/>
    <col min="16141" max="16141" width="11" customWidth="1"/>
    <col min="16142" max="16142" width="10.625" customWidth="1"/>
    <col min="16143" max="16143" width="9.625" customWidth="1"/>
  </cols>
  <sheetData>
    <row r="1" spans="1:15" ht="20.25" x14ac:dyDescent="0.3">
      <c r="A1" s="279"/>
      <c r="B1" s="279"/>
      <c r="C1" s="279"/>
      <c r="D1" s="279"/>
      <c r="E1" s="279"/>
      <c r="F1" s="279"/>
      <c r="G1" s="280" t="s">
        <v>0</v>
      </c>
      <c r="H1" s="279"/>
      <c r="I1" s="279"/>
      <c r="J1" s="279"/>
      <c r="K1" s="279"/>
      <c r="L1" s="279"/>
      <c r="M1" s="279"/>
      <c r="N1" s="279" t="s">
        <v>1</v>
      </c>
      <c r="O1" s="279"/>
    </row>
    <row r="2" spans="1:15" ht="20.25" x14ac:dyDescent="0.3">
      <c r="A2" s="279"/>
      <c r="B2" s="279"/>
      <c r="C2" s="279"/>
      <c r="D2" s="279"/>
      <c r="E2" s="279"/>
      <c r="F2" s="279"/>
      <c r="G2" s="280"/>
      <c r="H2" s="279"/>
      <c r="I2" s="279"/>
      <c r="J2" s="279"/>
      <c r="K2" s="279"/>
      <c r="L2" s="279"/>
      <c r="M2" s="279"/>
      <c r="N2" s="279"/>
      <c r="O2" s="279"/>
    </row>
    <row r="3" spans="1:15" ht="20.25" x14ac:dyDescent="0.3">
      <c r="A3" s="499" t="s">
        <v>2</v>
      </c>
      <c r="B3" s="499"/>
      <c r="C3" s="280" t="s">
        <v>38</v>
      </c>
      <c r="D3" s="279"/>
      <c r="E3" s="279"/>
      <c r="F3" s="279"/>
      <c r="G3" s="280"/>
      <c r="H3" s="279"/>
      <c r="I3" s="279"/>
      <c r="J3" s="279"/>
      <c r="K3" s="279"/>
      <c r="L3" s="279"/>
      <c r="M3" s="279"/>
      <c r="N3" s="279"/>
      <c r="O3" s="279"/>
    </row>
    <row r="4" spans="1:15" ht="20.25" x14ac:dyDescent="0.3">
      <c r="A4" s="499" t="s">
        <v>3</v>
      </c>
      <c r="B4" s="499"/>
      <c r="C4" s="280" t="s">
        <v>40</v>
      </c>
      <c r="D4" s="279"/>
      <c r="E4" s="279"/>
      <c r="F4" s="279"/>
      <c r="G4" s="280"/>
      <c r="H4" s="279"/>
      <c r="I4" s="279"/>
      <c r="J4" s="279"/>
      <c r="K4" s="279"/>
      <c r="L4" s="279"/>
      <c r="M4" s="279"/>
      <c r="N4" s="279"/>
      <c r="O4" s="279"/>
    </row>
    <row r="5" spans="1:15" ht="20.25" x14ac:dyDescent="0.3">
      <c r="A5" s="499" t="s">
        <v>4</v>
      </c>
      <c r="B5" s="499"/>
      <c r="C5" s="280" t="s">
        <v>41</v>
      </c>
      <c r="D5" s="279"/>
      <c r="E5" s="279"/>
      <c r="F5" s="279"/>
      <c r="G5" s="280"/>
      <c r="H5" s="279"/>
      <c r="I5" s="279"/>
      <c r="J5" s="279"/>
      <c r="K5" s="279"/>
      <c r="L5" s="279"/>
      <c r="M5" s="279"/>
      <c r="N5" s="279"/>
      <c r="O5" s="279"/>
    </row>
    <row r="6" spans="1:15" ht="20.25" x14ac:dyDescent="0.3">
      <c r="A6" s="499" t="s">
        <v>5</v>
      </c>
      <c r="B6" s="499"/>
      <c r="C6" s="280" t="s">
        <v>98</v>
      </c>
      <c r="D6" s="279"/>
      <c r="E6" s="279"/>
      <c r="F6" s="279"/>
      <c r="G6" s="280"/>
      <c r="H6" s="279"/>
      <c r="I6" s="279"/>
      <c r="J6" s="279"/>
      <c r="K6" s="279"/>
      <c r="L6" s="279"/>
      <c r="M6" s="279"/>
      <c r="N6" s="279"/>
      <c r="O6" s="279"/>
    </row>
    <row r="7" spans="1:15" ht="20.25" x14ac:dyDescent="0.3">
      <c r="A7" s="280"/>
      <c r="B7" s="280"/>
      <c r="C7" s="280"/>
      <c r="D7" s="279"/>
      <c r="E7" s="279"/>
      <c r="F7" s="279"/>
      <c r="G7" s="279"/>
      <c r="H7" s="279"/>
      <c r="I7" s="279"/>
      <c r="J7" s="279"/>
      <c r="K7" s="279"/>
      <c r="L7" s="279"/>
      <c r="M7" s="279"/>
      <c r="N7" s="279"/>
      <c r="O7" s="279"/>
    </row>
    <row r="8" spans="1:15" ht="20.25" x14ac:dyDescent="0.3">
      <c r="A8" s="280" t="s">
        <v>6</v>
      </c>
      <c r="B8" s="280"/>
      <c r="C8" s="280"/>
      <c r="D8" s="279"/>
      <c r="E8" s="279"/>
      <c r="F8" s="279"/>
      <c r="G8" s="279"/>
      <c r="H8" s="279"/>
      <c r="I8" s="279"/>
      <c r="J8" s="279"/>
      <c r="K8" s="279"/>
      <c r="L8" s="279"/>
      <c r="M8" s="279"/>
      <c r="N8" s="279"/>
      <c r="O8" s="279"/>
    </row>
    <row r="9" spans="1:15" ht="15.95" customHeight="1" x14ac:dyDescent="0.25">
      <c r="A9" s="259" t="s">
        <v>7</v>
      </c>
      <c r="B9" s="500" t="s">
        <v>8</v>
      </c>
      <c r="C9" s="500"/>
      <c r="D9" s="259" t="s">
        <v>9</v>
      </c>
      <c r="E9" s="259" t="s">
        <v>10</v>
      </c>
      <c r="F9" s="489" t="s">
        <v>11</v>
      </c>
      <c r="G9" s="489" t="s">
        <v>12</v>
      </c>
      <c r="H9" s="259" t="s">
        <v>13</v>
      </c>
      <c r="I9" s="259"/>
      <c r="J9" s="259" t="s">
        <v>15</v>
      </c>
      <c r="K9" s="259" t="s">
        <v>16</v>
      </c>
      <c r="L9" s="494" t="s">
        <v>17</v>
      </c>
      <c r="M9" s="494"/>
      <c r="N9" s="494"/>
      <c r="O9" s="259" t="s">
        <v>18</v>
      </c>
    </row>
    <row r="10" spans="1:15" ht="15.95" customHeight="1" x14ac:dyDescent="0.25">
      <c r="A10" s="490" t="s">
        <v>19</v>
      </c>
      <c r="B10" s="495" t="s">
        <v>20</v>
      </c>
      <c r="C10" s="496"/>
      <c r="D10" s="490" t="s">
        <v>21</v>
      </c>
      <c r="E10" s="490" t="s">
        <v>22</v>
      </c>
      <c r="F10" s="490"/>
      <c r="G10" s="490"/>
      <c r="H10" s="261" t="s">
        <v>23</v>
      </c>
      <c r="I10" s="261" t="s">
        <v>544</v>
      </c>
      <c r="J10" s="261" t="s">
        <v>24</v>
      </c>
      <c r="K10" s="261" t="s">
        <v>25</v>
      </c>
      <c r="L10" s="261" t="s">
        <v>26</v>
      </c>
      <c r="M10" s="261" t="s">
        <v>27</v>
      </c>
      <c r="N10" s="261" t="s">
        <v>28</v>
      </c>
      <c r="O10" s="481" t="s">
        <v>29</v>
      </c>
    </row>
    <row r="11" spans="1:15" ht="15.95" customHeight="1" x14ac:dyDescent="0.25">
      <c r="A11" s="491"/>
      <c r="B11" s="497"/>
      <c r="C11" s="498"/>
      <c r="D11" s="491"/>
      <c r="E11" s="491"/>
      <c r="F11" s="491"/>
      <c r="G11" s="491"/>
      <c r="H11" s="262" t="s">
        <v>30</v>
      </c>
      <c r="I11" s="262"/>
      <c r="J11" s="262" t="s">
        <v>31</v>
      </c>
      <c r="K11" s="262" t="s">
        <v>32</v>
      </c>
      <c r="L11" s="262" t="s">
        <v>33</v>
      </c>
      <c r="M11" s="262" t="s">
        <v>34</v>
      </c>
      <c r="N11" s="262" t="s">
        <v>35</v>
      </c>
      <c r="O11" s="482"/>
    </row>
    <row r="12" spans="1:15" ht="18" x14ac:dyDescent="0.25">
      <c r="A12" s="263">
        <v>1</v>
      </c>
      <c r="B12" s="483">
        <v>2</v>
      </c>
      <c r="C12" s="484"/>
      <c r="D12" s="264">
        <v>3</v>
      </c>
      <c r="E12" s="264">
        <v>4</v>
      </c>
      <c r="F12" s="265">
        <v>5</v>
      </c>
      <c r="G12" s="265">
        <v>6</v>
      </c>
      <c r="H12" s="261">
        <v>7</v>
      </c>
      <c r="I12" s="261">
        <v>8</v>
      </c>
      <c r="J12" s="261">
        <v>9</v>
      </c>
      <c r="K12" s="261">
        <v>10</v>
      </c>
      <c r="L12" s="261">
        <v>11</v>
      </c>
      <c r="M12" s="261">
        <v>12</v>
      </c>
      <c r="N12" s="261">
        <v>13</v>
      </c>
      <c r="O12" s="264">
        <v>14</v>
      </c>
    </row>
    <row r="13" spans="1:15" ht="18" customHeight="1" x14ac:dyDescent="0.25">
      <c r="A13" s="266">
        <v>1</v>
      </c>
      <c r="B13" s="492" t="s">
        <v>99</v>
      </c>
      <c r="C13" s="493"/>
      <c r="D13" s="267" t="s">
        <v>100</v>
      </c>
      <c r="E13" s="268"/>
      <c r="F13" s="268"/>
      <c r="G13" s="266" t="s">
        <v>56</v>
      </c>
      <c r="H13" s="266">
        <v>2008</v>
      </c>
      <c r="I13" s="266" t="s">
        <v>101</v>
      </c>
      <c r="J13" s="269" t="s">
        <v>97</v>
      </c>
      <c r="K13" s="281">
        <v>1730000</v>
      </c>
      <c r="L13" s="266" t="s">
        <v>26</v>
      </c>
      <c r="M13" s="268"/>
      <c r="N13" s="268"/>
      <c r="O13" s="268"/>
    </row>
    <row r="14" spans="1:15" ht="36" customHeight="1" x14ac:dyDescent="0.25">
      <c r="A14" s="266">
        <f>A13+1</f>
        <v>2</v>
      </c>
      <c r="B14" s="492" t="s">
        <v>99</v>
      </c>
      <c r="C14" s="493"/>
      <c r="D14" s="267" t="s">
        <v>102</v>
      </c>
      <c r="E14" s="268"/>
      <c r="F14" s="268"/>
      <c r="G14" s="266" t="s">
        <v>56</v>
      </c>
      <c r="H14" s="266">
        <v>2013</v>
      </c>
      <c r="I14" s="266" t="s">
        <v>101</v>
      </c>
      <c r="J14" s="269" t="s">
        <v>60</v>
      </c>
      <c r="K14" s="281">
        <v>2820699</v>
      </c>
      <c r="L14" s="266" t="s">
        <v>26</v>
      </c>
      <c r="M14" s="268"/>
      <c r="N14" s="268"/>
      <c r="O14" s="268"/>
    </row>
    <row r="15" spans="1:15" ht="18" customHeight="1" x14ac:dyDescent="0.25">
      <c r="A15" s="266">
        <f t="shared" ref="A15:A28" si="0">A14+1</f>
        <v>3</v>
      </c>
      <c r="B15" s="492" t="s">
        <v>99</v>
      </c>
      <c r="C15" s="493"/>
      <c r="D15" s="267" t="s">
        <v>103</v>
      </c>
      <c r="E15" s="268"/>
      <c r="F15" s="268"/>
      <c r="G15" s="266" t="s">
        <v>56</v>
      </c>
      <c r="H15" s="266">
        <v>2014</v>
      </c>
      <c r="I15" s="266" t="s">
        <v>101</v>
      </c>
      <c r="J15" s="269" t="s">
        <v>89</v>
      </c>
      <c r="K15" s="281">
        <v>3669674</v>
      </c>
      <c r="L15" s="266" t="s">
        <v>26</v>
      </c>
      <c r="M15" s="268"/>
      <c r="N15" s="268"/>
      <c r="O15" s="268"/>
    </row>
    <row r="16" spans="1:15" ht="18" customHeight="1" x14ac:dyDescent="0.25">
      <c r="A16" s="266">
        <f t="shared" si="0"/>
        <v>4</v>
      </c>
      <c r="B16" s="492" t="s">
        <v>104</v>
      </c>
      <c r="C16" s="493"/>
      <c r="D16" s="267" t="s">
        <v>100</v>
      </c>
      <c r="E16" s="268"/>
      <c r="F16" s="268"/>
      <c r="G16" s="282" t="s">
        <v>56</v>
      </c>
      <c r="H16" s="266">
        <v>2006</v>
      </c>
      <c r="I16" s="266" t="s">
        <v>105</v>
      </c>
      <c r="J16" s="269" t="s">
        <v>54</v>
      </c>
      <c r="K16" s="281">
        <v>1220000</v>
      </c>
      <c r="L16" s="266" t="s">
        <v>26</v>
      </c>
      <c r="M16" s="283" t="s">
        <v>106</v>
      </c>
      <c r="N16" s="268"/>
      <c r="O16" s="268"/>
    </row>
    <row r="17" spans="1:15" ht="18" customHeight="1" x14ac:dyDescent="0.25">
      <c r="A17" s="266">
        <f t="shared" si="0"/>
        <v>5</v>
      </c>
      <c r="B17" s="492" t="s">
        <v>104</v>
      </c>
      <c r="C17" s="493"/>
      <c r="D17" s="267" t="s">
        <v>100</v>
      </c>
      <c r="E17" s="268"/>
      <c r="F17" s="268"/>
      <c r="G17" s="282" t="s">
        <v>56</v>
      </c>
      <c r="H17" s="266">
        <v>2008</v>
      </c>
      <c r="I17" s="266" t="s">
        <v>105</v>
      </c>
      <c r="J17" s="269" t="s">
        <v>107</v>
      </c>
      <c r="K17" s="281">
        <v>1220000</v>
      </c>
      <c r="L17" s="266" t="s">
        <v>26</v>
      </c>
      <c r="M17" s="268"/>
      <c r="N17" s="268"/>
      <c r="O17" s="268"/>
    </row>
    <row r="18" spans="1:15" ht="18" customHeight="1" x14ac:dyDescent="0.25">
      <c r="A18" s="266">
        <f t="shared" si="0"/>
        <v>6</v>
      </c>
      <c r="B18" s="492" t="s">
        <v>104</v>
      </c>
      <c r="C18" s="493"/>
      <c r="D18" s="267" t="s">
        <v>108</v>
      </c>
      <c r="E18" s="268"/>
      <c r="F18" s="268"/>
      <c r="G18" s="282" t="s">
        <v>56</v>
      </c>
      <c r="H18" s="266">
        <v>2013</v>
      </c>
      <c r="I18" s="266" t="s">
        <v>105</v>
      </c>
      <c r="J18" s="269" t="s">
        <v>58</v>
      </c>
      <c r="K18" s="281">
        <v>2880334</v>
      </c>
      <c r="L18" s="266" t="s">
        <v>26</v>
      </c>
      <c r="M18" s="268"/>
      <c r="N18" s="268"/>
      <c r="O18" s="268"/>
    </row>
    <row r="19" spans="1:15" ht="36" customHeight="1" x14ac:dyDescent="0.25">
      <c r="A19" s="266">
        <f t="shared" si="0"/>
        <v>7</v>
      </c>
      <c r="B19" s="492" t="s">
        <v>104</v>
      </c>
      <c r="C19" s="493"/>
      <c r="D19" s="267" t="s">
        <v>109</v>
      </c>
      <c r="E19" s="268"/>
      <c r="F19" s="268"/>
      <c r="G19" s="282" t="s">
        <v>56</v>
      </c>
      <c r="H19" s="266">
        <v>2014</v>
      </c>
      <c r="I19" s="266" t="s">
        <v>105</v>
      </c>
      <c r="J19" s="269" t="s">
        <v>110</v>
      </c>
      <c r="K19" s="281">
        <v>3292653</v>
      </c>
      <c r="L19" s="266" t="s">
        <v>26</v>
      </c>
      <c r="M19" s="268"/>
      <c r="N19" s="268"/>
      <c r="O19" s="268"/>
    </row>
    <row r="20" spans="1:15" ht="36" customHeight="1" x14ac:dyDescent="0.25">
      <c r="A20" s="266">
        <f t="shared" si="0"/>
        <v>8</v>
      </c>
      <c r="B20" s="492" t="s">
        <v>104</v>
      </c>
      <c r="C20" s="493"/>
      <c r="D20" s="267" t="s">
        <v>109</v>
      </c>
      <c r="E20" s="268"/>
      <c r="F20" s="268"/>
      <c r="G20" s="282" t="s">
        <v>56</v>
      </c>
      <c r="H20" s="266">
        <v>2014</v>
      </c>
      <c r="I20" s="266" t="s">
        <v>105</v>
      </c>
      <c r="J20" s="269" t="s">
        <v>111</v>
      </c>
      <c r="K20" s="281">
        <v>3292652</v>
      </c>
      <c r="L20" s="266" t="s">
        <v>26</v>
      </c>
      <c r="M20" s="268"/>
      <c r="N20" s="268"/>
      <c r="O20" s="268"/>
    </row>
    <row r="21" spans="1:15" ht="36" customHeight="1" x14ac:dyDescent="0.25">
      <c r="A21" s="266">
        <f t="shared" si="0"/>
        <v>9</v>
      </c>
      <c r="B21" s="492" t="s">
        <v>61</v>
      </c>
      <c r="C21" s="493"/>
      <c r="D21" s="267" t="s">
        <v>116</v>
      </c>
      <c r="E21" s="268"/>
      <c r="F21" s="268"/>
      <c r="G21" s="282" t="s">
        <v>50</v>
      </c>
      <c r="H21" s="266">
        <v>2013</v>
      </c>
      <c r="I21" s="266" t="s">
        <v>62</v>
      </c>
      <c r="J21" s="269" t="s">
        <v>117</v>
      </c>
      <c r="K21" s="281">
        <v>486971.68</v>
      </c>
      <c r="L21" s="266" t="s">
        <v>26</v>
      </c>
      <c r="M21" s="268"/>
      <c r="N21" s="268"/>
      <c r="O21" s="267"/>
    </row>
    <row r="22" spans="1:15" ht="36" customHeight="1" x14ac:dyDescent="0.25">
      <c r="A22" s="266">
        <f t="shared" si="0"/>
        <v>10</v>
      </c>
      <c r="B22" s="492" t="s">
        <v>61</v>
      </c>
      <c r="C22" s="493"/>
      <c r="D22" s="267" t="s">
        <v>116</v>
      </c>
      <c r="E22" s="268"/>
      <c r="F22" s="268"/>
      <c r="G22" s="282" t="s">
        <v>50</v>
      </c>
      <c r="H22" s="266">
        <v>2013</v>
      </c>
      <c r="I22" s="266" t="s">
        <v>62</v>
      </c>
      <c r="J22" s="269" t="s">
        <v>118</v>
      </c>
      <c r="K22" s="281">
        <v>486971.68</v>
      </c>
      <c r="L22" s="266" t="s">
        <v>26</v>
      </c>
      <c r="M22" s="268"/>
      <c r="N22" s="268"/>
      <c r="O22" s="267"/>
    </row>
    <row r="23" spans="1:15" ht="36" customHeight="1" x14ac:dyDescent="0.25">
      <c r="A23" s="266">
        <f t="shared" si="0"/>
        <v>11</v>
      </c>
      <c r="B23" s="492" t="s">
        <v>61</v>
      </c>
      <c r="C23" s="493"/>
      <c r="D23" s="267" t="s">
        <v>119</v>
      </c>
      <c r="E23" s="268"/>
      <c r="F23" s="268"/>
      <c r="G23" s="282" t="s">
        <v>50</v>
      </c>
      <c r="H23" s="266">
        <v>2014</v>
      </c>
      <c r="I23" s="266" t="s">
        <v>62</v>
      </c>
      <c r="J23" s="269" t="s">
        <v>120</v>
      </c>
      <c r="K23" s="281">
        <v>794180</v>
      </c>
      <c r="L23" s="266" t="s">
        <v>26</v>
      </c>
      <c r="M23" s="268"/>
      <c r="N23" s="268"/>
      <c r="O23" s="268"/>
    </row>
    <row r="24" spans="1:15" ht="36" customHeight="1" x14ac:dyDescent="0.25">
      <c r="A24" s="266">
        <f t="shared" si="0"/>
        <v>12</v>
      </c>
      <c r="B24" s="492" t="s">
        <v>61</v>
      </c>
      <c r="C24" s="493"/>
      <c r="D24" s="267" t="s">
        <v>119</v>
      </c>
      <c r="E24" s="268"/>
      <c r="F24" s="268"/>
      <c r="G24" s="282" t="s">
        <v>50</v>
      </c>
      <c r="H24" s="266">
        <v>2014</v>
      </c>
      <c r="I24" s="266" t="s">
        <v>62</v>
      </c>
      <c r="J24" s="269" t="s">
        <v>93</v>
      </c>
      <c r="K24" s="281">
        <v>794180</v>
      </c>
      <c r="L24" s="266" t="s">
        <v>26</v>
      </c>
      <c r="M24" s="268"/>
      <c r="N24" s="268"/>
      <c r="O24" s="268"/>
    </row>
    <row r="25" spans="1:15" ht="36" customHeight="1" x14ac:dyDescent="0.25">
      <c r="A25" s="266">
        <f t="shared" si="0"/>
        <v>13</v>
      </c>
      <c r="B25" s="492" t="s">
        <v>61</v>
      </c>
      <c r="C25" s="493"/>
      <c r="D25" s="267" t="s">
        <v>119</v>
      </c>
      <c r="E25" s="268"/>
      <c r="F25" s="268"/>
      <c r="G25" s="282" t="s">
        <v>50</v>
      </c>
      <c r="H25" s="266">
        <v>2014</v>
      </c>
      <c r="I25" s="266" t="s">
        <v>62</v>
      </c>
      <c r="J25" s="269" t="s">
        <v>121</v>
      </c>
      <c r="K25" s="281">
        <v>794180</v>
      </c>
      <c r="L25" s="266" t="s">
        <v>26</v>
      </c>
      <c r="M25" s="268"/>
      <c r="N25" s="268"/>
      <c r="O25" s="268"/>
    </row>
    <row r="26" spans="1:15" ht="36" customHeight="1" x14ac:dyDescent="0.25">
      <c r="A26" s="266">
        <f t="shared" si="0"/>
        <v>14</v>
      </c>
      <c r="B26" s="492" t="s">
        <v>122</v>
      </c>
      <c r="C26" s="493"/>
      <c r="D26" s="267" t="s">
        <v>123</v>
      </c>
      <c r="E26" s="268"/>
      <c r="F26" s="268"/>
      <c r="G26" s="282" t="s">
        <v>56</v>
      </c>
      <c r="H26" s="266">
        <v>2009</v>
      </c>
      <c r="I26" s="266" t="s">
        <v>124</v>
      </c>
      <c r="J26" s="269" t="s">
        <v>54</v>
      </c>
      <c r="K26" s="281">
        <v>350000</v>
      </c>
      <c r="L26" s="266" t="s">
        <v>26</v>
      </c>
      <c r="M26" s="268"/>
      <c r="N26" s="268"/>
      <c r="O26" s="268"/>
    </row>
    <row r="27" spans="1:15" ht="36" customHeight="1" x14ac:dyDescent="0.25">
      <c r="A27" s="266">
        <f t="shared" si="0"/>
        <v>15</v>
      </c>
      <c r="B27" s="492" t="s">
        <v>122</v>
      </c>
      <c r="C27" s="493"/>
      <c r="D27" s="267" t="s">
        <v>123</v>
      </c>
      <c r="E27" s="268"/>
      <c r="F27" s="268"/>
      <c r="G27" s="282" t="s">
        <v>56</v>
      </c>
      <c r="H27" s="266">
        <v>2009</v>
      </c>
      <c r="I27" s="266" t="s">
        <v>124</v>
      </c>
      <c r="J27" s="269" t="s">
        <v>125</v>
      </c>
      <c r="K27" s="281">
        <v>350000</v>
      </c>
      <c r="L27" s="266" t="s">
        <v>26</v>
      </c>
      <c r="M27" s="268"/>
      <c r="N27" s="268"/>
      <c r="O27" s="268"/>
    </row>
    <row r="28" spans="1:15" ht="36" customHeight="1" x14ac:dyDescent="0.25">
      <c r="A28" s="266">
        <f t="shared" si="0"/>
        <v>16</v>
      </c>
      <c r="B28" s="492" t="s">
        <v>122</v>
      </c>
      <c r="C28" s="493"/>
      <c r="D28" s="267" t="s">
        <v>123</v>
      </c>
      <c r="E28" s="268"/>
      <c r="F28" s="268"/>
      <c r="G28" s="282" t="s">
        <v>56</v>
      </c>
      <c r="H28" s="266">
        <v>2009</v>
      </c>
      <c r="I28" s="266" t="s">
        <v>124</v>
      </c>
      <c r="J28" s="269" t="s">
        <v>67</v>
      </c>
      <c r="K28" s="281">
        <v>350000</v>
      </c>
      <c r="L28" s="266" t="s">
        <v>26</v>
      </c>
      <c r="M28" s="268"/>
      <c r="N28" s="268"/>
      <c r="O28" s="267"/>
    </row>
    <row r="29" spans="1:15" ht="72" customHeight="1" x14ac:dyDescent="0.25">
      <c r="A29" s="266">
        <f>A28+1</f>
        <v>17</v>
      </c>
      <c r="B29" s="492" t="s">
        <v>133</v>
      </c>
      <c r="C29" s="493"/>
      <c r="D29" s="267" t="s">
        <v>134</v>
      </c>
      <c r="E29" s="268"/>
      <c r="F29" s="268"/>
      <c r="G29" s="282" t="s">
        <v>50</v>
      </c>
      <c r="H29" s="282" t="s">
        <v>135</v>
      </c>
      <c r="I29" s="266" t="s">
        <v>136</v>
      </c>
      <c r="J29" s="269" t="s">
        <v>200</v>
      </c>
      <c r="K29" s="281">
        <v>3922641.51</v>
      </c>
      <c r="L29" s="266" t="s">
        <v>26</v>
      </c>
      <c r="M29" s="268"/>
      <c r="N29" s="268"/>
      <c r="O29" s="268"/>
    </row>
    <row r="30" spans="1:15" ht="36" customHeight="1" thickBot="1" x14ac:dyDescent="0.3">
      <c r="A30" s="293">
        <f>A29+1</f>
        <v>18</v>
      </c>
      <c r="B30" s="502" t="s">
        <v>133</v>
      </c>
      <c r="C30" s="503"/>
      <c r="D30" s="294" t="s">
        <v>138</v>
      </c>
      <c r="E30" s="295"/>
      <c r="F30" s="295"/>
      <c r="G30" s="296" t="s">
        <v>50</v>
      </c>
      <c r="H30" s="296">
        <v>2015</v>
      </c>
      <c r="I30" s="293" t="s">
        <v>136</v>
      </c>
      <c r="J30" s="297" t="s">
        <v>111</v>
      </c>
      <c r="K30" s="298">
        <v>6026316</v>
      </c>
      <c r="L30" s="293" t="s">
        <v>26</v>
      </c>
      <c r="M30" s="295"/>
      <c r="N30" s="295"/>
      <c r="O30" s="295"/>
    </row>
    <row r="31" spans="1:15" ht="18" customHeight="1" x14ac:dyDescent="0.25">
      <c r="A31" s="301"/>
      <c r="B31" s="302"/>
      <c r="C31" s="302"/>
      <c r="D31" s="303"/>
      <c r="E31" s="304"/>
      <c r="F31" s="304"/>
      <c r="G31" s="305"/>
      <c r="H31" s="305"/>
      <c r="I31" s="301"/>
      <c r="J31" s="306"/>
      <c r="K31" s="307"/>
      <c r="L31" s="301"/>
      <c r="M31" s="304"/>
      <c r="N31" s="304"/>
      <c r="O31" s="304"/>
    </row>
    <row r="32" spans="1:15" ht="18" customHeight="1" x14ac:dyDescent="0.25">
      <c r="A32" s="284"/>
      <c r="B32" s="285"/>
      <c r="C32" s="285"/>
      <c r="D32" s="286"/>
      <c r="E32" s="287"/>
      <c r="F32" s="287"/>
      <c r="G32" s="288"/>
      <c r="H32" s="288"/>
      <c r="I32" s="284"/>
      <c r="J32" s="289"/>
      <c r="K32" s="290"/>
      <c r="L32" s="284"/>
      <c r="M32" s="287"/>
      <c r="N32" s="287"/>
      <c r="O32" s="287"/>
    </row>
    <row r="33" spans="1:15" ht="18" customHeight="1" x14ac:dyDescent="0.25">
      <c r="A33" s="284"/>
      <c r="B33" s="285"/>
      <c r="C33" s="285"/>
      <c r="D33" s="286"/>
      <c r="E33" s="287"/>
      <c r="F33" s="287"/>
      <c r="G33" s="288"/>
      <c r="H33" s="288"/>
      <c r="I33" s="284"/>
      <c r="J33" s="289"/>
      <c r="K33" s="290"/>
      <c r="L33" s="284"/>
      <c r="M33" s="287"/>
      <c r="N33" s="287"/>
      <c r="O33" s="287"/>
    </row>
    <row r="34" spans="1:15" ht="18" customHeight="1" x14ac:dyDescent="0.25">
      <c r="A34" s="284"/>
      <c r="B34" s="285"/>
      <c r="C34" s="285"/>
      <c r="D34" s="286"/>
      <c r="E34" s="287"/>
      <c r="F34" s="287"/>
      <c r="G34" s="288"/>
      <c r="H34" s="288"/>
      <c r="I34" s="284"/>
      <c r="J34" s="289"/>
      <c r="K34" s="290"/>
      <c r="L34" s="284"/>
      <c r="M34" s="287"/>
      <c r="N34" s="287"/>
      <c r="O34" s="287"/>
    </row>
    <row r="35" spans="1:15" ht="18" customHeight="1" x14ac:dyDescent="0.25">
      <c r="A35" s="284"/>
      <c r="B35" s="285"/>
      <c r="C35" s="285"/>
      <c r="D35" s="286"/>
      <c r="E35" s="287"/>
      <c r="F35" s="287"/>
      <c r="G35" s="288"/>
      <c r="H35" s="288"/>
      <c r="I35" s="284"/>
      <c r="J35" s="289"/>
      <c r="K35" s="290"/>
      <c r="L35" s="284"/>
      <c r="M35" s="287"/>
      <c r="N35" s="287"/>
      <c r="O35" s="287"/>
    </row>
    <row r="36" spans="1:15" ht="18" customHeight="1" x14ac:dyDescent="0.25">
      <c r="A36" s="284"/>
      <c r="B36" s="285"/>
      <c r="C36" s="285"/>
      <c r="D36" s="286"/>
      <c r="E36" s="287"/>
      <c r="F36" s="287"/>
      <c r="G36" s="288"/>
      <c r="H36" s="288"/>
      <c r="I36" s="284"/>
      <c r="J36" s="289"/>
      <c r="K36" s="290"/>
      <c r="L36" s="284"/>
      <c r="M36" s="287"/>
      <c r="N36" s="287"/>
      <c r="O36" s="287"/>
    </row>
    <row r="37" spans="1:15" ht="18" customHeight="1" thickBot="1" x14ac:dyDescent="0.3">
      <c r="A37" s="308"/>
      <c r="B37" s="309"/>
      <c r="C37" s="309"/>
      <c r="D37" s="310"/>
      <c r="E37" s="311"/>
      <c r="F37" s="311"/>
      <c r="G37" s="312"/>
      <c r="H37" s="312"/>
      <c r="I37" s="308"/>
      <c r="J37" s="313"/>
      <c r="K37" s="314"/>
      <c r="L37" s="308"/>
      <c r="M37" s="311"/>
      <c r="N37" s="311"/>
      <c r="O37" s="311"/>
    </row>
    <row r="38" spans="1:15" ht="18" customHeight="1" x14ac:dyDescent="0.25">
      <c r="A38" s="261" t="s">
        <v>7</v>
      </c>
      <c r="B38" s="504" t="s">
        <v>8</v>
      </c>
      <c r="C38" s="504"/>
      <c r="D38" s="261" t="s">
        <v>9</v>
      </c>
      <c r="E38" s="261" t="s">
        <v>10</v>
      </c>
      <c r="F38" s="490" t="s">
        <v>11</v>
      </c>
      <c r="G38" s="490" t="s">
        <v>12</v>
      </c>
      <c r="H38" s="261" t="s">
        <v>13</v>
      </c>
      <c r="I38" s="261"/>
      <c r="J38" s="261" t="s">
        <v>15</v>
      </c>
      <c r="K38" s="261" t="s">
        <v>16</v>
      </c>
      <c r="L38" s="501" t="s">
        <v>17</v>
      </c>
      <c r="M38" s="501"/>
      <c r="N38" s="501"/>
      <c r="O38" s="261" t="s">
        <v>18</v>
      </c>
    </row>
    <row r="39" spans="1:15" ht="18" customHeight="1" x14ac:dyDescent="0.25">
      <c r="A39" s="490" t="s">
        <v>19</v>
      </c>
      <c r="B39" s="495" t="s">
        <v>20</v>
      </c>
      <c r="C39" s="496"/>
      <c r="D39" s="490" t="s">
        <v>21</v>
      </c>
      <c r="E39" s="490" t="s">
        <v>22</v>
      </c>
      <c r="F39" s="490"/>
      <c r="G39" s="490"/>
      <c r="H39" s="261" t="s">
        <v>23</v>
      </c>
      <c r="I39" s="261" t="s">
        <v>544</v>
      </c>
      <c r="J39" s="261" t="s">
        <v>24</v>
      </c>
      <c r="K39" s="261" t="s">
        <v>25</v>
      </c>
      <c r="L39" s="261" t="s">
        <v>26</v>
      </c>
      <c r="M39" s="261" t="s">
        <v>27</v>
      </c>
      <c r="N39" s="261" t="s">
        <v>28</v>
      </c>
      <c r="O39" s="481" t="s">
        <v>29</v>
      </c>
    </row>
    <row r="40" spans="1:15" ht="18" customHeight="1" x14ac:dyDescent="0.25">
      <c r="A40" s="491"/>
      <c r="B40" s="497"/>
      <c r="C40" s="498"/>
      <c r="D40" s="491"/>
      <c r="E40" s="491"/>
      <c r="F40" s="491"/>
      <c r="G40" s="491"/>
      <c r="H40" s="262" t="s">
        <v>30</v>
      </c>
      <c r="I40" s="262"/>
      <c r="J40" s="262" t="s">
        <v>31</v>
      </c>
      <c r="K40" s="262" t="s">
        <v>32</v>
      </c>
      <c r="L40" s="262" t="s">
        <v>33</v>
      </c>
      <c r="M40" s="262" t="s">
        <v>34</v>
      </c>
      <c r="N40" s="262" t="s">
        <v>35</v>
      </c>
      <c r="O40" s="482"/>
    </row>
    <row r="41" spans="1:15" ht="18" customHeight="1" x14ac:dyDescent="0.25">
      <c r="A41" s="263">
        <v>1</v>
      </c>
      <c r="B41" s="483">
        <v>2</v>
      </c>
      <c r="C41" s="484"/>
      <c r="D41" s="264">
        <v>3</v>
      </c>
      <c r="E41" s="264">
        <v>4</v>
      </c>
      <c r="F41" s="265">
        <v>5</v>
      </c>
      <c r="G41" s="265">
        <v>6</v>
      </c>
      <c r="H41" s="261">
        <v>7</v>
      </c>
      <c r="I41" s="261">
        <v>8</v>
      </c>
      <c r="J41" s="261">
        <v>9</v>
      </c>
      <c r="K41" s="261">
        <v>10</v>
      </c>
      <c r="L41" s="261">
        <v>11</v>
      </c>
      <c r="M41" s="261">
        <v>12</v>
      </c>
      <c r="N41" s="261">
        <v>13</v>
      </c>
      <c r="O41" s="264">
        <v>14</v>
      </c>
    </row>
    <row r="42" spans="1:15" ht="36" customHeight="1" x14ac:dyDescent="0.25">
      <c r="A42" s="266">
        <f>A30+1</f>
        <v>19</v>
      </c>
      <c r="B42" s="492" t="s">
        <v>133</v>
      </c>
      <c r="C42" s="493"/>
      <c r="D42" s="267" t="s">
        <v>406</v>
      </c>
      <c r="E42" s="268"/>
      <c r="F42" s="268"/>
      <c r="G42" s="282" t="s">
        <v>50</v>
      </c>
      <c r="H42" s="282">
        <v>2019</v>
      </c>
      <c r="I42" s="266" t="s">
        <v>136</v>
      </c>
      <c r="J42" s="269" t="s">
        <v>88</v>
      </c>
      <c r="K42" s="281">
        <v>5327418</v>
      </c>
      <c r="L42" s="266" t="s">
        <v>26</v>
      </c>
      <c r="M42" s="268"/>
      <c r="N42" s="268"/>
      <c r="O42" s="268" t="s">
        <v>402</v>
      </c>
    </row>
    <row r="43" spans="1:15" ht="36" customHeight="1" x14ac:dyDescent="0.25">
      <c r="A43" s="266">
        <f t="shared" ref="A43:A55" si="1">A42+1</f>
        <v>20</v>
      </c>
      <c r="B43" s="492" t="s">
        <v>133</v>
      </c>
      <c r="C43" s="493"/>
      <c r="D43" s="267" t="s">
        <v>406</v>
      </c>
      <c r="E43" s="268"/>
      <c r="F43" s="268"/>
      <c r="G43" s="282" t="s">
        <v>50</v>
      </c>
      <c r="H43" s="282">
        <v>2019</v>
      </c>
      <c r="I43" s="266" t="s">
        <v>136</v>
      </c>
      <c r="J43" s="269" t="s">
        <v>382</v>
      </c>
      <c r="K43" s="281">
        <v>5327418</v>
      </c>
      <c r="L43" s="266" t="s">
        <v>26</v>
      </c>
      <c r="M43" s="268"/>
      <c r="N43" s="268"/>
      <c r="O43" s="268" t="s">
        <v>398</v>
      </c>
    </row>
    <row r="44" spans="1:15" ht="36" customHeight="1" x14ac:dyDescent="0.25">
      <c r="A44" s="266">
        <f>A43+1</f>
        <v>21</v>
      </c>
      <c r="B44" s="492" t="s">
        <v>133</v>
      </c>
      <c r="C44" s="493"/>
      <c r="D44" s="267" t="s">
        <v>406</v>
      </c>
      <c r="E44" s="268"/>
      <c r="F44" s="268"/>
      <c r="G44" s="282" t="s">
        <v>50</v>
      </c>
      <c r="H44" s="282">
        <v>2019</v>
      </c>
      <c r="I44" s="266" t="s">
        <v>136</v>
      </c>
      <c r="J44" s="269" t="s">
        <v>140</v>
      </c>
      <c r="K44" s="281">
        <v>5327418</v>
      </c>
      <c r="L44" s="266" t="s">
        <v>26</v>
      </c>
      <c r="M44" s="268"/>
      <c r="N44" s="268"/>
      <c r="O44" s="268" t="s">
        <v>396</v>
      </c>
    </row>
    <row r="45" spans="1:15" ht="18" customHeight="1" x14ac:dyDescent="0.25">
      <c r="A45" s="266">
        <f t="shared" si="1"/>
        <v>22</v>
      </c>
      <c r="B45" s="492" t="s">
        <v>133</v>
      </c>
      <c r="C45" s="493"/>
      <c r="D45" s="267" t="s">
        <v>276</v>
      </c>
      <c r="E45" s="268"/>
      <c r="F45" s="268"/>
      <c r="G45" s="268" t="s">
        <v>91</v>
      </c>
      <c r="H45" s="282">
        <v>2020</v>
      </c>
      <c r="I45" s="266" t="s">
        <v>136</v>
      </c>
      <c r="J45" s="269" t="s">
        <v>145</v>
      </c>
      <c r="K45" s="281">
        <v>5567960</v>
      </c>
      <c r="L45" s="266" t="s">
        <v>26</v>
      </c>
      <c r="M45" s="268"/>
      <c r="N45" s="268"/>
      <c r="O45" s="268" t="s">
        <v>399</v>
      </c>
    </row>
    <row r="46" spans="1:15" ht="36" customHeight="1" x14ac:dyDescent="0.25">
      <c r="A46" s="266">
        <f t="shared" si="1"/>
        <v>23</v>
      </c>
      <c r="B46" s="505" t="s">
        <v>126</v>
      </c>
      <c r="C46" s="506"/>
      <c r="D46" s="267" t="s">
        <v>407</v>
      </c>
      <c r="E46" s="268"/>
      <c r="F46" s="268"/>
      <c r="G46" s="282" t="s">
        <v>50</v>
      </c>
      <c r="H46" s="266">
        <v>2016</v>
      </c>
      <c r="I46" s="266" t="s">
        <v>92</v>
      </c>
      <c r="J46" s="269" t="s">
        <v>145</v>
      </c>
      <c r="K46" s="291">
        <v>3142612</v>
      </c>
      <c r="L46" s="266" t="s">
        <v>26</v>
      </c>
      <c r="M46" s="268"/>
      <c r="N46" s="268"/>
      <c r="O46" s="268" t="s">
        <v>401</v>
      </c>
    </row>
    <row r="47" spans="1:15" ht="36" customHeight="1" x14ac:dyDescent="0.25">
      <c r="A47" s="266">
        <f t="shared" si="1"/>
        <v>24</v>
      </c>
      <c r="B47" s="492" t="s">
        <v>126</v>
      </c>
      <c r="C47" s="493"/>
      <c r="D47" s="267" t="s">
        <v>127</v>
      </c>
      <c r="E47" s="268"/>
      <c r="F47" s="268"/>
      <c r="G47" s="282" t="s">
        <v>50</v>
      </c>
      <c r="H47" s="266">
        <v>2016</v>
      </c>
      <c r="I47" s="266" t="s">
        <v>92</v>
      </c>
      <c r="J47" s="269" t="s">
        <v>128</v>
      </c>
      <c r="K47" s="281">
        <v>2000000</v>
      </c>
      <c r="L47" s="266" t="s">
        <v>26</v>
      </c>
      <c r="M47" s="268"/>
      <c r="N47" s="268"/>
      <c r="O47" s="268" t="s">
        <v>395</v>
      </c>
    </row>
    <row r="48" spans="1:15" ht="36" customHeight="1" x14ac:dyDescent="0.25">
      <c r="A48" s="266">
        <f t="shared" si="1"/>
        <v>25</v>
      </c>
      <c r="B48" s="492" t="s">
        <v>126</v>
      </c>
      <c r="C48" s="493"/>
      <c r="D48" s="267" t="s">
        <v>127</v>
      </c>
      <c r="E48" s="268"/>
      <c r="F48" s="268"/>
      <c r="G48" s="282" t="s">
        <v>50</v>
      </c>
      <c r="H48" s="266">
        <v>2016</v>
      </c>
      <c r="I48" s="266" t="s">
        <v>92</v>
      </c>
      <c r="J48" s="269" t="s">
        <v>117</v>
      </c>
      <c r="K48" s="281">
        <v>2000000</v>
      </c>
      <c r="L48" s="266" t="s">
        <v>26</v>
      </c>
      <c r="M48" s="268"/>
      <c r="N48" s="268"/>
      <c r="O48" s="268" t="s">
        <v>400</v>
      </c>
    </row>
    <row r="49" spans="1:15" ht="18" customHeight="1" x14ac:dyDescent="0.25">
      <c r="A49" s="266">
        <f t="shared" si="1"/>
        <v>26</v>
      </c>
      <c r="B49" s="492" t="s">
        <v>126</v>
      </c>
      <c r="C49" s="493"/>
      <c r="D49" s="267" t="s">
        <v>131</v>
      </c>
      <c r="E49" s="268"/>
      <c r="F49" s="268"/>
      <c r="G49" s="282" t="s">
        <v>56</v>
      </c>
      <c r="H49" s="266">
        <v>2019</v>
      </c>
      <c r="I49" s="266" t="s">
        <v>92</v>
      </c>
      <c r="J49" s="269" t="s">
        <v>130</v>
      </c>
      <c r="K49" s="281">
        <v>2512933</v>
      </c>
      <c r="L49" s="266" t="s">
        <v>26</v>
      </c>
      <c r="M49" s="268"/>
      <c r="N49" s="268"/>
      <c r="O49" s="268" t="s">
        <v>399</v>
      </c>
    </row>
    <row r="50" spans="1:15" ht="90" x14ac:dyDescent="0.25">
      <c r="A50" s="266">
        <f t="shared" si="1"/>
        <v>27</v>
      </c>
      <c r="B50" s="492" t="s">
        <v>126</v>
      </c>
      <c r="C50" s="493"/>
      <c r="D50" s="267" t="s">
        <v>129</v>
      </c>
      <c r="E50" s="268"/>
      <c r="F50" s="268"/>
      <c r="G50" s="282"/>
      <c r="H50" s="266">
        <v>2019</v>
      </c>
      <c r="I50" s="266" t="s">
        <v>92</v>
      </c>
      <c r="J50" s="269" t="s">
        <v>64</v>
      </c>
      <c r="K50" s="281">
        <v>11056905</v>
      </c>
      <c r="L50" s="266" t="s">
        <v>26</v>
      </c>
      <c r="M50" s="268"/>
      <c r="N50" s="268"/>
      <c r="O50" s="267" t="s">
        <v>347</v>
      </c>
    </row>
    <row r="51" spans="1:15" ht="18" x14ac:dyDescent="0.25">
      <c r="A51" s="266">
        <f t="shared" si="1"/>
        <v>28</v>
      </c>
      <c r="B51" s="492" t="s">
        <v>126</v>
      </c>
      <c r="C51" s="493"/>
      <c r="D51" s="267" t="s">
        <v>131</v>
      </c>
      <c r="E51" s="268"/>
      <c r="F51" s="268"/>
      <c r="G51" s="282" t="s">
        <v>56</v>
      </c>
      <c r="H51" s="266">
        <v>2019</v>
      </c>
      <c r="I51" s="266" t="s">
        <v>92</v>
      </c>
      <c r="J51" s="269" t="s">
        <v>120</v>
      </c>
      <c r="K51" s="281">
        <v>2512933</v>
      </c>
      <c r="L51" s="266" t="s">
        <v>26</v>
      </c>
      <c r="M51" s="268"/>
      <c r="N51" s="268"/>
      <c r="O51" s="267" t="s">
        <v>545</v>
      </c>
    </row>
    <row r="52" spans="1:15" ht="36" customHeight="1" x14ac:dyDescent="0.25">
      <c r="A52" s="266">
        <f t="shared" si="1"/>
        <v>29</v>
      </c>
      <c r="B52" s="492" t="s">
        <v>84</v>
      </c>
      <c r="C52" s="493"/>
      <c r="D52" s="267" t="s">
        <v>90</v>
      </c>
      <c r="E52" s="268"/>
      <c r="F52" s="268"/>
      <c r="G52" s="266"/>
      <c r="H52" s="266">
        <v>2020</v>
      </c>
      <c r="I52" s="266" t="s">
        <v>92</v>
      </c>
      <c r="J52" s="269" t="s">
        <v>132</v>
      </c>
      <c r="K52" s="292">
        <f>5516570/2</f>
        <v>2758285</v>
      </c>
      <c r="L52" s="266" t="s">
        <v>26</v>
      </c>
      <c r="M52" s="268"/>
      <c r="N52" s="268"/>
      <c r="O52" s="268" t="s">
        <v>397</v>
      </c>
    </row>
    <row r="53" spans="1:15" ht="18" customHeight="1" x14ac:dyDescent="0.25">
      <c r="A53" s="266">
        <f t="shared" si="1"/>
        <v>30</v>
      </c>
      <c r="B53" s="492" t="s">
        <v>112</v>
      </c>
      <c r="C53" s="493"/>
      <c r="D53" s="267" t="s">
        <v>113</v>
      </c>
      <c r="E53" s="268"/>
      <c r="F53" s="268"/>
      <c r="G53" s="282"/>
      <c r="H53" s="266">
        <v>2020</v>
      </c>
      <c r="I53" s="266" t="s">
        <v>114</v>
      </c>
      <c r="J53" s="269" t="s">
        <v>403</v>
      </c>
      <c r="K53" s="281">
        <v>7053750</v>
      </c>
      <c r="L53" s="266" t="s">
        <v>26</v>
      </c>
      <c r="M53" s="268"/>
      <c r="N53" s="268"/>
      <c r="O53" s="268" t="s">
        <v>399</v>
      </c>
    </row>
    <row r="54" spans="1:15" ht="18" customHeight="1" x14ac:dyDescent="0.25">
      <c r="A54" s="266">
        <f t="shared" si="1"/>
        <v>31</v>
      </c>
      <c r="B54" s="492" t="s">
        <v>112</v>
      </c>
      <c r="C54" s="493"/>
      <c r="D54" s="267" t="s">
        <v>113</v>
      </c>
      <c r="E54" s="268"/>
      <c r="F54" s="268"/>
      <c r="G54" s="282"/>
      <c r="H54" s="266">
        <v>2020</v>
      </c>
      <c r="I54" s="266" t="s">
        <v>114</v>
      </c>
      <c r="J54" s="269" t="s">
        <v>54</v>
      </c>
      <c r="K54" s="281">
        <v>7053750</v>
      </c>
      <c r="L54" s="266" t="s">
        <v>26</v>
      </c>
      <c r="M54" s="268"/>
      <c r="N54" s="268"/>
      <c r="O54" s="267" t="s">
        <v>487</v>
      </c>
    </row>
    <row r="55" spans="1:15" ht="18" customHeight="1" x14ac:dyDescent="0.25">
      <c r="A55" s="266">
        <f t="shared" si="1"/>
        <v>32</v>
      </c>
      <c r="B55" s="492" t="s">
        <v>112</v>
      </c>
      <c r="C55" s="493"/>
      <c r="D55" s="267" t="s">
        <v>113</v>
      </c>
      <c r="E55" s="268"/>
      <c r="F55" s="268"/>
      <c r="G55" s="282"/>
      <c r="H55" s="266">
        <v>2020</v>
      </c>
      <c r="I55" s="266" t="s">
        <v>114</v>
      </c>
      <c r="J55" s="269" t="s">
        <v>107</v>
      </c>
      <c r="K55" s="281">
        <v>7053750</v>
      </c>
      <c r="L55" s="266" t="s">
        <v>26</v>
      </c>
      <c r="M55" s="268"/>
      <c r="N55" s="268"/>
      <c r="O55" s="268" t="s">
        <v>395</v>
      </c>
    </row>
    <row r="56" spans="1:15" ht="18" customHeight="1" x14ac:dyDescent="0.25">
      <c r="A56" s="266">
        <f>A55+1</f>
        <v>33</v>
      </c>
      <c r="B56" s="492" t="s">
        <v>112</v>
      </c>
      <c r="C56" s="493"/>
      <c r="D56" s="267" t="s">
        <v>113</v>
      </c>
      <c r="E56" s="268"/>
      <c r="F56" s="268"/>
      <c r="G56" s="282"/>
      <c r="H56" s="266">
        <v>2020</v>
      </c>
      <c r="I56" s="266" t="s">
        <v>114</v>
      </c>
      <c r="J56" s="269" t="s">
        <v>125</v>
      </c>
      <c r="K56" s="281">
        <v>7053750</v>
      </c>
      <c r="L56" s="266" t="s">
        <v>26</v>
      </c>
      <c r="M56" s="268"/>
      <c r="N56" s="268"/>
      <c r="O56" s="268" t="s">
        <v>397</v>
      </c>
    </row>
    <row r="57" spans="1:15" ht="18" customHeight="1" x14ac:dyDescent="0.25">
      <c r="A57" s="266">
        <f>A56+1</f>
        <v>34</v>
      </c>
      <c r="B57" s="492" t="s">
        <v>112</v>
      </c>
      <c r="C57" s="493"/>
      <c r="D57" s="267" t="s">
        <v>113</v>
      </c>
      <c r="E57" s="268"/>
      <c r="F57" s="268"/>
      <c r="G57" s="282"/>
      <c r="H57" s="266">
        <v>2020</v>
      </c>
      <c r="I57" s="266" t="s">
        <v>114</v>
      </c>
      <c r="J57" s="269" t="s">
        <v>67</v>
      </c>
      <c r="K57" s="281">
        <v>7053750</v>
      </c>
      <c r="L57" s="266" t="s">
        <v>26</v>
      </c>
      <c r="M57" s="268"/>
      <c r="N57" s="268"/>
      <c r="O57" s="268" t="s">
        <v>404</v>
      </c>
    </row>
    <row r="58" spans="1:15" ht="18" customHeight="1" x14ac:dyDescent="0.25">
      <c r="A58" s="266">
        <f>A57+1</f>
        <v>35</v>
      </c>
      <c r="B58" s="492" t="s">
        <v>112</v>
      </c>
      <c r="C58" s="493"/>
      <c r="D58" s="267" t="s">
        <v>113</v>
      </c>
      <c r="E58" s="268"/>
      <c r="F58" s="268"/>
      <c r="G58" s="282"/>
      <c r="H58" s="266">
        <v>2020</v>
      </c>
      <c r="I58" s="266" t="s">
        <v>114</v>
      </c>
      <c r="J58" s="269" t="s">
        <v>74</v>
      </c>
      <c r="K58" s="281">
        <v>7053750</v>
      </c>
      <c r="L58" s="266" t="s">
        <v>26</v>
      </c>
      <c r="M58" s="268"/>
      <c r="N58" s="268"/>
      <c r="O58" s="268" t="s">
        <v>396</v>
      </c>
    </row>
    <row r="59" spans="1:15" ht="18" customHeight="1" x14ac:dyDescent="0.25">
      <c r="A59" s="266">
        <f>A58+1</f>
        <v>36</v>
      </c>
      <c r="B59" s="492" t="s">
        <v>112</v>
      </c>
      <c r="C59" s="493"/>
      <c r="D59" s="267" t="s">
        <v>113</v>
      </c>
      <c r="E59" s="268"/>
      <c r="F59" s="268"/>
      <c r="G59" s="282"/>
      <c r="H59" s="266">
        <v>2020</v>
      </c>
      <c r="I59" s="266" t="s">
        <v>114</v>
      </c>
      <c r="J59" s="269" t="s">
        <v>58</v>
      </c>
      <c r="K59" s="281">
        <v>7053750</v>
      </c>
      <c r="L59" s="266" t="s">
        <v>26</v>
      </c>
      <c r="M59" s="268"/>
      <c r="N59" s="268"/>
      <c r="O59" s="268" t="s">
        <v>398</v>
      </c>
    </row>
    <row r="60" spans="1:15" ht="18" customHeight="1" x14ac:dyDescent="0.25">
      <c r="A60" s="266">
        <v>37</v>
      </c>
      <c r="B60" s="492" t="s">
        <v>112</v>
      </c>
      <c r="C60" s="493"/>
      <c r="D60" s="267" t="s">
        <v>113</v>
      </c>
      <c r="E60" s="268"/>
      <c r="F60" s="268"/>
      <c r="G60" s="282"/>
      <c r="H60" s="266">
        <v>2020</v>
      </c>
      <c r="I60" s="266" t="s">
        <v>114</v>
      </c>
      <c r="J60" s="269" t="s">
        <v>97</v>
      </c>
      <c r="K60" s="281">
        <v>7053750</v>
      </c>
      <c r="L60" s="266" t="s">
        <v>26</v>
      </c>
      <c r="M60" s="268"/>
      <c r="N60" s="268"/>
      <c r="O60" s="267" t="s">
        <v>405</v>
      </c>
    </row>
    <row r="61" spans="1:15" ht="36" customHeight="1" x14ac:dyDescent="0.25">
      <c r="A61" s="266">
        <v>38</v>
      </c>
      <c r="B61" s="492" t="s">
        <v>225</v>
      </c>
      <c r="C61" s="493"/>
      <c r="D61" s="267" t="s">
        <v>408</v>
      </c>
      <c r="E61" s="268"/>
      <c r="F61" s="268"/>
      <c r="G61" s="282" t="s">
        <v>227</v>
      </c>
      <c r="H61" s="266">
        <v>2006</v>
      </c>
      <c r="I61" s="266" t="s">
        <v>228</v>
      </c>
      <c r="J61" s="269" t="s">
        <v>107</v>
      </c>
      <c r="K61" s="281">
        <v>154000</v>
      </c>
      <c r="L61" s="266" t="s">
        <v>26</v>
      </c>
      <c r="M61" s="268"/>
      <c r="N61" s="268"/>
      <c r="O61" s="267" t="s">
        <v>396</v>
      </c>
    </row>
    <row r="62" spans="1:15" ht="18" x14ac:dyDescent="0.25">
      <c r="A62" s="214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</row>
    <row r="63" spans="1:15" ht="18.75" x14ac:dyDescent="0.3">
      <c r="A63" s="214"/>
      <c r="B63" s="214"/>
      <c r="C63" s="277" t="s">
        <v>36</v>
      </c>
      <c r="D63" s="214"/>
      <c r="E63" s="214"/>
      <c r="F63" s="214"/>
      <c r="G63" s="214"/>
      <c r="H63" s="214"/>
      <c r="I63" s="214"/>
      <c r="J63" s="214"/>
      <c r="K63" s="214"/>
      <c r="L63" s="258" t="s">
        <v>578</v>
      </c>
      <c r="M63" s="214"/>
      <c r="N63" s="214"/>
      <c r="O63" s="214"/>
    </row>
    <row r="64" spans="1:15" ht="18" x14ac:dyDescent="0.25">
      <c r="A64" s="214"/>
      <c r="B64" s="214"/>
      <c r="C64" s="277"/>
      <c r="D64" s="214"/>
      <c r="E64" s="214"/>
      <c r="F64" s="214"/>
      <c r="G64" s="214"/>
      <c r="H64" s="214"/>
      <c r="I64" s="214"/>
      <c r="J64" s="214"/>
      <c r="K64" s="214"/>
      <c r="L64" s="5"/>
      <c r="M64" s="214"/>
      <c r="N64" s="214"/>
      <c r="O64" s="214"/>
    </row>
    <row r="65" spans="1:15" ht="18" x14ac:dyDescent="0.25">
      <c r="A65" s="214"/>
      <c r="B65" s="214"/>
      <c r="C65" s="5" t="s">
        <v>572</v>
      </c>
      <c r="D65" s="214"/>
      <c r="E65" s="214"/>
      <c r="F65" s="214"/>
      <c r="G65" s="214"/>
      <c r="H65" s="214"/>
      <c r="I65" s="214"/>
      <c r="J65" s="214"/>
      <c r="K65" s="214"/>
      <c r="L65" s="5" t="s">
        <v>580</v>
      </c>
      <c r="M65" s="214"/>
      <c r="N65" s="214"/>
      <c r="O65" s="214"/>
    </row>
    <row r="66" spans="1:15" ht="18" x14ac:dyDescent="0.25">
      <c r="A66" s="214"/>
      <c r="B66" s="214"/>
      <c r="C66" s="5"/>
      <c r="D66" s="214"/>
      <c r="E66" s="214"/>
      <c r="F66" s="214"/>
      <c r="G66" s="214"/>
      <c r="H66" s="214"/>
      <c r="I66" s="214"/>
      <c r="J66" s="214"/>
      <c r="K66" s="214"/>
      <c r="L66" s="5"/>
      <c r="M66" s="214"/>
      <c r="N66" s="214"/>
      <c r="O66" s="214"/>
    </row>
    <row r="67" spans="1:15" ht="18" x14ac:dyDescent="0.25">
      <c r="A67" s="214"/>
      <c r="B67" s="214"/>
      <c r="C67" s="5"/>
      <c r="D67" s="214"/>
      <c r="E67" s="214"/>
      <c r="F67" s="214"/>
      <c r="G67" s="214"/>
      <c r="H67" s="214"/>
      <c r="I67" s="214"/>
      <c r="J67" s="214"/>
      <c r="K67" s="214"/>
      <c r="L67" s="5"/>
      <c r="M67" s="214"/>
      <c r="N67" s="214"/>
      <c r="O67" s="214"/>
    </row>
    <row r="68" spans="1:15" ht="18" x14ac:dyDescent="0.25">
      <c r="A68" s="214"/>
      <c r="B68" s="214"/>
      <c r="C68" s="5"/>
      <c r="D68" s="214"/>
      <c r="E68" s="214"/>
      <c r="F68" s="214"/>
      <c r="G68" s="214"/>
      <c r="H68" s="214"/>
      <c r="I68" s="214"/>
      <c r="J68" s="214"/>
      <c r="K68" s="214"/>
      <c r="L68" s="5"/>
      <c r="M68" s="214"/>
      <c r="N68" s="214"/>
      <c r="O68" s="214"/>
    </row>
    <row r="69" spans="1:15" ht="18" x14ac:dyDescent="0.25">
      <c r="A69" s="214"/>
      <c r="B69" s="214"/>
      <c r="C69" s="6" t="s">
        <v>573</v>
      </c>
      <c r="D69" s="214"/>
      <c r="E69" s="214"/>
      <c r="F69" s="214"/>
      <c r="G69" s="214"/>
      <c r="H69" s="214"/>
      <c r="I69" s="214"/>
      <c r="J69" s="214"/>
      <c r="K69" s="214"/>
      <c r="L69" s="6" t="s">
        <v>576</v>
      </c>
      <c r="M69" s="214"/>
      <c r="N69" s="214"/>
      <c r="O69" s="214"/>
    </row>
    <row r="70" spans="1:15" ht="18" x14ac:dyDescent="0.25">
      <c r="A70" s="214"/>
      <c r="B70" s="214"/>
      <c r="C70" s="5" t="s">
        <v>39</v>
      </c>
      <c r="D70" s="214"/>
      <c r="E70" s="214"/>
      <c r="F70" s="214"/>
      <c r="G70" s="214"/>
      <c r="H70" s="214"/>
      <c r="I70" s="214"/>
      <c r="J70" s="214"/>
      <c r="K70" s="214"/>
      <c r="L70" s="23" t="str">
        <f>'RUANG KABAN'!M30</f>
        <v>NIP. 19721124 200604 2 005</v>
      </c>
      <c r="M70" s="214"/>
      <c r="N70" s="214"/>
      <c r="O70" s="214"/>
    </row>
    <row r="71" spans="1:15" ht="18" x14ac:dyDescent="0.25">
      <c r="A71" s="214"/>
      <c r="B71" s="214"/>
      <c r="C71" s="23" t="s">
        <v>574</v>
      </c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</row>
    <row r="72" spans="1:15" x14ac:dyDescent="0.25">
      <c r="K72" s="24"/>
    </row>
    <row r="73" spans="1:15" x14ac:dyDescent="0.25">
      <c r="B73" s="21"/>
      <c r="K73" s="25"/>
    </row>
    <row r="74" spans="1:15" x14ac:dyDescent="0.25">
      <c r="B74" s="22"/>
    </row>
    <row r="75" spans="1:15" x14ac:dyDescent="0.25">
      <c r="B75" s="22"/>
    </row>
  </sheetData>
  <mergeCells count="62">
    <mergeCell ref="B61:C61"/>
    <mergeCell ref="B56:C56"/>
    <mergeCell ref="B57:C57"/>
    <mergeCell ref="B58:C58"/>
    <mergeCell ref="B59:C59"/>
    <mergeCell ref="B60:C60"/>
    <mergeCell ref="B54:C54"/>
    <mergeCell ref="B55:C55"/>
    <mergeCell ref="B43:C43"/>
    <mergeCell ref="B53:C53"/>
    <mergeCell ref="F38:F40"/>
    <mergeCell ref="B48:C48"/>
    <mergeCell ref="B50:C50"/>
    <mergeCell ref="B49:C49"/>
    <mergeCell ref="B52:C52"/>
    <mergeCell ref="B51:C51"/>
    <mergeCell ref="B16:C16"/>
    <mergeCell ref="B28:C28"/>
    <mergeCell ref="B17:C17"/>
    <mergeCell ref="B20:C20"/>
    <mergeCell ref="B21:C21"/>
    <mergeCell ref="B22:C22"/>
    <mergeCell ref="B18:C18"/>
    <mergeCell ref="B19:C19"/>
    <mergeCell ref="B23:C23"/>
    <mergeCell ref="B24:C24"/>
    <mergeCell ref="B25:C25"/>
    <mergeCell ref="B26:C26"/>
    <mergeCell ref="B27:C27"/>
    <mergeCell ref="A3:B3"/>
    <mergeCell ref="A4:B4"/>
    <mergeCell ref="A5:B5"/>
    <mergeCell ref="A6:B6"/>
    <mergeCell ref="B9:C9"/>
    <mergeCell ref="A10:A11"/>
    <mergeCell ref="B10:C11"/>
    <mergeCell ref="D10:D11"/>
    <mergeCell ref="E10:E11"/>
    <mergeCell ref="F9:F11"/>
    <mergeCell ref="O10:O11"/>
    <mergeCell ref="B12:C12"/>
    <mergeCell ref="B13:C13"/>
    <mergeCell ref="B14:C14"/>
    <mergeCell ref="B15:C15"/>
    <mergeCell ref="G9:G11"/>
    <mergeCell ref="L9:N9"/>
    <mergeCell ref="B29:C29"/>
    <mergeCell ref="B30:C30"/>
    <mergeCell ref="B44:C44"/>
    <mergeCell ref="B47:C47"/>
    <mergeCell ref="B45:C45"/>
    <mergeCell ref="B38:C38"/>
    <mergeCell ref="B46:C46"/>
    <mergeCell ref="B42:C42"/>
    <mergeCell ref="O39:O40"/>
    <mergeCell ref="B41:C41"/>
    <mergeCell ref="L38:N38"/>
    <mergeCell ref="A39:A40"/>
    <mergeCell ref="B39:C40"/>
    <mergeCell ref="D39:D40"/>
    <mergeCell ref="E39:E40"/>
    <mergeCell ref="G38:G40"/>
  </mergeCells>
  <printOptions horizontalCentered="1"/>
  <pageMargins left="0.11811023622047245" right="0.35433070866141736" top="0.19685039370078741" bottom="0.15748031496062992" header="0" footer="0"/>
  <pageSetup paperSize="5" scale="65" orientation="landscape" horizontalDpi="4294967293" verticalDpi="360" r:id="rId1"/>
  <headerFooter alignWithMargins="0">
    <oddFooter>&amp;L&amp;9&amp;F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O35"/>
  <sheetViews>
    <sheetView view="pageBreakPreview" zoomScaleNormal="55" workbookViewId="0">
      <selection activeCell="O20" sqref="O20"/>
    </sheetView>
  </sheetViews>
  <sheetFormatPr defaultRowHeight="15.75" x14ac:dyDescent="0.25"/>
  <cols>
    <col min="1" max="1" width="6" customWidth="1"/>
    <col min="2" max="2" width="9" customWidth="1"/>
    <col min="3" max="3" width="17.75" customWidth="1"/>
    <col min="4" max="4" width="14.75" customWidth="1"/>
    <col min="5" max="5" width="11.25" customWidth="1"/>
    <col min="6" max="6" width="11.5" customWidth="1"/>
    <col min="7" max="7" width="14.875" customWidth="1"/>
    <col min="8" max="8" width="18.875" customWidth="1"/>
    <col min="9" max="9" width="20.375" customWidth="1"/>
    <col min="10" max="10" width="13.5" customWidth="1"/>
    <col min="11" max="11" width="17" customWidth="1"/>
    <col min="13" max="13" width="15.25" customWidth="1"/>
    <col min="14" max="14" width="14.5" customWidth="1"/>
    <col min="15" max="15" width="15" customWidth="1"/>
    <col min="258" max="258" width="7" customWidth="1"/>
    <col min="259" max="259" width="17.75" customWidth="1"/>
    <col min="260" max="260" width="10.875" customWidth="1"/>
    <col min="261" max="261" width="11.25" customWidth="1"/>
    <col min="262" max="262" width="11.5" customWidth="1"/>
    <col min="263" max="263" width="11.625" customWidth="1"/>
    <col min="264" max="264" width="15.5" customWidth="1"/>
    <col min="265" max="265" width="18.75" customWidth="1"/>
    <col min="266" max="266" width="15.375" customWidth="1"/>
    <col min="267" max="267" width="15.125" customWidth="1"/>
    <col min="269" max="269" width="11" customWidth="1"/>
    <col min="270" max="270" width="10.625" customWidth="1"/>
    <col min="271" max="271" width="9.625" customWidth="1"/>
    <col min="514" max="514" width="7" customWidth="1"/>
    <col min="515" max="515" width="17.75" customWidth="1"/>
    <col min="516" max="516" width="10.875" customWidth="1"/>
    <col min="517" max="517" width="11.25" customWidth="1"/>
    <col min="518" max="518" width="11.5" customWidth="1"/>
    <col min="519" max="519" width="11.625" customWidth="1"/>
    <col min="520" max="520" width="15.5" customWidth="1"/>
    <col min="521" max="521" width="18.75" customWidth="1"/>
    <col min="522" max="522" width="15.375" customWidth="1"/>
    <col min="523" max="523" width="15.125" customWidth="1"/>
    <col min="525" max="525" width="11" customWidth="1"/>
    <col min="526" max="526" width="10.625" customWidth="1"/>
    <col min="527" max="527" width="9.625" customWidth="1"/>
    <col min="770" max="770" width="7" customWidth="1"/>
    <col min="771" max="771" width="17.75" customWidth="1"/>
    <col min="772" max="772" width="10.875" customWidth="1"/>
    <col min="773" max="773" width="11.25" customWidth="1"/>
    <col min="774" max="774" width="11.5" customWidth="1"/>
    <col min="775" max="775" width="11.625" customWidth="1"/>
    <col min="776" max="776" width="15.5" customWidth="1"/>
    <col min="777" max="777" width="18.75" customWidth="1"/>
    <col min="778" max="778" width="15.375" customWidth="1"/>
    <col min="779" max="779" width="15.125" customWidth="1"/>
    <col min="781" max="781" width="11" customWidth="1"/>
    <col min="782" max="782" width="10.625" customWidth="1"/>
    <col min="783" max="783" width="9.625" customWidth="1"/>
    <col min="1026" max="1026" width="7" customWidth="1"/>
    <col min="1027" max="1027" width="17.75" customWidth="1"/>
    <col min="1028" max="1028" width="10.875" customWidth="1"/>
    <col min="1029" max="1029" width="11.25" customWidth="1"/>
    <col min="1030" max="1030" width="11.5" customWidth="1"/>
    <col min="1031" max="1031" width="11.625" customWidth="1"/>
    <col min="1032" max="1032" width="15.5" customWidth="1"/>
    <col min="1033" max="1033" width="18.75" customWidth="1"/>
    <col min="1034" max="1034" width="15.375" customWidth="1"/>
    <col min="1035" max="1035" width="15.125" customWidth="1"/>
    <col min="1037" max="1037" width="11" customWidth="1"/>
    <col min="1038" max="1038" width="10.625" customWidth="1"/>
    <col min="1039" max="1039" width="9.625" customWidth="1"/>
    <col min="1282" max="1282" width="7" customWidth="1"/>
    <col min="1283" max="1283" width="17.75" customWidth="1"/>
    <col min="1284" max="1284" width="10.875" customWidth="1"/>
    <col min="1285" max="1285" width="11.25" customWidth="1"/>
    <col min="1286" max="1286" width="11.5" customWidth="1"/>
    <col min="1287" max="1287" width="11.625" customWidth="1"/>
    <col min="1288" max="1288" width="15.5" customWidth="1"/>
    <col min="1289" max="1289" width="18.75" customWidth="1"/>
    <col min="1290" max="1290" width="15.375" customWidth="1"/>
    <col min="1291" max="1291" width="15.125" customWidth="1"/>
    <col min="1293" max="1293" width="11" customWidth="1"/>
    <col min="1294" max="1294" width="10.625" customWidth="1"/>
    <col min="1295" max="1295" width="9.625" customWidth="1"/>
    <col min="1538" max="1538" width="7" customWidth="1"/>
    <col min="1539" max="1539" width="17.75" customWidth="1"/>
    <col min="1540" max="1540" width="10.875" customWidth="1"/>
    <col min="1541" max="1541" width="11.25" customWidth="1"/>
    <col min="1542" max="1542" width="11.5" customWidth="1"/>
    <col min="1543" max="1543" width="11.625" customWidth="1"/>
    <col min="1544" max="1544" width="15.5" customWidth="1"/>
    <col min="1545" max="1545" width="18.75" customWidth="1"/>
    <col min="1546" max="1546" width="15.375" customWidth="1"/>
    <col min="1547" max="1547" width="15.125" customWidth="1"/>
    <col min="1549" max="1549" width="11" customWidth="1"/>
    <col min="1550" max="1550" width="10.625" customWidth="1"/>
    <col min="1551" max="1551" width="9.625" customWidth="1"/>
    <col min="1794" max="1794" width="7" customWidth="1"/>
    <col min="1795" max="1795" width="17.75" customWidth="1"/>
    <col min="1796" max="1796" width="10.875" customWidth="1"/>
    <col min="1797" max="1797" width="11.25" customWidth="1"/>
    <col min="1798" max="1798" width="11.5" customWidth="1"/>
    <col min="1799" max="1799" width="11.625" customWidth="1"/>
    <col min="1800" max="1800" width="15.5" customWidth="1"/>
    <col min="1801" max="1801" width="18.75" customWidth="1"/>
    <col min="1802" max="1802" width="15.375" customWidth="1"/>
    <col min="1803" max="1803" width="15.125" customWidth="1"/>
    <col min="1805" max="1805" width="11" customWidth="1"/>
    <col min="1806" max="1806" width="10.625" customWidth="1"/>
    <col min="1807" max="1807" width="9.625" customWidth="1"/>
    <col min="2050" max="2050" width="7" customWidth="1"/>
    <col min="2051" max="2051" width="17.75" customWidth="1"/>
    <col min="2052" max="2052" width="10.875" customWidth="1"/>
    <col min="2053" max="2053" width="11.25" customWidth="1"/>
    <col min="2054" max="2054" width="11.5" customWidth="1"/>
    <col min="2055" max="2055" width="11.625" customWidth="1"/>
    <col min="2056" max="2056" width="15.5" customWidth="1"/>
    <col min="2057" max="2057" width="18.75" customWidth="1"/>
    <col min="2058" max="2058" width="15.375" customWidth="1"/>
    <col min="2059" max="2059" width="15.125" customWidth="1"/>
    <col min="2061" max="2061" width="11" customWidth="1"/>
    <col min="2062" max="2062" width="10.625" customWidth="1"/>
    <col min="2063" max="2063" width="9.625" customWidth="1"/>
    <col min="2306" max="2306" width="7" customWidth="1"/>
    <col min="2307" max="2307" width="17.75" customWidth="1"/>
    <col min="2308" max="2308" width="10.875" customWidth="1"/>
    <col min="2309" max="2309" width="11.25" customWidth="1"/>
    <col min="2310" max="2310" width="11.5" customWidth="1"/>
    <col min="2311" max="2311" width="11.625" customWidth="1"/>
    <col min="2312" max="2312" width="15.5" customWidth="1"/>
    <col min="2313" max="2313" width="18.75" customWidth="1"/>
    <col min="2314" max="2314" width="15.375" customWidth="1"/>
    <col min="2315" max="2315" width="15.125" customWidth="1"/>
    <col min="2317" max="2317" width="11" customWidth="1"/>
    <col min="2318" max="2318" width="10.625" customWidth="1"/>
    <col min="2319" max="2319" width="9.625" customWidth="1"/>
    <col min="2562" max="2562" width="7" customWidth="1"/>
    <col min="2563" max="2563" width="17.75" customWidth="1"/>
    <col min="2564" max="2564" width="10.875" customWidth="1"/>
    <col min="2565" max="2565" width="11.25" customWidth="1"/>
    <col min="2566" max="2566" width="11.5" customWidth="1"/>
    <col min="2567" max="2567" width="11.625" customWidth="1"/>
    <col min="2568" max="2568" width="15.5" customWidth="1"/>
    <col min="2569" max="2569" width="18.75" customWidth="1"/>
    <col min="2570" max="2570" width="15.375" customWidth="1"/>
    <col min="2571" max="2571" width="15.125" customWidth="1"/>
    <col min="2573" max="2573" width="11" customWidth="1"/>
    <col min="2574" max="2574" width="10.625" customWidth="1"/>
    <col min="2575" max="2575" width="9.625" customWidth="1"/>
    <col min="2818" max="2818" width="7" customWidth="1"/>
    <col min="2819" max="2819" width="17.75" customWidth="1"/>
    <col min="2820" max="2820" width="10.875" customWidth="1"/>
    <col min="2821" max="2821" width="11.25" customWidth="1"/>
    <col min="2822" max="2822" width="11.5" customWidth="1"/>
    <col min="2823" max="2823" width="11.625" customWidth="1"/>
    <col min="2824" max="2824" width="15.5" customWidth="1"/>
    <col min="2825" max="2825" width="18.75" customWidth="1"/>
    <col min="2826" max="2826" width="15.375" customWidth="1"/>
    <col min="2827" max="2827" width="15.125" customWidth="1"/>
    <col min="2829" max="2829" width="11" customWidth="1"/>
    <col min="2830" max="2830" width="10.625" customWidth="1"/>
    <col min="2831" max="2831" width="9.625" customWidth="1"/>
    <col min="3074" max="3074" width="7" customWidth="1"/>
    <col min="3075" max="3075" width="17.75" customWidth="1"/>
    <col min="3076" max="3076" width="10.875" customWidth="1"/>
    <col min="3077" max="3077" width="11.25" customWidth="1"/>
    <col min="3078" max="3078" width="11.5" customWidth="1"/>
    <col min="3079" max="3079" width="11.625" customWidth="1"/>
    <col min="3080" max="3080" width="15.5" customWidth="1"/>
    <col min="3081" max="3081" width="18.75" customWidth="1"/>
    <col min="3082" max="3082" width="15.375" customWidth="1"/>
    <col min="3083" max="3083" width="15.125" customWidth="1"/>
    <col min="3085" max="3085" width="11" customWidth="1"/>
    <col min="3086" max="3086" width="10.625" customWidth="1"/>
    <col min="3087" max="3087" width="9.625" customWidth="1"/>
    <col min="3330" max="3330" width="7" customWidth="1"/>
    <col min="3331" max="3331" width="17.75" customWidth="1"/>
    <col min="3332" max="3332" width="10.875" customWidth="1"/>
    <col min="3333" max="3333" width="11.25" customWidth="1"/>
    <col min="3334" max="3334" width="11.5" customWidth="1"/>
    <col min="3335" max="3335" width="11.625" customWidth="1"/>
    <col min="3336" max="3336" width="15.5" customWidth="1"/>
    <col min="3337" max="3337" width="18.75" customWidth="1"/>
    <col min="3338" max="3338" width="15.375" customWidth="1"/>
    <col min="3339" max="3339" width="15.125" customWidth="1"/>
    <col min="3341" max="3341" width="11" customWidth="1"/>
    <col min="3342" max="3342" width="10.625" customWidth="1"/>
    <col min="3343" max="3343" width="9.625" customWidth="1"/>
    <col min="3586" max="3586" width="7" customWidth="1"/>
    <col min="3587" max="3587" width="17.75" customWidth="1"/>
    <col min="3588" max="3588" width="10.875" customWidth="1"/>
    <col min="3589" max="3589" width="11.25" customWidth="1"/>
    <col min="3590" max="3590" width="11.5" customWidth="1"/>
    <col min="3591" max="3591" width="11.625" customWidth="1"/>
    <col min="3592" max="3592" width="15.5" customWidth="1"/>
    <col min="3593" max="3593" width="18.75" customWidth="1"/>
    <col min="3594" max="3594" width="15.375" customWidth="1"/>
    <col min="3595" max="3595" width="15.125" customWidth="1"/>
    <col min="3597" max="3597" width="11" customWidth="1"/>
    <col min="3598" max="3598" width="10.625" customWidth="1"/>
    <col min="3599" max="3599" width="9.625" customWidth="1"/>
    <col min="3842" max="3842" width="7" customWidth="1"/>
    <col min="3843" max="3843" width="17.75" customWidth="1"/>
    <col min="3844" max="3844" width="10.875" customWidth="1"/>
    <col min="3845" max="3845" width="11.25" customWidth="1"/>
    <col min="3846" max="3846" width="11.5" customWidth="1"/>
    <col min="3847" max="3847" width="11.625" customWidth="1"/>
    <col min="3848" max="3848" width="15.5" customWidth="1"/>
    <col min="3849" max="3849" width="18.75" customWidth="1"/>
    <col min="3850" max="3850" width="15.375" customWidth="1"/>
    <col min="3851" max="3851" width="15.125" customWidth="1"/>
    <col min="3853" max="3853" width="11" customWidth="1"/>
    <col min="3854" max="3854" width="10.625" customWidth="1"/>
    <col min="3855" max="3855" width="9.625" customWidth="1"/>
    <col min="4098" max="4098" width="7" customWidth="1"/>
    <col min="4099" max="4099" width="17.75" customWidth="1"/>
    <col min="4100" max="4100" width="10.875" customWidth="1"/>
    <col min="4101" max="4101" width="11.25" customWidth="1"/>
    <col min="4102" max="4102" width="11.5" customWidth="1"/>
    <col min="4103" max="4103" width="11.625" customWidth="1"/>
    <col min="4104" max="4104" width="15.5" customWidth="1"/>
    <col min="4105" max="4105" width="18.75" customWidth="1"/>
    <col min="4106" max="4106" width="15.375" customWidth="1"/>
    <col min="4107" max="4107" width="15.125" customWidth="1"/>
    <col min="4109" max="4109" width="11" customWidth="1"/>
    <col min="4110" max="4110" width="10.625" customWidth="1"/>
    <col min="4111" max="4111" width="9.625" customWidth="1"/>
    <col min="4354" max="4354" width="7" customWidth="1"/>
    <col min="4355" max="4355" width="17.75" customWidth="1"/>
    <col min="4356" max="4356" width="10.875" customWidth="1"/>
    <col min="4357" max="4357" width="11.25" customWidth="1"/>
    <col min="4358" max="4358" width="11.5" customWidth="1"/>
    <col min="4359" max="4359" width="11.625" customWidth="1"/>
    <col min="4360" max="4360" width="15.5" customWidth="1"/>
    <col min="4361" max="4361" width="18.75" customWidth="1"/>
    <col min="4362" max="4362" width="15.375" customWidth="1"/>
    <col min="4363" max="4363" width="15.125" customWidth="1"/>
    <col min="4365" max="4365" width="11" customWidth="1"/>
    <col min="4366" max="4366" width="10.625" customWidth="1"/>
    <col min="4367" max="4367" width="9.625" customWidth="1"/>
    <col min="4610" max="4610" width="7" customWidth="1"/>
    <col min="4611" max="4611" width="17.75" customWidth="1"/>
    <col min="4612" max="4612" width="10.875" customWidth="1"/>
    <col min="4613" max="4613" width="11.25" customWidth="1"/>
    <col min="4614" max="4614" width="11.5" customWidth="1"/>
    <col min="4615" max="4615" width="11.625" customWidth="1"/>
    <col min="4616" max="4616" width="15.5" customWidth="1"/>
    <col min="4617" max="4617" width="18.75" customWidth="1"/>
    <col min="4618" max="4618" width="15.375" customWidth="1"/>
    <col min="4619" max="4619" width="15.125" customWidth="1"/>
    <col min="4621" max="4621" width="11" customWidth="1"/>
    <col min="4622" max="4622" width="10.625" customWidth="1"/>
    <col min="4623" max="4623" width="9.625" customWidth="1"/>
    <col min="4866" max="4866" width="7" customWidth="1"/>
    <col min="4867" max="4867" width="17.75" customWidth="1"/>
    <col min="4868" max="4868" width="10.875" customWidth="1"/>
    <col min="4869" max="4869" width="11.25" customWidth="1"/>
    <col min="4870" max="4870" width="11.5" customWidth="1"/>
    <col min="4871" max="4871" width="11.625" customWidth="1"/>
    <col min="4872" max="4872" width="15.5" customWidth="1"/>
    <col min="4873" max="4873" width="18.75" customWidth="1"/>
    <col min="4874" max="4874" width="15.375" customWidth="1"/>
    <col min="4875" max="4875" width="15.125" customWidth="1"/>
    <col min="4877" max="4877" width="11" customWidth="1"/>
    <col min="4878" max="4878" width="10.625" customWidth="1"/>
    <col min="4879" max="4879" width="9.625" customWidth="1"/>
    <col min="5122" max="5122" width="7" customWidth="1"/>
    <col min="5123" max="5123" width="17.75" customWidth="1"/>
    <col min="5124" max="5124" width="10.875" customWidth="1"/>
    <col min="5125" max="5125" width="11.25" customWidth="1"/>
    <col min="5126" max="5126" width="11.5" customWidth="1"/>
    <col min="5127" max="5127" width="11.625" customWidth="1"/>
    <col min="5128" max="5128" width="15.5" customWidth="1"/>
    <col min="5129" max="5129" width="18.75" customWidth="1"/>
    <col min="5130" max="5130" width="15.375" customWidth="1"/>
    <col min="5131" max="5131" width="15.125" customWidth="1"/>
    <col min="5133" max="5133" width="11" customWidth="1"/>
    <col min="5134" max="5134" width="10.625" customWidth="1"/>
    <col min="5135" max="5135" width="9.625" customWidth="1"/>
    <col min="5378" max="5378" width="7" customWidth="1"/>
    <col min="5379" max="5379" width="17.75" customWidth="1"/>
    <col min="5380" max="5380" width="10.875" customWidth="1"/>
    <col min="5381" max="5381" width="11.25" customWidth="1"/>
    <col min="5382" max="5382" width="11.5" customWidth="1"/>
    <col min="5383" max="5383" width="11.625" customWidth="1"/>
    <col min="5384" max="5384" width="15.5" customWidth="1"/>
    <col min="5385" max="5385" width="18.75" customWidth="1"/>
    <col min="5386" max="5386" width="15.375" customWidth="1"/>
    <col min="5387" max="5387" width="15.125" customWidth="1"/>
    <col min="5389" max="5389" width="11" customWidth="1"/>
    <col min="5390" max="5390" width="10.625" customWidth="1"/>
    <col min="5391" max="5391" width="9.625" customWidth="1"/>
    <col min="5634" max="5634" width="7" customWidth="1"/>
    <col min="5635" max="5635" width="17.75" customWidth="1"/>
    <col min="5636" max="5636" width="10.875" customWidth="1"/>
    <col min="5637" max="5637" width="11.25" customWidth="1"/>
    <col min="5638" max="5638" width="11.5" customWidth="1"/>
    <col min="5639" max="5639" width="11.625" customWidth="1"/>
    <col min="5640" max="5640" width="15.5" customWidth="1"/>
    <col min="5641" max="5641" width="18.75" customWidth="1"/>
    <col min="5642" max="5642" width="15.375" customWidth="1"/>
    <col min="5643" max="5643" width="15.125" customWidth="1"/>
    <col min="5645" max="5645" width="11" customWidth="1"/>
    <col min="5646" max="5646" width="10.625" customWidth="1"/>
    <col min="5647" max="5647" width="9.625" customWidth="1"/>
    <col min="5890" max="5890" width="7" customWidth="1"/>
    <col min="5891" max="5891" width="17.75" customWidth="1"/>
    <col min="5892" max="5892" width="10.875" customWidth="1"/>
    <col min="5893" max="5893" width="11.25" customWidth="1"/>
    <col min="5894" max="5894" width="11.5" customWidth="1"/>
    <col min="5895" max="5895" width="11.625" customWidth="1"/>
    <col min="5896" max="5896" width="15.5" customWidth="1"/>
    <col min="5897" max="5897" width="18.75" customWidth="1"/>
    <col min="5898" max="5898" width="15.375" customWidth="1"/>
    <col min="5899" max="5899" width="15.125" customWidth="1"/>
    <col min="5901" max="5901" width="11" customWidth="1"/>
    <col min="5902" max="5902" width="10.625" customWidth="1"/>
    <col min="5903" max="5903" width="9.625" customWidth="1"/>
    <col min="6146" max="6146" width="7" customWidth="1"/>
    <col min="6147" max="6147" width="17.75" customWidth="1"/>
    <col min="6148" max="6148" width="10.875" customWidth="1"/>
    <col min="6149" max="6149" width="11.25" customWidth="1"/>
    <col min="6150" max="6150" width="11.5" customWidth="1"/>
    <col min="6151" max="6151" width="11.625" customWidth="1"/>
    <col min="6152" max="6152" width="15.5" customWidth="1"/>
    <col min="6153" max="6153" width="18.75" customWidth="1"/>
    <col min="6154" max="6154" width="15.375" customWidth="1"/>
    <col min="6155" max="6155" width="15.125" customWidth="1"/>
    <col min="6157" max="6157" width="11" customWidth="1"/>
    <col min="6158" max="6158" width="10.625" customWidth="1"/>
    <col min="6159" max="6159" width="9.625" customWidth="1"/>
    <col min="6402" max="6402" width="7" customWidth="1"/>
    <col min="6403" max="6403" width="17.75" customWidth="1"/>
    <col min="6404" max="6404" width="10.875" customWidth="1"/>
    <col min="6405" max="6405" width="11.25" customWidth="1"/>
    <col min="6406" max="6406" width="11.5" customWidth="1"/>
    <col min="6407" max="6407" width="11.625" customWidth="1"/>
    <col min="6408" max="6408" width="15.5" customWidth="1"/>
    <col min="6409" max="6409" width="18.75" customWidth="1"/>
    <col min="6410" max="6410" width="15.375" customWidth="1"/>
    <col min="6411" max="6411" width="15.125" customWidth="1"/>
    <col min="6413" max="6413" width="11" customWidth="1"/>
    <col min="6414" max="6414" width="10.625" customWidth="1"/>
    <col min="6415" max="6415" width="9.625" customWidth="1"/>
    <col min="6658" max="6658" width="7" customWidth="1"/>
    <col min="6659" max="6659" width="17.75" customWidth="1"/>
    <col min="6660" max="6660" width="10.875" customWidth="1"/>
    <col min="6661" max="6661" width="11.25" customWidth="1"/>
    <col min="6662" max="6662" width="11.5" customWidth="1"/>
    <col min="6663" max="6663" width="11.625" customWidth="1"/>
    <col min="6664" max="6664" width="15.5" customWidth="1"/>
    <col min="6665" max="6665" width="18.75" customWidth="1"/>
    <col min="6666" max="6666" width="15.375" customWidth="1"/>
    <col min="6667" max="6667" width="15.125" customWidth="1"/>
    <col min="6669" max="6669" width="11" customWidth="1"/>
    <col min="6670" max="6670" width="10.625" customWidth="1"/>
    <col min="6671" max="6671" width="9.625" customWidth="1"/>
    <col min="6914" max="6914" width="7" customWidth="1"/>
    <col min="6915" max="6915" width="17.75" customWidth="1"/>
    <col min="6916" max="6916" width="10.875" customWidth="1"/>
    <col min="6917" max="6917" width="11.25" customWidth="1"/>
    <col min="6918" max="6918" width="11.5" customWidth="1"/>
    <col min="6919" max="6919" width="11.625" customWidth="1"/>
    <col min="6920" max="6920" width="15.5" customWidth="1"/>
    <col min="6921" max="6921" width="18.75" customWidth="1"/>
    <col min="6922" max="6922" width="15.375" customWidth="1"/>
    <col min="6923" max="6923" width="15.125" customWidth="1"/>
    <col min="6925" max="6925" width="11" customWidth="1"/>
    <col min="6926" max="6926" width="10.625" customWidth="1"/>
    <col min="6927" max="6927" width="9.625" customWidth="1"/>
    <col min="7170" max="7170" width="7" customWidth="1"/>
    <col min="7171" max="7171" width="17.75" customWidth="1"/>
    <col min="7172" max="7172" width="10.875" customWidth="1"/>
    <col min="7173" max="7173" width="11.25" customWidth="1"/>
    <col min="7174" max="7174" width="11.5" customWidth="1"/>
    <col min="7175" max="7175" width="11.625" customWidth="1"/>
    <col min="7176" max="7176" width="15.5" customWidth="1"/>
    <col min="7177" max="7177" width="18.75" customWidth="1"/>
    <col min="7178" max="7178" width="15.375" customWidth="1"/>
    <col min="7179" max="7179" width="15.125" customWidth="1"/>
    <col min="7181" max="7181" width="11" customWidth="1"/>
    <col min="7182" max="7182" width="10.625" customWidth="1"/>
    <col min="7183" max="7183" width="9.625" customWidth="1"/>
    <col min="7426" max="7426" width="7" customWidth="1"/>
    <col min="7427" max="7427" width="17.75" customWidth="1"/>
    <col min="7428" max="7428" width="10.875" customWidth="1"/>
    <col min="7429" max="7429" width="11.25" customWidth="1"/>
    <col min="7430" max="7430" width="11.5" customWidth="1"/>
    <col min="7431" max="7431" width="11.625" customWidth="1"/>
    <col min="7432" max="7432" width="15.5" customWidth="1"/>
    <col min="7433" max="7433" width="18.75" customWidth="1"/>
    <col min="7434" max="7434" width="15.375" customWidth="1"/>
    <col min="7435" max="7435" width="15.125" customWidth="1"/>
    <col min="7437" max="7437" width="11" customWidth="1"/>
    <col min="7438" max="7438" width="10.625" customWidth="1"/>
    <col min="7439" max="7439" width="9.625" customWidth="1"/>
    <col min="7682" max="7682" width="7" customWidth="1"/>
    <col min="7683" max="7683" width="17.75" customWidth="1"/>
    <col min="7684" max="7684" width="10.875" customWidth="1"/>
    <col min="7685" max="7685" width="11.25" customWidth="1"/>
    <col min="7686" max="7686" width="11.5" customWidth="1"/>
    <col min="7687" max="7687" width="11.625" customWidth="1"/>
    <col min="7688" max="7688" width="15.5" customWidth="1"/>
    <col min="7689" max="7689" width="18.75" customWidth="1"/>
    <col min="7690" max="7690" width="15.375" customWidth="1"/>
    <col min="7691" max="7691" width="15.125" customWidth="1"/>
    <col min="7693" max="7693" width="11" customWidth="1"/>
    <col min="7694" max="7694" width="10.625" customWidth="1"/>
    <col min="7695" max="7695" width="9.625" customWidth="1"/>
    <col min="7938" max="7938" width="7" customWidth="1"/>
    <col min="7939" max="7939" width="17.75" customWidth="1"/>
    <col min="7940" max="7940" width="10.875" customWidth="1"/>
    <col min="7941" max="7941" width="11.25" customWidth="1"/>
    <col min="7942" max="7942" width="11.5" customWidth="1"/>
    <col min="7943" max="7943" width="11.625" customWidth="1"/>
    <col min="7944" max="7944" width="15.5" customWidth="1"/>
    <col min="7945" max="7945" width="18.75" customWidth="1"/>
    <col min="7946" max="7946" width="15.375" customWidth="1"/>
    <col min="7947" max="7947" width="15.125" customWidth="1"/>
    <col min="7949" max="7949" width="11" customWidth="1"/>
    <col min="7950" max="7950" width="10.625" customWidth="1"/>
    <col min="7951" max="7951" width="9.625" customWidth="1"/>
    <col min="8194" max="8194" width="7" customWidth="1"/>
    <col min="8195" max="8195" width="17.75" customWidth="1"/>
    <col min="8196" max="8196" width="10.875" customWidth="1"/>
    <col min="8197" max="8197" width="11.25" customWidth="1"/>
    <col min="8198" max="8198" width="11.5" customWidth="1"/>
    <col min="8199" max="8199" width="11.625" customWidth="1"/>
    <col min="8200" max="8200" width="15.5" customWidth="1"/>
    <col min="8201" max="8201" width="18.75" customWidth="1"/>
    <col min="8202" max="8202" width="15.375" customWidth="1"/>
    <col min="8203" max="8203" width="15.125" customWidth="1"/>
    <col min="8205" max="8205" width="11" customWidth="1"/>
    <col min="8206" max="8206" width="10.625" customWidth="1"/>
    <col min="8207" max="8207" width="9.625" customWidth="1"/>
    <col min="8450" max="8450" width="7" customWidth="1"/>
    <col min="8451" max="8451" width="17.75" customWidth="1"/>
    <col min="8452" max="8452" width="10.875" customWidth="1"/>
    <col min="8453" max="8453" width="11.25" customWidth="1"/>
    <col min="8454" max="8454" width="11.5" customWidth="1"/>
    <col min="8455" max="8455" width="11.625" customWidth="1"/>
    <col min="8456" max="8456" width="15.5" customWidth="1"/>
    <col min="8457" max="8457" width="18.75" customWidth="1"/>
    <col min="8458" max="8458" width="15.375" customWidth="1"/>
    <col min="8459" max="8459" width="15.125" customWidth="1"/>
    <col min="8461" max="8461" width="11" customWidth="1"/>
    <col min="8462" max="8462" width="10.625" customWidth="1"/>
    <col min="8463" max="8463" width="9.625" customWidth="1"/>
    <col min="8706" max="8706" width="7" customWidth="1"/>
    <col min="8707" max="8707" width="17.75" customWidth="1"/>
    <col min="8708" max="8708" width="10.875" customWidth="1"/>
    <col min="8709" max="8709" width="11.25" customWidth="1"/>
    <col min="8710" max="8710" width="11.5" customWidth="1"/>
    <col min="8711" max="8711" width="11.625" customWidth="1"/>
    <col min="8712" max="8712" width="15.5" customWidth="1"/>
    <col min="8713" max="8713" width="18.75" customWidth="1"/>
    <col min="8714" max="8714" width="15.375" customWidth="1"/>
    <col min="8715" max="8715" width="15.125" customWidth="1"/>
    <col min="8717" max="8717" width="11" customWidth="1"/>
    <col min="8718" max="8718" width="10.625" customWidth="1"/>
    <col min="8719" max="8719" width="9.625" customWidth="1"/>
    <col min="8962" max="8962" width="7" customWidth="1"/>
    <col min="8963" max="8963" width="17.75" customWidth="1"/>
    <col min="8964" max="8964" width="10.875" customWidth="1"/>
    <col min="8965" max="8965" width="11.25" customWidth="1"/>
    <col min="8966" max="8966" width="11.5" customWidth="1"/>
    <col min="8967" max="8967" width="11.625" customWidth="1"/>
    <col min="8968" max="8968" width="15.5" customWidth="1"/>
    <col min="8969" max="8969" width="18.75" customWidth="1"/>
    <col min="8970" max="8970" width="15.375" customWidth="1"/>
    <col min="8971" max="8971" width="15.125" customWidth="1"/>
    <col min="8973" max="8973" width="11" customWidth="1"/>
    <col min="8974" max="8974" width="10.625" customWidth="1"/>
    <col min="8975" max="8975" width="9.625" customWidth="1"/>
    <col min="9218" max="9218" width="7" customWidth="1"/>
    <col min="9219" max="9219" width="17.75" customWidth="1"/>
    <col min="9220" max="9220" width="10.875" customWidth="1"/>
    <col min="9221" max="9221" width="11.25" customWidth="1"/>
    <col min="9222" max="9222" width="11.5" customWidth="1"/>
    <col min="9223" max="9223" width="11.625" customWidth="1"/>
    <col min="9224" max="9224" width="15.5" customWidth="1"/>
    <col min="9225" max="9225" width="18.75" customWidth="1"/>
    <col min="9226" max="9226" width="15.375" customWidth="1"/>
    <col min="9227" max="9227" width="15.125" customWidth="1"/>
    <col min="9229" max="9229" width="11" customWidth="1"/>
    <col min="9230" max="9230" width="10.625" customWidth="1"/>
    <col min="9231" max="9231" width="9.625" customWidth="1"/>
    <col min="9474" max="9474" width="7" customWidth="1"/>
    <col min="9475" max="9475" width="17.75" customWidth="1"/>
    <col min="9476" max="9476" width="10.875" customWidth="1"/>
    <col min="9477" max="9477" width="11.25" customWidth="1"/>
    <col min="9478" max="9478" width="11.5" customWidth="1"/>
    <col min="9479" max="9479" width="11.625" customWidth="1"/>
    <col min="9480" max="9480" width="15.5" customWidth="1"/>
    <col min="9481" max="9481" width="18.75" customWidth="1"/>
    <col min="9482" max="9482" width="15.375" customWidth="1"/>
    <col min="9483" max="9483" width="15.125" customWidth="1"/>
    <col min="9485" max="9485" width="11" customWidth="1"/>
    <col min="9486" max="9486" width="10.625" customWidth="1"/>
    <col min="9487" max="9487" width="9.625" customWidth="1"/>
    <col min="9730" max="9730" width="7" customWidth="1"/>
    <col min="9731" max="9731" width="17.75" customWidth="1"/>
    <col min="9732" max="9732" width="10.875" customWidth="1"/>
    <col min="9733" max="9733" width="11.25" customWidth="1"/>
    <col min="9734" max="9734" width="11.5" customWidth="1"/>
    <col min="9735" max="9735" width="11.625" customWidth="1"/>
    <col min="9736" max="9736" width="15.5" customWidth="1"/>
    <col min="9737" max="9737" width="18.75" customWidth="1"/>
    <col min="9738" max="9738" width="15.375" customWidth="1"/>
    <col min="9739" max="9739" width="15.125" customWidth="1"/>
    <col min="9741" max="9741" width="11" customWidth="1"/>
    <col min="9742" max="9742" width="10.625" customWidth="1"/>
    <col min="9743" max="9743" width="9.625" customWidth="1"/>
    <col min="9986" max="9986" width="7" customWidth="1"/>
    <col min="9987" max="9987" width="17.75" customWidth="1"/>
    <col min="9988" max="9988" width="10.875" customWidth="1"/>
    <col min="9989" max="9989" width="11.25" customWidth="1"/>
    <col min="9990" max="9990" width="11.5" customWidth="1"/>
    <col min="9991" max="9991" width="11.625" customWidth="1"/>
    <col min="9992" max="9992" width="15.5" customWidth="1"/>
    <col min="9993" max="9993" width="18.75" customWidth="1"/>
    <col min="9994" max="9994" width="15.375" customWidth="1"/>
    <col min="9995" max="9995" width="15.125" customWidth="1"/>
    <col min="9997" max="9997" width="11" customWidth="1"/>
    <col min="9998" max="9998" width="10.625" customWidth="1"/>
    <col min="9999" max="9999" width="9.625" customWidth="1"/>
    <col min="10242" max="10242" width="7" customWidth="1"/>
    <col min="10243" max="10243" width="17.75" customWidth="1"/>
    <col min="10244" max="10244" width="10.875" customWidth="1"/>
    <col min="10245" max="10245" width="11.25" customWidth="1"/>
    <col min="10246" max="10246" width="11.5" customWidth="1"/>
    <col min="10247" max="10247" width="11.625" customWidth="1"/>
    <col min="10248" max="10248" width="15.5" customWidth="1"/>
    <col min="10249" max="10249" width="18.75" customWidth="1"/>
    <col min="10250" max="10250" width="15.375" customWidth="1"/>
    <col min="10251" max="10251" width="15.125" customWidth="1"/>
    <col min="10253" max="10253" width="11" customWidth="1"/>
    <col min="10254" max="10254" width="10.625" customWidth="1"/>
    <col min="10255" max="10255" width="9.625" customWidth="1"/>
    <col min="10498" max="10498" width="7" customWidth="1"/>
    <col min="10499" max="10499" width="17.75" customWidth="1"/>
    <col min="10500" max="10500" width="10.875" customWidth="1"/>
    <col min="10501" max="10501" width="11.25" customWidth="1"/>
    <col min="10502" max="10502" width="11.5" customWidth="1"/>
    <col min="10503" max="10503" width="11.625" customWidth="1"/>
    <col min="10504" max="10504" width="15.5" customWidth="1"/>
    <col min="10505" max="10505" width="18.75" customWidth="1"/>
    <col min="10506" max="10506" width="15.375" customWidth="1"/>
    <col min="10507" max="10507" width="15.125" customWidth="1"/>
    <col min="10509" max="10509" width="11" customWidth="1"/>
    <col min="10510" max="10510" width="10.625" customWidth="1"/>
    <col min="10511" max="10511" width="9.625" customWidth="1"/>
    <col min="10754" max="10754" width="7" customWidth="1"/>
    <col min="10755" max="10755" width="17.75" customWidth="1"/>
    <col min="10756" max="10756" width="10.875" customWidth="1"/>
    <col min="10757" max="10757" width="11.25" customWidth="1"/>
    <col min="10758" max="10758" width="11.5" customWidth="1"/>
    <col min="10759" max="10759" width="11.625" customWidth="1"/>
    <col min="10760" max="10760" width="15.5" customWidth="1"/>
    <col min="10761" max="10761" width="18.75" customWidth="1"/>
    <col min="10762" max="10762" width="15.375" customWidth="1"/>
    <col min="10763" max="10763" width="15.125" customWidth="1"/>
    <col min="10765" max="10765" width="11" customWidth="1"/>
    <col min="10766" max="10766" width="10.625" customWidth="1"/>
    <col min="10767" max="10767" width="9.625" customWidth="1"/>
    <col min="11010" max="11010" width="7" customWidth="1"/>
    <col min="11011" max="11011" width="17.75" customWidth="1"/>
    <col min="11012" max="11012" width="10.875" customWidth="1"/>
    <col min="11013" max="11013" width="11.25" customWidth="1"/>
    <col min="11014" max="11014" width="11.5" customWidth="1"/>
    <col min="11015" max="11015" width="11.625" customWidth="1"/>
    <col min="11016" max="11016" width="15.5" customWidth="1"/>
    <col min="11017" max="11017" width="18.75" customWidth="1"/>
    <col min="11018" max="11018" width="15.375" customWidth="1"/>
    <col min="11019" max="11019" width="15.125" customWidth="1"/>
    <col min="11021" max="11021" width="11" customWidth="1"/>
    <col min="11022" max="11022" width="10.625" customWidth="1"/>
    <col min="11023" max="11023" width="9.625" customWidth="1"/>
    <col min="11266" max="11266" width="7" customWidth="1"/>
    <col min="11267" max="11267" width="17.75" customWidth="1"/>
    <col min="11268" max="11268" width="10.875" customWidth="1"/>
    <col min="11269" max="11269" width="11.25" customWidth="1"/>
    <col min="11270" max="11270" width="11.5" customWidth="1"/>
    <col min="11271" max="11271" width="11.625" customWidth="1"/>
    <col min="11272" max="11272" width="15.5" customWidth="1"/>
    <col min="11273" max="11273" width="18.75" customWidth="1"/>
    <col min="11274" max="11274" width="15.375" customWidth="1"/>
    <col min="11275" max="11275" width="15.125" customWidth="1"/>
    <col min="11277" max="11277" width="11" customWidth="1"/>
    <col min="11278" max="11278" width="10.625" customWidth="1"/>
    <col min="11279" max="11279" width="9.625" customWidth="1"/>
    <col min="11522" max="11522" width="7" customWidth="1"/>
    <col min="11523" max="11523" width="17.75" customWidth="1"/>
    <col min="11524" max="11524" width="10.875" customWidth="1"/>
    <col min="11525" max="11525" width="11.25" customWidth="1"/>
    <col min="11526" max="11526" width="11.5" customWidth="1"/>
    <col min="11527" max="11527" width="11.625" customWidth="1"/>
    <col min="11528" max="11528" width="15.5" customWidth="1"/>
    <col min="11529" max="11529" width="18.75" customWidth="1"/>
    <col min="11530" max="11530" width="15.375" customWidth="1"/>
    <col min="11531" max="11531" width="15.125" customWidth="1"/>
    <col min="11533" max="11533" width="11" customWidth="1"/>
    <col min="11534" max="11534" width="10.625" customWidth="1"/>
    <col min="11535" max="11535" width="9.625" customWidth="1"/>
    <col min="11778" max="11778" width="7" customWidth="1"/>
    <col min="11779" max="11779" width="17.75" customWidth="1"/>
    <col min="11780" max="11780" width="10.875" customWidth="1"/>
    <col min="11781" max="11781" width="11.25" customWidth="1"/>
    <col min="11782" max="11782" width="11.5" customWidth="1"/>
    <col min="11783" max="11783" width="11.625" customWidth="1"/>
    <col min="11784" max="11784" width="15.5" customWidth="1"/>
    <col min="11785" max="11785" width="18.75" customWidth="1"/>
    <col min="11786" max="11786" width="15.375" customWidth="1"/>
    <col min="11787" max="11787" width="15.125" customWidth="1"/>
    <col min="11789" max="11789" width="11" customWidth="1"/>
    <col min="11790" max="11790" width="10.625" customWidth="1"/>
    <col min="11791" max="11791" width="9.625" customWidth="1"/>
    <col min="12034" max="12034" width="7" customWidth="1"/>
    <col min="12035" max="12035" width="17.75" customWidth="1"/>
    <col min="12036" max="12036" width="10.875" customWidth="1"/>
    <col min="12037" max="12037" width="11.25" customWidth="1"/>
    <col min="12038" max="12038" width="11.5" customWidth="1"/>
    <col min="12039" max="12039" width="11.625" customWidth="1"/>
    <col min="12040" max="12040" width="15.5" customWidth="1"/>
    <col min="12041" max="12041" width="18.75" customWidth="1"/>
    <col min="12042" max="12042" width="15.375" customWidth="1"/>
    <col min="12043" max="12043" width="15.125" customWidth="1"/>
    <col min="12045" max="12045" width="11" customWidth="1"/>
    <col min="12046" max="12046" width="10.625" customWidth="1"/>
    <col min="12047" max="12047" width="9.625" customWidth="1"/>
    <col min="12290" max="12290" width="7" customWidth="1"/>
    <col min="12291" max="12291" width="17.75" customWidth="1"/>
    <col min="12292" max="12292" width="10.875" customWidth="1"/>
    <col min="12293" max="12293" width="11.25" customWidth="1"/>
    <col min="12294" max="12294" width="11.5" customWidth="1"/>
    <col min="12295" max="12295" width="11.625" customWidth="1"/>
    <col min="12296" max="12296" width="15.5" customWidth="1"/>
    <col min="12297" max="12297" width="18.75" customWidth="1"/>
    <col min="12298" max="12298" width="15.375" customWidth="1"/>
    <col min="12299" max="12299" width="15.125" customWidth="1"/>
    <col min="12301" max="12301" width="11" customWidth="1"/>
    <col min="12302" max="12302" width="10.625" customWidth="1"/>
    <col min="12303" max="12303" width="9.625" customWidth="1"/>
    <col min="12546" max="12546" width="7" customWidth="1"/>
    <col min="12547" max="12547" width="17.75" customWidth="1"/>
    <col min="12548" max="12548" width="10.875" customWidth="1"/>
    <col min="12549" max="12549" width="11.25" customWidth="1"/>
    <col min="12550" max="12550" width="11.5" customWidth="1"/>
    <col min="12551" max="12551" width="11.625" customWidth="1"/>
    <col min="12552" max="12552" width="15.5" customWidth="1"/>
    <col min="12553" max="12553" width="18.75" customWidth="1"/>
    <col min="12554" max="12554" width="15.375" customWidth="1"/>
    <col min="12555" max="12555" width="15.125" customWidth="1"/>
    <col min="12557" max="12557" width="11" customWidth="1"/>
    <col min="12558" max="12558" width="10.625" customWidth="1"/>
    <col min="12559" max="12559" width="9.625" customWidth="1"/>
    <col min="12802" max="12802" width="7" customWidth="1"/>
    <col min="12803" max="12803" width="17.75" customWidth="1"/>
    <col min="12804" max="12804" width="10.875" customWidth="1"/>
    <col min="12805" max="12805" width="11.25" customWidth="1"/>
    <col min="12806" max="12806" width="11.5" customWidth="1"/>
    <col min="12807" max="12807" width="11.625" customWidth="1"/>
    <col min="12808" max="12808" width="15.5" customWidth="1"/>
    <col min="12809" max="12809" width="18.75" customWidth="1"/>
    <col min="12810" max="12810" width="15.375" customWidth="1"/>
    <col min="12811" max="12811" width="15.125" customWidth="1"/>
    <col min="12813" max="12813" width="11" customWidth="1"/>
    <col min="12814" max="12814" width="10.625" customWidth="1"/>
    <col min="12815" max="12815" width="9.625" customWidth="1"/>
    <col min="13058" max="13058" width="7" customWidth="1"/>
    <col min="13059" max="13059" width="17.75" customWidth="1"/>
    <col min="13060" max="13060" width="10.875" customWidth="1"/>
    <col min="13061" max="13061" width="11.25" customWidth="1"/>
    <col min="13062" max="13062" width="11.5" customWidth="1"/>
    <col min="13063" max="13063" width="11.625" customWidth="1"/>
    <col min="13064" max="13064" width="15.5" customWidth="1"/>
    <col min="13065" max="13065" width="18.75" customWidth="1"/>
    <col min="13066" max="13066" width="15.375" customWidth="1"/>
    <col min="13067" max="13067" width="15.125" customWidth="1"/>
    <col min="13069" max="13069" width="11" customWidth="1"/>
    <col min="13070" max="13070" width="10.625" customWidth="1"/>
    <col min="13071" max="13071" width="9.625" customWidth="1"/>
    <col min="13314" max="13314" width="7" customWidth="1"/>
    <col min="13315" max="13315" width="17.75" customWidth="1"/>
    <col min="13316" max="13316" width="10.875" customWidth="1"/>
    <col min="13317" max="13317" width="11.25" customWidth="1"/>
    <col min="13318" max="13318" width="11.5" customWidth="1"/>
    <col min="13319" max="13319" width="11.625" customWidth="1"/>
    <col min="13320" max="13320" width="15.5" customWidth="1"/>
    <col min="13321" max="13321" width="18.75" customWidth="1"/>
    <col min="13322" max="13322" width="15.375" customWidth="1"/>
    <col min="13323" max="13323" width="15.125" customWidth="1"/>
    <col min="13325" max="13325" width="11" customWidth="1"/>
    <col min="13326" max="13326" width="10.625" customWidth="1"/>
    <col min="13327" max="13327" width="9.625" customWidth="1"/>
    <col min="13570" max="13570" width="7" customWidth="1"/>
    <col min="13571" max="13571" width="17.75" customWidth="1"/>
    <col min="13572" max="13572" width="10.875" customWidth="1"/>
    <col min="13573" max="13573" width="11.25" customWidth="1"/>
    <col min="13574" max="13574" width="11.5" customWidth="1"/>
    <col min="13575" max="13575" width="11.625" customWidth="1"/>
    <col min="13576" max="13576" width="15.5" customWidth="1"/>
    <col min="13577" max="13577" width="18.75" customWidth="1"/>
    <col min="13578" max="13578" width="15.375" customWidth="1"/>
    <col min="13579" max="13579" width="15.125" customWidth="1"/>
    <col min="13581" max="13581" width="11" customWidth="1"/>
    <col min="13582" max="13582" width="10.625" customWidth="1"/>
    <col min="13583" max="13583" width="9.625" customWidth="1"/>
    <col min="13826" max="13826" width="7" customWidth="1"/>
    <col min="13827" max="13827" width="17.75" customWidth="1"/>
    <col min="13828" max="13828" width="10.875" customWidth="1"/>
    <col min="13829" max="13829" width="11.25" customWidth="1"/>
    <col min="13830" max="13830" width="11.5" customWidth="1"/>
    <col min="13831" max="13831" width="11.625" customWidth="1"/>
    <col min="13832" max="13832" width="15.5" customWidth="1"/>
    <col min="13833" max="13833" width="18.75" customWidth="1"/>
    <col min="13834" max="13834" width="15.375" customWidth="1"/>
    <col min="13835" max="13835" width="15.125" customWidth="1"/>
    <col min="13837" max="13837" width="11" customWidth="1"/>
    <col min="13838" max="13838" width="10.625" customWidth="1"/>
    <col min="13839" max="13839" width="9.625" customWidth="1"/>
    <col min="14082" max="14082" width="7" customWidth="1"/>
    <col min="14083" max="14083" width="17.75" customWidth="1"/>
    <col min="14084" max="14084" width="10.875" customWidth="1"/>
    <col min="14085" max="14085" width="11.25" customWidth="1"/>
    <col min="14086" max="14086" width="11.5" customWidth="1"/>
    <col min="14087" max="14087" width="11.625" customWidth="1"/>
    <col min="14088" max="14088" width="15.5" customWidth="1"/>
    <col min="14089" max="14089" width="18.75" customWidth="1"/>
    <col min="14090" max="14090" width="15.375" customWidth="1"/>
    <col min="14091" max="14091" width="15.125" customWidth="1"/>
    <col min="14093" max="14093" width="11" customWidth="1"/>
    <col min="14094" max="14094" width="10.625" customWidth="1"/>
    <col min="14095" max="14095" width="9.625" customWidth="1"/>
    <col min="14338" max="14338" width="7" customWidth="1"/>
    <col min="14339" max="14339" width="17.75" customWidth="1"/>
    <col min="14340" max="14340" width="10.875" customWidth="1"/>
    <col min="14341" max="14341" width="11.25" customWidth="1"/>
    <col min="14342" max="14342" width="11.5" customWidth="1"/>
    <col min="14343" max="14343" width="11.625" customWidth="1"/>
    <col min="14344" max="14344" width="15.5" customWidth="1"/>
    <col min="14345" max="14345" width="18.75" customWidth="1"/>
    <col min="14346" max="14346" width="15.375" customWidth="1"/>
    <col min="14347" max="14347" width="15.125" customWidth="1"/>
    <col min="14349" max="14349" width="11" customWidth="1"/>
    <col min="14350" max="14350" width="10.625" customWidth="1"/>
    <col min="14351" max="14351" width="9.625" customWidth="1"/>
    <col min="14594" max="14594" width="7" customWidth="1"/>
    <col min="14595" max="14595" width="17.75" customWidth="1"/>
    <col min="14596" max="14596" width="10.875" customWidth="1"/>
    <col min="14597" max="14597" width="11.25" customWidth="1"/>
    <col min="14598" max="14598" width="11.5" customWidth="1"/>
    <col min="14599" max="14599" width="11.625" customWidth="1"/>
    <col min="14600" max="14600" width="15.5" customWidth="1"/>
    <col min="14601" max="14601" width="18.75" customWidth="1"/>
    <col min="14602" max="14602" width="15.375" customWidth="1"/>
    <col min="14603" max="14603" width="15.125" customWidth="1"/>
    <col min="14605" max="14605" width="11" customWidth="1"/>
    <col min="14606" max="14606" width="10.625" customWidth="1"/>
    <col min="14607" max="14607" width="9.625" customWidth="1"/>
    <col min="14850" max="14850" width="7" customWidth="1"/>
    <col min="14851" max="14851" width="17.75" customWidth="1"/>
    <col min="14852" max="14852" width="10.875" customWidth="1"/>
    <col min="14853" max="14853" width="11.25" customWidth="1"/>
    <col min="14854" max="14854" width="11.5" customWidth="1"/>
    <col min="14855" max="14855" width="11.625" customWidth="1"/>
    <col min="14856" max="14856" width="15.5" customWidth="1"/>
    <col min="14857" max="14857" width="18.75" customWidth="1"/>
    <col min="14858" max="14858" width="15.375" customWidth="1"/>
    <col min="14859" max="14859" width="15.125" customWidth="1"/>
    <col min="14861" max="14861" width="11" customWidth="1"/>
    <col min="14862" max="14862" width="10.625" customWidth="1"/>
    <col min="14863" max="14863" width="9.625" customWidth="1"/>
    <col min="15106" max="15106" width="7" customWidth="1"/>
    <col min="15107" max="15107" width="17.75" customWidth="1"/>
    <col min="15108" max="15108" width="10.875" customWidth="1"/>
    <col min="15109" max="15109" width="11.25" customWidth="1"/>
    <col min="15110" max="15110" width="11.5" customWidth="1"/>
    <col min="15111" max="15111" width="11.625" customWidth="1"/>
    <col min="15112" max="15112" width="15.5" customWidth="1"/>
    <col min="15113" max="15113" width="18.75" customWidth="1"/>
    <col min="15114" max="15114" width="15.375" customWidth="1"/>
    <col min="15115" max="15115" width="15.125" customWidth="1"/>
    <col min="15117" max="15117" width="11" customWidth="1"/>
    <col min="15118" max="15118" width="10.625" customWidth="1"/>
    <col min="15119" max="15119" width="9.625" customWidth="1"/>
    <col min="15362" max="15362" width="7" customWidth="1"/>
    <col min="15363" max="15363" width="17.75" customWidth="1"/>
    <col min="15364" max="15364" width="10.875" customWidth="1"/>
    <col min="15365" max="15365" width="11.25" customWidth="1"/>
    <col min="15366" max="15366" width="11.5" customWidth="1"/>
    <col min="15367" max="15367" width="11.625" customWidth="1"/>
    <col min="15368" max="15368" width="15.5" customWidth="1"/>
    <col min="15369" max="15369" width="18.75" customWidth="1"/>
    <col min="15370" max="15370" width="15.375" customWidth="1"/>
    <col min="15371" max="15371" width="15.125" customWidth="1"/>
    <col min="15373" max="15373" width="11" customWidth="1"/>
    <col min="15374" max="15374" width="10.625" customWidth="1"/>
    <col min="15375" max="15375" width="9.625" customWidth="1"/>
    <col min="15618" max="15618" width="7" customWidth="1"/>
    <col min="15619" max="15619" width="17.75" customWidth="1"/>
    <col min="15620" max="15620" width="10.875" customWidth="1"/>
    <col min="15621" max="15621" width="11.25" customWidth="1"/>
    <col min="15622" max="15622" width="11.5" customWidth="1"/>
    <col min="15623" max="15623" width="11.625" customWidth="1"/>
    <col min="15624" max="15624" width="15.5" customWidth="1"/>
    <col min="15625" max="15625" width="18.75" customWidth="1"/>
    <col min="15626" max="15626" width="15.375" customWidth="1"/>
    <col min="15627" max="15627" width="15.125" customWidth="1"/>
    <col min="15629" max="15629" width="11" customWidth="1"/>
    <col min="15630" max="15630" width="10.625" customWidth="1"/>
    <col min="15631" max="15631" width="9.625" customWidth="1"/>
    <col min="15874" max="15874" width="7" customWidth="1"/>
    <col min="15875" max="15875" width="17.75" customWidth="1"/>
    <col min="15876" max="15876" width="10.875" customWidth="1"/>
    <col min="15877" max="15877" width="11.25" customWidth="1"/>
    <col min="15878" max="15878" width="11.5" customWidth="1"/>
    <col min="15879" max="15879" width="11.625" customWidth="1"/>
    <col min="15880" max="15880" width="15.5" customWidth="1"/>
    <col min="15881" max="15881" width="18.75" customWidth="1"/>
    <col min="15882" max="15882" width="15.375" customWidth="1"/>
    <col min="15883" max="15883" width="15.125" customWidth="1"/>
    <col min="15885" max="15885" width="11" customWidth="1"/>
    <col min="15886" max="15886" width="10.625" customWidth="1"/>
    <col min="15887" max="15887" width="9.625" customWidth="1"/>
    <col min="16130" max="16130" width="7" customWidth="1"/>
    <col min="16131" max="16131" width="17.75" customWidth="1"/>
    <col min="16132" max="16132" width="10.875" customWidth="1"/>
    <col min="16133" max="16133" width="11.25" customWidth="1"/>
    <col min="16134" max="16134" width="11.5" customWidth="1"/>
    <col min="16135" max="16135" width="11.625" customWidth="1"/>
    <col min="16136" max="16136" width="15.5" customWidth="1"/>
    <col min="16137" max="16137" width="18.75" customWidth="1"/>
    <col min="16138" max="16138" width="15.375" customWidth="1"/>
    <col min="16139" max="16139" width="15.125" customWidth="1"/>
    <col min="16141" max="16141" width="11" customWidth="1"/>
    <col min="16142" max="16142" width="10.625" customWidth="1"/>
    <col min="16143" max="16143" width="9.625" customWidth="1"/>
  </cols>
  <sheetData>
    <row r="1" spans="1:15" ht="20.25" x14ac:dyDescent="0.3">
      <c r="A1" s="279"/>
      <c r="B1" s="279"/>
      <c r="C1" s="279"/>
      <c r="D1" s="279"/>
      <c r="E1" s="279"/>
      <c r="F1" s="279"/>
      <c r="G1" s="280" t="s">
        <v>0</v>
      </c>
      <c r="H1" s="279"/>
      <c r="I1" s="279"/>
      <c r="J1" s="279"/>
      <c r="K1" s="279"/>
      <c r="L1" s="279"/>
      <c r="M1" s="279"/>
      <c r="N1" s="279" t="s">
        <v>1</v>
      </c>
      <c r="O1" s="279"/>
    </row>
    <row r="2" spans="1:15" ht="20.25" x14ac:dyDescent="0.3">
      <c r="A2" s="279"/>
      <c r="B2" s="279"/>
      <c r="C2" s="279"/>
      <c r="D2" s="279"/>
      <c r="E2" s="279"/>
      <c r="F2" s="279"/>
      <c r="G2" s="280"/>
      <c r="H2" s="279"/>
      <c r="I2" s="279"/>
      <c r="J2" s="279"/>
      <c r="K2" s="279"/>
      <c r="L2" s="279"/>
      <c r="M2" s="279"/>
      <c r="N2" s="279"/>
      <c r="O2" s="279"/>
    </row>
    <row r="3" spans="1:15" ht="20.25" x14ac:dyDescent="0.3">
      <c r="A3" s="499" t="s">
        <v>2</v>
      </c>
      <c r="B3" s="499"/>
      <c r="C3" s="280" t="s">
        <v>38</v>
      </c>
      <c r="D3" s="279"/>
      <c r="E3" s="279"/>
      <c r="F3" s="279"/>
      <c r="G3" s="280"/>
      <c r="H3" s="279"/>
      <c r="I3" s="279"/>
      <c r="J3" s="279"/>
      <c r="K3" s="279"/>
      <c r="L3" s="279"/>
      <c r="M3" s="279"/>
      <c r="N3" s="279"/>
      <c r="O3" s="279"/>
    </row>
    <row r="4" spans="1:15" ht="20.25" x14ac:dyDescent="0.3">
      <c r="A4" s="499" t="s">
        <v>3</v>
      </c>
      <c r="B4" s="499"/>
      <c r="C4" s="280" t="s">
        <v>40</v>
      </c>
      <c r="D4" s="279"/>
      <c r="E4" s="279"/>
      <c r="F4" s="279"/>
      <c r="G4" s="280"/>
      <c r="H4" s="279"/>
      <c r="I4" s="279"/>
      <c r="J4" s="279"/>
      <c r="K4" s="279"/>
      <c r="L4" s="279"/>
      <c r="M4" s="279"/>
      <c r="N4" s="279"/>
      <c r="O4" s="279"/>
    </row>
    <row r="5" spans="1:15" ht="20.25" x14ac:dyDescent="0.3">
      <c r="A5" s="499" t="s">
        <v>4</v>
      </c>
      <c r="B5" s="499"/>
      <c r="C5" s="280" t="s">
        <v>41</v>
      </c>
      <c r="D5" s="279"/>
      <c r="E5" s="279"/>
      <c r="F5" s="279"/>
      <c r="G5" s="280"/>
      <c r="H5" s="279"/>
      <c r="I5" s="279"/>
      <c r="J5" s="279"/>
      <c r="K5" s="279"/>
      <c r="L5" s="279"/>
      <c r="M5" s="279"/>
      <c r="N5" s="279"/>
      <c r="O5" s="279"/>
    </row>
    <row r="6" spans="1:15" ht="20.25" x14ac:dyDescent="0.3">
      <c r="A6" s="499" t="s">
        <v>5</v>
      </c>
      <c r="B6" s="499"/>
      <c r="C6" s="280" t="s">
        <v>141</v>
      </c>
      <c r="D6" s="279"/>
      <c r="E6" s="279"/>
      <c r="F6" s="279"/>
      <c r="G6" s="280"/>
      <c r="H6" s="279"/>
      <c r="I6" s="279"/>
      <c r="J6" s="279"/>
      <c r="K6" s="279"/>
      <c r="L6" s="279"/>
      <c r="M6" s="279"/>
      <c r="N6" s="279"/>
      <c r="O6" s="279"/>
    </row>
    <row r="7" spans="1:15" ht="20.25" x14ac:dyDescent="0.3">
      <c r="A7" s="280"/>
      <c r="B7" s="280"/>
      <c r="C7" s="280"/>
      <c r="D7" s="279"/>
      <c r="E7" s="279"/>
      <c r="F7" s="279"/>
      <c r="G7" s="279"/>
      <c r="H7" s="279"/>
      <c r="I7" s="279"/>
      <c r="J7" s="279"/>
      <c r="K7" s="279"/>
      <c r="L7" s="279"/>
      <c r="M7" s="279"/>
      <c r="N7" s="279"/>
      <c r="O7" s="279"/>
    </row>
    <row r="8" spans="1:15" ht="20.25" x14ac:dyDescent="0.3">
      <c r="A8" s="280" t="s">
        <v>6</v>
      </c>
      <c r="B8" s="280"/>
      <c r="C8" s="280"/>
      <c r="D8" s="279"/>
      <c r="E8" s="279"/>
      <c r="F8" s="279"/>
      <c r="G8" s="279"/>
      <c r="H8" s="279"/>
      <c r="I8" s="279"/>
      <c r="J8" s="279"/>
      <c r="K8" s="279"/>
      <c r="L8" s="279"/>
      <c r="M8" s="279"/>
      <c r="N8" s="279"/>
      <c r="O8" s="279"/>
    </row>
    <row r="9" spans="1:15" ht="18" customHeight="1" x14ac:dyDescent="0.25">
      <c r="A9" s="260" t="s">
        <v>7</v>
      </c>
      <c r="B9" s="500" t="s">
        <v>8</v>
      </c>
      <c r="C9" s="500"/>
      <c r="D9" s="260" t="s">
        <v>9</v>
      </c>
      <c r="E9" s="260" t="s">
        <v>10</v>
      </c>
      <c r="F9" s="489" t="s">
        <v>11</v>
      </c>
      <c r="G9" s="489" t="s">
        <v>12</v>
      </c>
      <c r="H9" s="260" t="s">
        <v>13</v>
      </c>
      <c r="I9" s="260"/>
      <c r="J9" s="260" t="s">
        <v>15</v>
      </c>
      <c r="K9" s="260" t="s">
        <v>16</v>
      </c>
      <c r="L9" s="494" t="s">
        <v>17</v>
      </c>
      <c r="M9" s="494"/>
      <c r="N9" s="494"/>
      <c r="O9" s="260" t="s">
        <v>18</v>
      </c>
    </row>
    <row r="10" spans="1:15" ht="18" customHeight="1" x14ac:dyDescent="0.25">
      <c r="A10" s="490" t="s">
        <v>19</v>
      </c>
      <c r="B10" s="495" t="s">
        <v>20</v>
      </c>
      <c r="C10" s="496"/>
      <c r="D10" s="490" t="s">
        <v>21</v>
      </c>
      <c r="E10" s="490" t="s">
        <v>22</v>
      </c>
      <c r="F10" s="490"/>
      <c r="G10" s="490"/>
      <c r="H10" s="299" t="s">
        <v>23</v>
      </c>
      <c r="I10" s="299" t="s">
        <v>544</v>
      </c>
      <c r="J10" s="299" t="s">
        <v>24</v>
      </c>
      <c r="K10" s="299" t="s">
        <v>25</v>
      </c>
      <c r="L10" s="299" t="s">
        <v>26</v>
      </c>
      <c r="M10" s="299" t="s">
        <v>27</v>
      </c>
      <c r="N10" s="299" t="s">
        <v>28</v>
      </c>
      <c r="O10" s="481" t="s">
        <v>29</v>
      </c>
    </row>
    <row r="11" spans="1:15" ht="18" customHeight="1" x14ac:dyDescent="0.25">
      <c r="A11" s="491"/>
      <c r="B11" s="497"/>
      <c r="C11" s="498"/>
      <c r="D11" s="491"/>
      <c r="E11" s="491"/>
      <c r="F11" s="491"/>
      <c r="G11" s="491"/>
      <c r="H11" s="300" t="s">
        <v>30</v>
      </c>
      <c r="I11" s="300"/>
      <c r="J11" s="300" t="s">
        <v>31</v>
      </c>
      <c r="K11" s="300" t="s">
        <v>32</v>
      </c>
      <c r="L11" s="300" t="s">
        <v>33</v>
      </c>
      <c r="M11" s="300" t="s">
        <v>34</v>
      </c>
      <c r="N11" s="300" t="s">
        <v>35</v>
      </c>
      <c r="O11" s="482"/>
    </row>
    <row r="12" spans="1:15" ht="18" customHeight="1" x14ac:dyDescent="0.25">
      <c r="A12" s="263">
        <v>1</v>
      </c>
      <c r="B12" s="483">
        <v>2</v>
      </c>
      <c r="C12" s="484"/>
      <c r="D12" s="264">
        <v>3</v>
      </c>
      <c r="E12" s="264">
        <v>4</v>
      </c>
      <c r="F12" s="265">
        <v>5</v>
      </c>
      <c r="G12" s="265">
        <v>6</v>
      </c>
      <c r="H12" s="299">
        <v>7</v>
      </c>
      <c r="I12" s="299">
        <v>8</v>
      </c>
      <c r="J12" s="299">
        <v>9</v>
      </c>
      <c r="K12" s="299">
        <v>10</v>
      </c>
      <c r="L12" s="299">
        <v>11</v>
      </c>
      <c r="M12" s="299">
        <v>12</v>
      </c>
      <c r="N12" s="299">
        <v>13</v>
      </c>
      <c r="O12" s="264">
        <v>14</v>
      </c>
    </row>
    <row r="13" spans="1:15" ht="36" customHeight="1" x14ac:dyDescent="0.25">
      <c r="A13" s="266">
        <v>1</v>
      </c>
      <c r="B13" s="492" t="s">
        <v>99</v>
      </c>
      <c r="C13" s="493"/>
      <c r="D13" s="267" t="s">
        <v>295</v>
      </c>
      <c r="E13" s="268"/>
      <c r="F13" s="268"/>
      <c r="G13" s="266" t="s">
        <v>56</v>
      </c>
      <c r="H13" s="266">
        <v>2000</v>
      </c>
      <c r="I13" s="266" t="s">
        <v>156</v>
      </c>
      <c r="J13" s="269" t="s">
        <v>58</v>
      </c>
      <c r="K13" s="270">
        <v>5190000</v>
      </c>
      <c r="L13" s="266" t="s">
        <v>26</v>
      </c>
      <c r="M13" s="268"/>
      <c r="N13" s="268"/>
      <c r="O13" s="268"/>
    </row>
    <row r="14" spans="1:15" ht="36" customHeight="1" x14ac:dyDescent="0.25">
      <c r="A14" s="266">
        <f>A13+1</f>
        <v>2</v>
      </c>
      <c r="B14" s="492" t="s">
        <v>150</v>
      </c>
      <c r="C14" s="493"/>
      <c r="D14" s="267" t="s">
        <v>151</v>
      </c>
      <c r="E14" s="268"/>
      <c r="F14" s="268"/>
      <c r="G14" s="266" t="s">
        <v>152</v>
      </c>
      <c r="H14" s="266">
        <v>2006</v>
      </c>
      <c r="I14" s="266" t="s">
        <v>153</v>
      </c>
      <c r="J14" s="269" t="s">
        <v>43</v>
      </c>
      <c r="K14" s="270">
        <v>1820000</v>
      </c>
      <c r="L14" s="266" t="s">
        <v>26</v>
      </c>
      <c r="M14" s="268"/>
      <c r="N14" s="268"/>
      <c r="O14" s="268"/>
    </row>
    <row r="15" spans="1:15" ht="36" customHeight="1" x14ac:dyDescent="0.25">
      <c r="A15" s="266">
        <f t="shared" ref="A15:A20" si="0">A14+1</f>
        <v>3</v>
      </c>
      <c r="B15" s="492" t="s">
        <v>154</v>
      </c>
      <c r="C15" s="493"/>
      <c r="D15" s="267" t="s">
        <v>294</v>
      </c>
      <c r="E15" s="268"/>
      <c r="F15" s="268"/>
      <c r="G15" s="266" t="s">
        <v>42</v>
      </c>
      <c r="H15" s="266">
        <v>2006</v>
      </c>
      <c r="I15" s="266" t="s">
        <v>155</v>
      </c>
      <c r="J15" s="269" t="s">
        <v>43</v>
      </c>
      <c r="K15" s="270">
        <v>250000</v>
      </c>
      <c r="L15" s="266" t="s">
        <v>26</v>
      </c>
      <c r="M15" s="268"/>
      <c r="N15" s="268"/>
      <c r="O15" s="268"/>
    </row>
    <row r="16" spans="1:15" ht="18" customHeight="1" x14ac:dyDescent="0.25">
      <c r="A16" s="266">
        <f t="shared" si="0"/>
        <v>4</v>
      </c>
      <c r="B16" s="492" t="s">
        <v>94</v>
      </c>
      <c r="C16" s="493"/>
      <c r="D16" s="267" t="s">
        <v>95</v>
      </c>
      <c r="E16" s="268"/>
      <c r="F16" s="268"/>
      <c r="G16" s="266"/>
      <c r="H16" s="266">
        <v>2018</v>
      </c>
      <c r="I16" s="266" t="s">
        <v>96</v>
      </c>
      <c r="J16" s="269" t="s">
        <v>54</v>
      </c>
      <c r="K16" s="270">
        <v>333232</v>
      </c>
      <c r="L16" s="266" t="s">
        <v>26</v>
      </c>
      <c r="M16" s="268"/>
      <c r="N16" s="268"/>
      <c r="O16" s="268"/>
    </row>
    <row r="17" spans="1:15" ht="36" customHeight="1" x14ac:dyDescent="0.25">
      <c r="A17" s="407">
        <f t="shared" si="0"/>
        <v>5</v>
      </c>
      <c r="B17" s="507" t="s">
        <v>52</v>
      </c>
      <c r="C17" s="508"/>
      <c r="D17" s="408" t="s">
        <v>148</v>
      </c>
      <c r="E17" s="409"/>
      <c r="F17" s="409"/>
      <c r="G17" s="410"/>
      <c r="H17" s="407"/>
      <c r="I17" s="411" t="s">
        <v>561</v>
      </c>
      <c r="J17" s="412"/>
      <c r="K17" s="413"/>
      <c r="L17" s="407"/>
      <c r="M17" s="409"/>
      <c r="N17" s="409"/>
      <c r="O17" s="409"/>
    </row>
    <row r="18" spans="1:15" ht="36" customHeight="1" x14ac:dyDescent="0.25">
      <c r="A18" s="374">
        <f t="shared" si="0"/>
        <v>6</v>
      </c>
      <c r="B18" s="509" t="s">
        <v>157</v>
      </c>
      <c r="C18" s="510"/>
      <c r="D18" s="375" t="s">
        <v>158</v>
      </c>
      <c r="E18" s="376"/>
      <c r="F18" s="376"/>
      <c r="G18" s="374"/>
      <c r="H18" s="374">
        <v>2020</v>
      </c>
      <c r="I18" s="374" t="s">
        <v>159</v>
      </c>
      <c r="J18" s="377" t="s">
        <v>54</v>
      </c>
      <c r="K18" s="378">
        <f>8917390/2</f>
        <v>4458695</v>
      </c>
      <c r="L18" s="374" t="s">
        <v>26</v>
      </c>
      <c r="M18" s="376"/>
      <c r="N18" s="376"/>
      <c r="O18" s="375"/>
    </row>
    <row r="19" spans="1:15" ht="72" customHeight="1" x14ac:dyDescent="0.25">
      <c r="A19" s="266">
        <f t="shared" si="0"/>
        <v>7</v>
      </c>
      <c r="B19" s="492" t="s">
        <v>146</v>
      </c>
      <c r="C19" s="493"/>
      <c r="D19" s="267" t="s">
        <v>296</v>
      </c>
      <c r="E19" s="268"/>
      <c r="F19" s="268"/>
      <c r="G19" s="266" t="s">
        <v>42</v>
      </c>
      <c r="H19" s="266">
        <v>2016</v>
      </c>
      <c r="I19" s="266" t="s">
        <v>147</v>
      </c>
      <c r="J19" s="269" t="s">
        <v>97</v>
      </c>
      <c r="K19" s="270">
        <v>2181159</v>
      </c>
      <c r="L19" s="266" t="s">
        <v>26</v>
      </c>
      <c r="M19" s="268"/>
      <c r="N19" s="268"/>
      <c r="O19" s="268"/>
    </row>
    <row r="20" spans="1:15" ht="54" customHeight="1" x14ac:dyDescent="0.25">
      <c r="A20" s="266">
        <f t="shared" si="0"/>
        <v>8</v>
      </c>
      <c r="B20" s="492" t="s">
        <v>142</v>
      </c>
      <c r="C20" s="493"/>
      <c r="D20" s="267" t="s">
        <v>143</v>
      </c>
      <c r="E20" s="268"/>
      <c r="F20" s="268"/>
      <c r="G20" s="266" t="s">
        <v>42</v>
      </c>
      <c r="H20" s="266">
        <v>2010</v>
      </c>
      <c r="I20" s="266" t="s">
        <v>144</v>
      </c>
      <c r="J20" s="269" t="s">
        <v>145</v>
      </c>
      <c r="K20" s="270">
        <v>593750</v>
      </c>
      <c r="L20" s="266" t="s">
        <v>26</v>
      </c>
      <c r="M20" s="268"/>
      <c r="N20" s="268"/>
      <c r="O20" s="267"/>
    </row>
    <row r="21" spans="1:15" ht="18" x14ac:dyDescent="0.25">
      <c r="A21" s="214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</row>
    <row r="22" spans="1:15" ht="18" x14ac:dyDescent="0.25">
      <c r="A22" s="214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</row>
    <row r="23" spans="1:15" ht="18" x14ac:dyDescent="0.25">
      <c r="A23" s="213"/>
      <c r="B23" s="213"/>
      <c r="C23" s="583" t="s">
        <v>36</v>
      </c>
      <c r="D23" s="213"/>
      <c r="E23" s="213"/>
      <c r="F23" s="213"/>
      <c r="G23" s="213"/>
      <c r="H23" s="213"/>
      <c r="I23" s="213"/>
      <c r="J23" s="213"/>
      <c r="K23" s="213"/>
      <c r="L23" s="583" t="s">
        <v>579</v>
      </c>
      <c r="M23" s="213"/>
      <c r="N23" s="214"/>
      <c r="O23" s="214"/>
    </row>
    <row r="24" spans="1:15" ht="18" x14ac:dyDescent="0.25">
      <c r="A24" s="213"/>
      <c r="B24" s="213"/>
      <c r="C24" s="583"/>
      <c r="D24" s="213"/>
      <c r="E24" s="213"/>
      <c r="F24" s="213"/>
      <c r="G24" s="213"/>
      <c r="H24" s="213"/>
      <c r="I24" s="213"/>
      <c r="J24" s="213"/>
      <c r="K24" s="213"/>
      <c r="L24" s="583"/>
      <c r="M24" s="213"/>
      <c r="N24" s="214"/>
      <c r="O24" s="214"/>
    </row>
    <row r="25" spans="1:15" ht="18" x14ac:dyDescent="0.25">
      <c r="A25" s="213"/>
      <c r="B25" s="213"/>
      <c r="C25" s="23" t="s">
        <v>572</v>
      </c>
      <c r="D25" s="213"/>
      <c r="E25" s="213"/>
      <c r="F25" s="213"/>
      <c r="G25" s="213"/>
      <c r="H25" s="213"/>
      <c r="I25" s="213"/>
      <c r="J25" s="213"/>
      <c r="K25" s="213"/>
      <c r="L25" s="23" t="s">
        <v>580</v>
      </c>
      <c r="M25" s="213"/>
      <c r="N25" s="214"/>
      <c r="O25" s="214"/>
    </row>
    <row r="26" spans="1:15" ht="18" x14ac:dyDescent="0.25">
      <c r="A26" s="213"/>
      <c r="B26" s="213"/>
      <c r="C26" s="23"/>
      <c r="D26" s="213"/>
      <c r="E26" s="213"/>
      <c r="F26" s="213"/>
      <c r="G26" s="213"/>
      <c r="H26" s="213"/>
      <c r="I26" s="213"/>
      <c r="J26" s="213"/>
      <c r="K26" s="213"/>
      <c r="L26" s="23"/>
      <c r="M26" s="213"/>
      <c r="N26" s="214"/>
      <c r="O26" s="214"/>
    </row>
    <row r="27" spans="1:15" ht="18" x14ac:dyDescent="0.25">
      <c r="A27" s="213"/>
      <c r="B27" s="213"/>
      <c r="C27" s="23"/>
      <c r="D27" s="213"/>
      <c r="E27" s="213"/>
      <c r="F27" s="213"/>
      <c r="G27" s="213"/>
      <c r="H27" s="213"/>
      <c r="I27" s="213"/>
      <c r="J27" s="213"/>
      <c r="K27" s="213"/>
      <c r="L27" s="23"/>
      <c r="M27" s="213"/>
      <c r="N27" s="214"/>
      <c r="O27" s="214"/>
    </row>
    <row r="28" spans="1:15" ht="18" x14ac:dyDescent="0.25">
      <c r="A28" s="213"/>
      <c r="B28" s="213"/>
      <c r="C28" s="23"/>
      <c r="D28" s="213"/>
      <c r="E28" s="213"/>
      <c r="F28" s="213"/>
      <c r="G28" s="213"/>
      <c r="H28" s="213"/>
      <c r="I28" s="213"/>
      <c r="J28" s="213"/>
      <c r="K28" s="213"/>
      <c r="L28" s="23"/>
      <c r="M28" s="213"/>
      <c r="N28" s="214"/>
      <c r="O28" s="214"/>
    </row>
    <row r="29" spans="1:15" ht="18" x14ac:dyDescent="0.25">
      <c r="A29" s="213"/>
      <c r="B29" s="213"/>
      <c r="C29" s="6" t="s">
        <v>573</v>
      </c>
      <c r="D29" s="213"/>
      <c r="E29" s="213"/>
      <c r="F29" s="213"/>
      <c r="G29" s="213"/>
      <c r="H29" s="213"/>
      <c r="I29" s="213"/>
      <c r="J29" s="213"/>
      <c r="K29" s="213"/>
      <c r="L29" s="6" t="s">
        <v>576</v>
      </c>
      <c r="M29" s="213"/>
      <c r="N29" s="214"/>
      <c r="O29" s="214"/>
    </row>
    <row r="30" spans="1:15" ht="18" x14ac:dyDescent="0.25">
      <c r="A30" s="213"/>
      <c r="B30" s="213"/>
      <c r="C30" s="23" t="s">
        <v>39</v>
      </c>
      <c r="D30" s="213"/>
      <c r="E30" s="213"/>
      <c r="F30" s="213"/>
      <c r="G30" s="213"/>
      <c r="H30" s="213"/>
      <c r="I30" s="213"/>
      <c r="J30" s="213"/>
      <c r="K30" s="213"/>
      <c r="L30" s="23" t="str">
        <f>'RUANG KABAN'!M30</f>
        <v>NIP. 19721124 200604 2 005</v>
      </c>
      <c r="M30" s="213"/>
      <c r="N30" s="214"/>
      <c r="O30" s="214"/>
    </row>
    <row r="31" spans="1:15" ht="18" x14ac:dyDescent="0.25">
      <c r="A31" s="214"/>
      <c r="B31" s="214"/>
      <c r="C31" s="23" t="s">
        <v>574</v>
      </c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</row>
    <row r="32" spans="1:15" ht="18" x14ac:dyDescent="0.25">
      <c r="A32" s="214"/>
      <c r="B32" s="214"/>
      <c r="C32" s="214"/>
      <c r="D32" s="214"/>
      <c r="E32" s="214"/>
      <c r="F32" s="214"/>
      <c r="G32" s="214"/>
      <c r="H32" s="214"/>
      <c r="I32" s="214"/>
      <c r="J32" s="214"/>
      <c r="K32" s="320"/>
      <c r="L32" s="214"/>
      <c r="M32" s="214"/>
      <c r="N32" s="214"/>
      <c r="O32" s="214"/>
    </row>
    <row r="33" spans="2:11" x14ac:dyDescent="0.25">
      <c r="B33" s="21"/>
      <c r="K33" s="25"/>
    </row>
    <row r="34" spans="2:11" x14ac:dyDescent="0.25">
      <c r="B34" s="22"/>
    </row>
    <row r="35" spans="2:11" x14ac:dyDescent="0.25">
      <c r="B35" s="22"/>
    </row>
  </sheetData>
  <mergeCells count="22">
    <mergeCell ref="A3:B3"/>
    <mergeCell ref="A4:B4"/>
    <mergeCell ref="A5:B5"/>
    <mergeCell ref="A6:B6"/>
    <mergeCell ref="B9:C9"/>
    <mergeCell ref="A10:A11"/>
    <mergeCell ref="B10:C11"/>
    <mergeCell ref="D10:D11"/>
    <mergeCell ref="E10:E11"/>
    <mergeCell ref="F9:F11"/>
    <mergeCell ref="O10:O11"/>
    <mergeCell ref="B12:C12"/>
    <mergeCell ref="B20:C20"/>
    <mergeCell ref="B19:C19"/>
    <mergeCell ref="B17:C17"/>
    <mergeCell ref="B15:C15"/>
    <mergeCell ref="B13:C13"/>
    <mergeCell ref="B16:C16"/>
    <mergeCell ref="B18:C18"/>
    <mergeCell ref="B14:C14"/>
    <mergeCell ref="G9:G11"/>
    <mergeCell ref="L9:N9"/>
  </mergeCells>
  <printOptions horizontalCentered="1"/>
  <pageMargins left="0.11811023622047245" right="0.35433070866141736" top="0.19685039370078741" bottom="0.15748031496062992" header="0" footer="0"/>
  <pageSetup paperSize="5" scale="65" orientation="landscape" horizontalDpi="4294967293" verticalDpi="360" r:id="rId1"/>
  <headerFooter alignWithMargins="0">
    <oddFooter>&amp;L&amp;9&amp;F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O35"/>
  <sheetViews>
    <sheetView view="pageBreakPreview" zoomScaleNormal="55" workbookViewId="0">
      <selection activeCell="O25" sqref="O25:O26"/>
    </sheetView>
  </sheetViews>
  <sheetFormatPr defaultRowHeight="15.75" x14ac:dyDescent="0.25"/>
  <cols>
    <col min="1" max="1" width="6.375" customWidth="1"/>
    <col min="2" max="2" width="7" customWidth="1"/>
    <col min="3" max="3" width="30.875" customWidth="1"/>
    <col min="4" max="4" width="15.25" customWidth="1"/>
    <col min="5" max="5" width="9.625" customWidth="1"/>
    <col min="6" max="6" width="9.25" customWidth="1"/>
    <col min="7" max="7" width="14.375" customWidth="1"/>
    <col min="8" max="8" width="18.375" customWidth="1"/>
    <col min="9" max="9" width="20.125" customWidth="1"/>
    <col min="10" max="10" width="13.875" customWidth="1"/>
    <col min="11" max="11" width="15.875" customWidth="1"/>
    <col min="13" max="13" width="14.625" customWidth="1"/>
    <col min="14" max="14" width="15.25" customWidth="1"/>
    <col min="15" max="15" width="14.125" customWidth="1"/>
    <col min="258" max="258" width="7" customWidth="1"/>
    <col min="259" max="259" width="17.75" customWidth="1"/>
    <col min="260" max="260" width="10.875" customWidth="1"/>
    <col min="261" max="261" width="11.25" customWidth="1"/>
    <col min="262" max="262" width="11.5" customWidth="1"/>
    <col min="263" max="263" width="11.625" customWidth="1"/>
    <col min="264" max="264" width="15.5" customWidth="1"/>
    <col min="265" max="265" width="18.75" customWidth="1"/>
    <col min="266" max="266" width="15.375" customWidth="1"/>
    <col min="267" max="267" width="15.125" customWidth="1"/>
    <col min="269" max="269" width="11" customWidth="1"/>
    <col min="270" max="270" width="10.625" customWidth="1"/>
    <col min="271" max="271" width="9.625" customWidth="1"/>
    <col min="514" max="514" width="7" customWidth="1"/>
    <col min="515" max="515" width="17.75" customWidth="1"/>
    <col min="516" max="516" width="10.875" customWidth="1"/>
    <col min="517" max="517" width="11.25" customWidth="1"/>
    <col min="518" max="518" width="11.5" customWidth="1"/>
    <col min="519" max="519" width="11.625" customWidth="1"/>
    <col min="520" max="520" width="15.5" customWidth="1"/>
    <col min="521" max="521" width="18.75" customWidth="1"/>
    <col min="522" max="522" width="15.375" customWidth="1"/>
    <col min="523" max="523" width="15.125" customWidth="1"/>
    <col min="525" max="525" width="11" customWidth="1"/>
    <col min="526" max="526" width="10.625" customWidth="1"/>
    <col min="527" max="527" width="9.625" customWidth="1"/>
    <col min="770" max="770" width="7" customWidth="1"/>
    <col min="771" max="771" width="17.75" customWidth="1"/>
    <col min="772" max="772" width="10.875" customWidth="1"/>
    <col min="773" max="773" width="11.25" customWidth="1"/>
    <col min="774" max="774" width="11.5" customWidth="1"/>
    <col min="775" max="775" width="11.625" customWidth="1"/>
    <col min="776" max="776" width="15.5" customWidth="1"/>
    <col min="777" max="777" width="18.75" customWidth="1"/>
    <col min="778" max="778" width="15.375" customWidth="1"/>
    <col min="779" max="779" width="15.125" customWidth="1"/>
    <col min="781" max="781" width="11" customWidth="1"/>
    <col min="782" max="782" width="10.625" customWidth="1"/>
    <col min="783" max="783" width="9.625" customWidth="1"/>
    <col min="1026" max="1026" width="7" customWidth="1"/>
    <col min="1027" max="1027" width="17.75" customWidth="1"/>
    <col min="1028" max="1028" width="10.875" customWidth="1"/>
    <col min="1029" max="1029" width="11.25" customWidth="1"/>
    <col min="1030" max="1030" width="11.5" customWidth="1"/>
    <col min="1031" max="1031" width="11.625" customWidth="1"/>
    <col min="1032" max="1032" width="15.5" customWidth="1"/>
    <col min="1033" max="1033" width="18.75" customWidth="1"/>
    <col min="1034" max="1034" width="15.375" customWidth="1"/>
    <col min="1035" max="1035" width="15.125" customWidth="1"/>
    <col min="1037" max="1037" width="11" customWidth="1"/>
    <col min="1038" max="1038" width="10.625" customWidth="1"/>
    <col min="1039" max="1039" width="9.625" customWidth="1"/>
    <col min="1282" max="1282" width="7" customWidth="1"/>
    <col min="1283" max="1283" width="17.75" customWidth="1"/>
    <col min="1284" max="1284" width="10.875" customWidth="1"/>
    <col min="1285" max="1285" width="11.25" customWidth="1"/>
    <col min="1286" max="1286" width="11.5" customWidth="1"/>
    <col min="1287" max="1287" width="11.625" customWidth="1"/>
    <col min="1288" max="1288" width="15.5" customWidth="1"/>
    <col min="1289" max="1289" width="18.75" customWidth="1"/>
    <col min="1290" max="1290" width="15.375" customWidth="1"/>
    <col min="1291" max="1291" width="15.125" customWidth="1"/>
    <col min="1293" max="1293" width="11" customWidth="1"/>
    <col min="1294" max="1294" width="10.625" customWidth="1"/>
    <col min="1295" max="1295" width="9.625" customWidth="1"/>
    <col min="1538" max="1538" width="7" customWidth="1"/>
    <col min="1539" max="1539" width="17.75" customWidth="1"/>
    <col min="1540" max="1540" width="10.875" customWidth="1"/>
    <col min="1541" max="1541" width="11.25" customWidth="1"/>
    <col min="1542" max="1542" width="11.5" customWidth="1"/>
    <col min="1543" max="1543" width="11.625" customWidth="1"/>
    <col min="1544" max="1544" width="15.5" customWidth="1"/>
    <col min="1545" max="1545" width="18.75" customWidth="1"/>
    <col min="1546" max="1546" width="15.375" customWidth="1"/>
    <col min="1547" max="1547" width="15.125" customWidth="1"/>
    <col min="1549" max="1549" width="11" customWidth="1"/>
    <col min="1550" max="1550" width="10.625" customWidth="1"/>
    <col min="1551" max="1551" width="9.625" customWidth="1"/>
    <col min="1794" max="1794" width="7" customWidth="1"/>
    <col min="1795" max="1795" width="17.75" customWidth="1"/>
    <col min="1796" max="1796" width="10.875" customWidth="1"/>
    <col min="1797" max="1797" width="11.25" customWidth="1"/>
    <col min="1798" max="1798" width="11.5" customWidth="1"/>
    <col min="1799" max="1799" width="11.625" customWidth="1"/>
    <col min="1800" max="1800" width="15.5" customWidth="1"/>
    <col min="1801" max="1801" width="18.75" customWidth="1"/>
    <col min="1802" max="1802" width="15.375" customWidth="1"/>
    <col min="1803" max="1803" width="15.125" customWidth="1"/>
    <col min="1805" max="1805" width="11" customWidth="1"/>
    <col min="1806" max="1806" width="10.625" customWidth="1"/>
    <col min="1807" max="1807" width="9.625" customWidth="1"/>
    <col min="2050" max="2050" width="7" customWidth="1"/>
    <col min="2051" max="2051" width="17.75" customWidth="1"/>
    <col min="2052" max="2052" width="10.875" customWidth="1"/>
    <col min="2053" max="2053" width="11.25" customWidth="1"/>
    <col min="2054" max="2054" width="11.5" customWidth="1"/>
    <col min="2055" max="2055" width="11.625" customWidth="1"/>
    <col min="2056" max="2056" width="15.5" customWidth="1"/>
    <col min="2057" max="2057" width="18.75" customWidth="1"/>
    <col min="2058" max="2058" width="15.375" customWidth="1"/>
    <col min="2059" max="2059" width="15.125" customWidth="1"/>
    <col min="2061" max="2061" width="11" customWidth="1"/>
    <col min="2062" max="2062" width="10.625" customWidth="1"/>
    <col min="2063" max="2063" width="9.625" customWidth="1"/>
    <col min="2306" max="2306" width="7" customWidth="1"/>
    <col min="2307" max="2307" width="17.75" customWidth="1"/>
    <col min="2308" max="2308" width="10.875" customWidth="1"/>
    <col min="2309" max="2309" width="11.25" customWidth="1"/>
    <col min="2310" max="2310" width="11.5" customWidth="1"/>
    <col min="2311" max="2311" width="11.625" customWidth="1"/>
    <col min="2312" max="2312" width="15.5" customWidth="1"/>
    <col min="2313" max="2313" width="18.75" customWidth="1"/>
    <col min="2314" max="2314" width="15.375" customWidth="1"/>
    <col min="2315" max="2315" width="15.125" customWidth="1"/>
    <col min="2317" max="2317" width="11" customWidth="1"/>
    <col min="2318" max="2318" width="10.625" customWidth="1"/>
    <col min="2319" max="2319" width="9.625" customWidth="1"/>
    <col min="2562" max="2562" width="7" customWidth="1"/>
    <col min="2563" max="2563" width="17.75" customWidth="1"/>
    <col min="2564" max="2564" width="10.875" customWidth="1"/>
    <col min="2565" max="2565" width="11.25" customWidth="1"/>
    <col min="2566" max="2566" width="11.5" customWidth="1"/>
    <col min="2567" max="2567" width="11.625" customWidth="1"/>
    <col min="2568" max="2568" width="15.5" customWidth="1"/>
    <col min="2569" max="2569" width="18.75" customWidth="1"/>
    <col min="2570" max="2570" width="15.375" customWidth="1"/>
    <col min="2571" max="2571" width="15.125" customWidth="1"/>
    <col min="2573" max="2573" width="11" customWidth="1"/>
    <col min="2574" max="2574" width="10.625" customWidth="1"/>
    <col min="2575" max="2575" width="9.625" customWidth="1"/>
    <col min="2818" max="2818" width="7" customWidth="1"/>
    <col min="2819" max="2819" width="17.75" customWidth="1"/>
    <col min="2820" max="2820" width="10.875" customWidth="1"/>
    <col min="2821" max="2821" width="11.25" customWidth="1"/>
    <col min="2822" max="2822" width="11.5" customWidth="1"/>
    <col min="2823" max="2823" width="11.625" customWidth="1"/>
    <col min="2824" max="2824" width="15.5" customWidth="1"/>
    <col min="2825" max="2825" width="18.75" customWidth="1"/>
    <col min="2826" max="2826" width="15.375" customWidth="1"/>
    <col min="2827" max="2827" width="15.125" customWidth="1"/>
    <col min="2829" max="2829" width="11" customWidth="1"/>
    <col min="2830" max="2830" width="10.625" customWidth="1"/>
    <col min="2831" max="2831" width="9.625" customWidth="1"/>
    <col min="3074" max="3074" width="7" customWidth="1"/>
    <col min="3075" max="3075" width="17.75" customWidth="1"/>
    <col min="3076" max="3076" width="10.875" customWidth="1"/>
    <col min="3077" max="3077" width="11.25" customWidth="1"/>
    <col min="3078" max="3078" width="11.5" customWidth="1"/>
    <col min="3079" max="3079" width="11.625" customWidth="1"/>
    <col min="3080" max="3080" width="15.5" customWidth="1"/>
    <col min="3081" max="3081" width="18.75" customWidth="1"/>
    <col min="3082" max="3082" width="15.375" customWidth="1"/>
    <col min="3083" max="3083" width="15.125" customWidth="1"/>
    <col min="3085" max="3085" width="11" customWidth="1"/>
    <col min="3086" max="3086" width="10.625" customWidth="1"/>
    <col min="3087" max="3087" width="9.625" customWidth="1"/>
    <col min="3330" max="3330" width="7" customWidth="1"/>
    <col min="3331" max="3331" width="17.75" customWidth="1"/>
    <col min="3332" max="3332" width="10.875" customWidth="1"/>
    <col min="3333" max="3333" width="11.25" customWidth="1"/>
    <col min="3334" max="3334" width="11.5" customWidth="1"/>
    <col min="3335" max="3335" width="11.625" customWidth="1"/>
    <col min="3336" max="3336" width="15.5" customWidth="1"/>
    <col min="3337" max="3337" width="18.75" customWidth="1"/>
    <col min="3338" max="3338" width="15.375" customWidth="1"/>
    <col min="3339" max="3339" width="15.125" customWidth="1"/>
    <col min="3341" max="3341" width="11" customWidth="1"/>
    <col min="3342" max="3342" width="10.625" customWidth="1"/>
    <col min="3343" max="3343" width="9.625" customWidth="1"/>
    <col min="3586" max="3586" width="7" customWidth="1"/>
    <col min="3587" max="3587" width="17.75" customWidth="1"/>
    <col min="3588" max="3588" width="10.875" customWidth="1"/>
    <col min="3589" max="3589" width="11.25" customWidth="1"/>
    <col min="3590" max="3590" width="11.5" customWidth="1"/>
    <col min="3591" max="3591" width="11.625" customWidth="1"/>
    <col min="3592" max="3592" width="15.5" customWidth="1"/>
    <col min="3593" max="3593" width="18.75" customWidth="1"/>
    <col min="3594" max="3594" width="15.375" customWidth="1"/>
    <col min="3595" max="3595" width="15.125" customWidth="1"/>
    <col min="3597" max="3597" width="11" customWidth="1"/>
    <col min="3598" max="3598" width="10.625" customWidth="1"/>
    <col min="3599" max="3599" width="9.625" customWidth="1"/>
    <col min="3842" max="3842" width="7" customWidth="1"/>
    <col min="3843" max="3843" width="17.75" customWidth="1"/>
    <col min="3844" max="3844" width="10.875" customWidth="1"/>
    <col min="3845" max="3845" width="11.25" customWidth="1"/>
    <col min="3846" max="3846" width="11.5" customWidth="1"/>
    <col min="3847" max="3847" width="11.625" customWidth="1"/>
    <col min="3848" max="3848" width="15.5" customWidth="1"/>
    <col min="3849" max="3849" width="18.75" customWidth="1"/>
    <col min="3850" max="3850" width="15.375" customWidth="1"/>
    <col min="3851" max="3851" width="15.125" customWidth="1"/>
    <col min="3853" max="3853" width="11" customWidth="1"/>
    <col min="3854" max="3854" width="10.625" customWidth="1"/>
    <col min="3855" max="3855" width="9.625" customWidth="1"/>
    <col min="4098" max="4098" width="7" customWidth="1"/>
    <col min="4099" max="4099" width="17.75" customWidth="1"/>
    <col min="4100" max="4100" width="10.875" customWidth="1"/>
    <col min="4101" max="4101" width="11.25" customWidth="1"/>
    <col min="4102" max="4102" width="11.5" customWidth="1"/>
    <col min="4103" max="4103" width="11.625" customWidth="1"/>
    <col min="4104" max="4104" width="15.5" customWidth="1"/>
    <col min="4105" max="4105" width="18.75" customWidth="1"/>
    <col min="4106" max="4106" width="15.375" customWidth="1"/>
    <col min="4107" max="4107" width="15.125" customWidth="1"/>
    <col min="4109" max="4109" width="11" customWidth="1"/>
    <col min="4110" max="4110" width="10.625" customWidth="1"/>
    <col min="4111" max="4111" width="9.625" customWidth="1"/>
    <col min="4354" max="4354" width="7" customWidth="1"/>
    <col min="4355" max="4355" width="17.75" customWidth="1"/>
    <col min="4356" max="4356" width="10.875" customWidth="1"/>
    <col min="4357" max="4357" width="11.25" customWidth="1"/>
    <col min="4358" max="4358" width="11.5" customWidth="1"/>
    <col min="4359" max="4359" width="11.625" customWidth="1"/>
    <col min="4360" max="4360" width="15.5" customWidth="1"/>
    <col min="4361" max="4361" width="18.75" customWidth="1"/>
    <col min="4362" max="4362" width="15.375" customWidth="1"/>
    <col min="4363" max="4363" width="15.125" customWidth="1"/>
    <col min="4365" max="4365" width="11" customWidth="1"/>
    <col min="4366" max="4366" width="10.625" customWidth="1"/>
    <col min="4367" max="4367" width="9.625" customWidth="1"/>
    <col min="4610" max="4610" width="7" customWidth="1"/>
    <col min="4611" max="4611" width="17.75" customWidth="1"/>
    <col min="4612" max="4612" width="10.875" customWidth="1"/>
    <col min="4613" max="4613" width="11.25" customWidth="1"/>
    <col min="4614" max="4614" width="11.5" customWidth="1"/>
    <col min="4615" max="4615" width="11.625" customWidth="1"/>
    <col min="4616" max="4616" width="15.5" customWidth="1"/>
    <col min="4617" max="4617" width="18.75" customWidth="1"/>
    <col min="4618" max="4618" width="15.375" customWidth="1"/>
    <col min="4619" max="4619" width="15.125" customWidth="1"/>
    <col min="4621" max="4621" width="11" customWidth="1"/>
    <col min="4622" max="4622" width="10.625" customWidth="1"/>
    <col min="4623" max="4623" width="9.625" customWidth="1"/>
    <col min="4866" max="4866" width="7" customWidth="1"/>
    <col min="4867" max="4867" width="17.75" customWidth="1"/>
    <col min="4868" max="4868" width="10.875" customWidth="1"/>
    <col min="4869" max="4869" width="11.25" customWidth="1"/>
    <col min="4870" max="4870" width="11.5" customWidth="1"/>
    <col min="4871" max="4871" width="11.625" customWidth="1"/>
    <col min="4872" max="4872" width="15.5" customWidth="1"/>
    <col min="4873" max="4873" width="18.75" customWidth="1"/>
    <col min="4874" max="4874" width="15.375" customWidth="1"/>
    <col min="4875" max="4875" width="15.125" customWidth="1"/>
    <col min="4877" max="4877" width="11" customWidth="1"/>
    <col min="4878" max="4878" width="10.625" customWidth="1"/>
    <col min="4879" max="4879" width="9.625" customWidth="1"/>
    <col min="5122" max="5122" width="7" customWidth="1"/>
    <col min="5123" max="5123" width="17.75" customWidth="1"/>
    <col min="5124" max="5124" width="10.875" customWidth="1"/>
    <col min="5125" max="5125" width="11.25" customWidth="1"/>
    <col min="5126" max="5126" width="11.5" customWidth="1"/>
    <col min="5127" max="5127" width="11.625" customWidth="1"/>
    <col min="5128" max="5128" width="15.5" customWidth="1"/>
    <col min="5129" max="5129" width="18.75" customWidth="1"/>
    <col min="5130" max="5130" width="15.375" customWidth="1"/>
    <col min="5131" max="5131" width="15.125" customWidth="1"/>
    <col min="5133" max="5133" width="11" customWidth="1"/>
    <col min="5134" max="5134" width="10.625" customWidth="1"/>
    <col min="5135" max="5135" width="9.625" customWidth="1"/>
    <col min="5378" max="5378" width="7" customWidth="1"/>
    <col min="5379" max="5379" width="17.75" customWidth="1"/>
    <col min="5380" max="5380" width="10.875" customWidth="1"/>
    <col min="5381" max="5381" width="11.25" customWidth="1"/>
    <col min="5382" max="5382" width="11.5" customWidth="1"/>
    <col min="5383" max="5383" width="11.625" customWidth="1"/>
    <col min="5384" max="5384" width="15.5" customWidth="1"/>
    <col min="5385" max="5385" width="18.75" customWidth="1"/>
    <col min="5386" max="5386" width="15.375" customWidth="1"/>
    <col min="5387" max="5387" width="15.125" customWidth="1"/>
    <col min="5389" max="5389" width="11" customWidth="1"/>
    <col min="5390" max="5390" width="10.625" customWidth="1"/>
    <col min="5391" max="5391" width="9.625" customWidth="1"/>
    <col min="5634" max="5634" width="7" customWidth="1"/>
    <col min="5635" max="5635" width="17.75" customWidth="1"/>
    <col min="5636" max="5636" width="10.875" customWidth="1"/>
    <col min="5637" max="5637" width="11.25" customWidth="1"/>
    <col min="5638" max="5638" width="11.5" customWidth="1"/>
    <col min="5639" max="5639" width="11.625" customWidth="1"/>
    <col min="5640" max="5640" width="15.5" customWidth="1"/>
    <col min="5641" max="5641" width="18.75" customWidth="1"/>
    <col min="5642" max="5642" width="15.375" customWidth="1"/>
    <col min="5643" max="5643" width="15.125" customWidth="1"/>
    <col min="5645" max="5645" width="11" customWidth="1"/>
    <col min="5646" max="5646" width="10.625" customWidth="1"/>
    <col min="5647" max="5647" width="9.625" customWidth="1"/>
    <col min="5890" max="5890" width="7" customWidth="1"/>
    <col min="5891" max="5891" width="17.75" customWidth="1"/>
    <col min="5892" max="5892" width="10.875" customWidth="1"/>
    <col min="5893" max="5893" width="11.25" customWidth="1"/>
    <col min="5894" max="5894" width="11.5" customWidth="1"/>
    <col min="5895" max="5895" width="11.625" customWidth="1"/>
    <col min="5896" max="5896" width="15.5" customWidth="1"/>
    <col min="5897" max="5897" width="18.75" customWidth="1"/>
    <col min="5898" max="5898" width="15.375" customWidth="1"/>
    <col min="5899" max="5899" width="15.125" customWidth="1"/>
    <col min="5901" max="5901" width="11" customWidth="1"/>
    <col min="5902" max="5902" width="10.625" customWidth="1"/>
    <col min="5903" max="5903" width="9.625" customWidth="1"/>
    <col min="6146" max="6146" width="7" customWidth="1"/>
    <col min="6147" max="6147" width="17.75" customWidth="1"/>
    <col min="6148" max="6148" width="10.875" customWidth="1"/>
    <col min="6149" max="6149" width="11.25" customWidth="1"/>
    <col min="6150" max="6150" width="11.5" customWidth="1"/>
    <col min="6151" max="6151" width="11.625" customWidth="1"/>
    <col min="6152" max="6152" width="15.5" customWidth="1"/>
    <col min="6153" max="6153" width="18.75" customWidth="1"/>
    <col min="6154" max="6154" width="15.375" customWidth="1"/>
    <col min="6155" max="6155" width="15.125" customWidth="1"/>
    <col min="6157" max="6157" width="11" customWidth="1"/>
    <col min="6158" max="6158" width="10.625" customWidth="1"/>
    <col min="6159" max="6159" width="9.625" customWidth="1"/>
    <col min="6402" max="6402" width="7" customWidth="1"/>
    <col min="6403" max="6403" width="17.75" customWidth="1"/>
    <col min="6404" max="6404" width="10.875" customWidth="1"/>
    <col min="6405" max="6405" width="11.25" customWidth="1"/>
    <col min="6406" max="6406" width="11.5" customWidth="1"/>
    <col min="6407" max="6407" width="11.625" customWidth="1"/>
    <col min="6408" max="6408" width="15.5" customWidth="1"/>
    <col min="6409" max="6409" width="18.75" customWidth="1"/>
    <col min="6410" max="6410" width="15.375" customWidth="1"/>
    <col min="6411" max="6411" width="15.125" customWidth="1"/>
    <col min="6413" max="6413" width="11" customWidth="1"/>
    <col min="6414" max="6414" width="10.625" customWidth="1"/>
    <col min="6415" max="6415" width="9.625" customWidth="1"/>
    <col min="6658" max="6658" width="7" customWidth="1"/>
    <col min="6659" max="6659" width="17.75" customWidth="1"/>
    <col min="6660" max="6660" width="10.875" customWidth="1"/>
    <col min="6661" max="6661" width="11.25" customWidth="1"/>
    <col min="6662" max="6662" width="11.5" customWidth="1"/>
    <col min="6663" max="6663" width="11.625" customWidth="1"/>
    <col min="6664" max="6664" width="15.5" customWidth="1"/>
    <col min="6665" max="6665" width="18.75" customWidth="1"/>
    <col min="6666" max="6666" width="15.375" customWidth="1"/>
    <col min="6667" max="6667" width="15.125" customWidth="1"/>
    <col min="6669" max="6669" width="11" customWidth="1"/>
    <col min="6670" max="6670" width="10.625" customWidth="1"/>
    <col min="6671" max="6671" width="9.625" customWidth="1"/>
    <col min="6914" max="6914" width="7" customWidth="1"/>
    <col min="6915" max="6915" width="17.75" customWidth="1"/>
    <col min="6916" max="6916" width="10.875" customWidth="1"/>
    <col min="6917" max="6917" width="11.25" customWidth="1"/>
    <col min="6918" max="6918" width="11.5" customWidth="1"/>
    <col min="6919" max="6919" width="11.625" customWidth="1"/>
    <col min="6920" max="6920" width="15.5" customWidth="1"/>
    <col min="6921" max="6921" width="18.75" customWidth="1"/>
    <col min="6922" max="6922" width="15.375" customWidth="1"/>
    <col min="6923" max="6923" width="15.125" customWidth="1"/>
    <col min="6925" max="6925" width="11" customWidth="1"/>
    <col min="6926" max="6926" width="10.625" customWidth="1"/>
    <col min="6927" max="6927" width="9.625" customWidth="1"/>
    <col min="7170" max="7170" width="7" customWidth="1"/>
    <col min="7171" max="7171" width="17.75" customWidth="1"/>
    <col min="7172" max="7172" width="10.875" customWidth="1"/>
    <col min="7173" max="7173" width="11.25" customWidth="1"/>
    <col min="7174" max="7174" width="11.5" customWidth="1"/>
    <col min="7175" max="7175" width="11.625" customWidth="1"/>
    <col min="7176" max="7176" width="15.5" customWidth="1"/>
    <col min="7177" max="7177" width="18.75" customWidth="1"/>
    <col min="7178" max="7178" width="15.375" customWidth="1"/>
    <col min="7179" max="7179" width="15.125" customWidth="1"/>
    <col min="7181" max="7181" width="11" customWidth="1"/>
    <col min="7182" max="7182" width="10.625" customWidth="1"/>
    <col min="7183" max="7183" width="9.625" customWidth="1"/>
    <col min="7426" max="7426" width="7" customWidth="1"/>
    <col min="7427" max="7427" width="17.75" customWidth="1"/>
    <col min="7428" max="7428" width="10.875" customWidth="1"/>
    <col min="7429" max="7429" width="11.25" customWidth="1"/>
    <col min="7430" max="7430" width="11.5" customWidth="1"/>
    <col min="7431" max="7431" width="11.625" customWidth="1"/>
    <col min="7432" max="7432" width="15.5" customWidth="1"/>
    <col min="7433" max="7433" width="18.75" customWidth="1"/>
    <col min="7434" max="7434" width="15.375" customWidth="1"/>
    <col min="7435" max="7435" width="15.125" customWidth="1"/>
    <col min="7437" max="7437" width="11" customWidth="1"/>
    <col min="7438" max="7438" width="10.625" customWidth="1"/>
    <col min="7439" max="7439" width="9.625" customWidth="1"/>
    <col min="7682" max="7682" width="7" customWidth="1"/>
    <col min="7683" max="7683" width="17.75" customWidth="1"/>
    <col min="7684" max="7684" width="10.875" customWidth="1"/>
    <col min="7685" max="7685" width="11.25" customWidth="1"/>
    <col min="7686" max="7686" width="11.5" customWidth="1"/>
    <col min="7687" max="7687" width="11.625" customWidth="1"/>
    <col min="7688" max="7688" width="15.5" customWidth="1"/>
    <col min="7689" max="7689" width="18.75" customWidth="1"/>
    <col min="7690" max="7690" width="15.375" customWidth="1"/>
    <col min="7691" max="7691" width="15.125" customWidth="1"/>
    <col min="7693" max="7693" width="11" customWidth="1"/>
    <col min="7694" max="7694" width="10.625" customWidth="1"/>
    <col min="7695" max="7695" width="9.625" customWidth="1"/>
    <col min="7938" max="7938" width="7" customWidth="1"/>
    <col min="7939" max="7939" width="17.75" customWidth="1"/>
    <col min="7940" max="7940" width="10.875" customWidth="1"/>
    <col min="7941" max="7941" width="11.25" customWidth="1"/>
    <col min="7942" max="7942" width="11.5" customWidth="1"/>
    <col min="7943" max="7943" width="11.625" customWidth="1"/>
    <col min="7944" max="7944" width="15.5" customWidth="1"/>
    <col min="7945" max="7945" width="18.75" customWidth="1"/>
    <col min="7946" max="7946" width="15.375" customWidth="1"/>
    <col min="7947" max="7947" width="15.125" customWidth="1"/>
    <col min="7949" max="7949" width="11" customWidth="1"/>
    <col min="7950" max="7950" width="10.625" customWidth="1"/>
    <col min="7951" max="7951" width="9.625" customWidth="1"/>
    <col min="8194" max="8194" width="7" customWidth="1"/>
    <col min="8195" max="8195" width="17.75" customWidth="1"/>
    <col min="8196" max="8196" width="10.875" customWidth="1"/>
    <col min="8197" max="8197" width="11.25" customWidth="1"/>
    <col min="8198" max="8198" width="11.5" customWidth="1"/>
    <col min="8199" max="8199" width="11.625" customWidth="1"/>
    <col min="8200" max="8200" width="15.5" customWidth="1"/>
    <col min="8201" max="8201" width="18.75" customWidth="1"/>
    <col min="8202" max="8202" width="15.375" customWidth="1"/>
    <col min="8203" max="8203" width="15.125" customWidth="1"/>
    <col min="8205" max="8205" width="11" customWidth="1"/>
    <col min="8206" max="8206" width="10.625" customWidth="1"/>
    <col min="8207" max="8207" width="9.625" customWidth="1"/>
    <col min="8450" max="8450" width="7" customWidth="1"/>
    <col min="8451" max="8451" width="17.75" customWidth="1"/>
    <col min="8452" max="8452" width="10.875" customWidth="1"/>
    <col min="8453" max="8453" width="11.25" customWidth="1"/>
    <col min="8454" max="8454" width="11.5" customWidth="1"/>
    <col min="8455" max="8455" width="11.625" customWidth="1"/>
    <col min="8456" max="8456" width="15.5" customWidth="1"/>
    <col min="8457" max="8457" width="18.75" customWidth="1"/>
    <col min="8458" max="8458" width="15.375" customWidth="1"/>
    <col min="8459" max="8459" width="15.125" customWidth="1"/>
    <col min="8461" max="8461" width="11" customWidth="1"/>
    <col min="8462" max="8462" width="10.625" customWidth="1"/>
    <col min="8463" max="8463" width="9.625" customWidth="1"/>
    <col min="8706" max="8706" width="7" customWidth="1"/>
    <col min="8707" max="8707" width="17.75" customWidth="1"/>
    <col min="8708" max="8708" width="10.875" customWidth="1"/>
    <col min="8709" max="8709" width="11.25" customWidth="1"/>
    <col min="8710" max="8710" width="11.5" customWidth="1"/>
    <col min="8711" max="8711" width="11.625" customWidth="1"/>
    <col min="8712" max="8712" width="15.5" customWidth="1"/>
    <col min="8713" max="8713" width="18.75" customWidth="1"/>
    <col min="8714" max="8714" width="15.375" customWidth="1"/>
    <col min="8715" max="8715" width="15.125" customWidth="1"/>
    <col min="8717" max="8717" width="11" customWidth="1"/>
    <col min="8718" max="8718" width="10.625" customWidth="1"/>
    <col min="8719" max="8719" width="9.625" customWidth="1"/>
    <col min="8962" max="8962" width="7" customWidth="1"/>
    <col min="8963" max="8963" width="17.75" customWidth="1"/>
    <col min="8964" max="8964" width="10.875" customWidth="1"/>
    <col min="8965" max="8965" width="11.25" customWidth="1"/>
    <col min="8966" max="8966" width="11.5" customWidth="1"/>
    <col min="8967" max="8967" width="11.625" customWidth="1"/>
    <col min="8968" max="8968" width="15.5" customWidth="1"/>
    <col min="8969" max="8969" width="18.75" customWidth="1"/>
    <col min="8970" max="8970" width="15.375" customWidth="1"/>
    <col min="8971" max="8971" width="15.125" customWidth="1"/>
    <col min="8973" max="8973" width="11" customWidth="1"/>
    <col min="8974" max="8974" width="10.625" customWidth="1"/>
    <col min="8975" max="8975" width="9.625" customWidth="1"/>
    <col min="9218" max="9218" width="7" customWidth="1"/>
    <col min="9219" max="9219" width="17.75" customWidth="1"/>
    <col min="9220" max="9220" width="10.875" customWidth="1"/>
    <col min="9221" max="9221" width="11.25" customWidth="1"/>
    <col min="9222" max="9222" width="11.5" customWidth="1"/>
    <col min="9223" max="9223" width="11.625" customWidth="1"/>
    <col min="9224" max="9224" width="15.5" customWidth="1"/>
    <col min="9225" max="9225" width="18.75" customWidth="1"/>
    <col min="9226" max="9226" width="15.375" customWidth="1"/>
    <col min="9227" max="9227" width="15.125" customWidth="1"/>
    <col min="9229" max="9229" width="11" customWidth="1"/>
    <col min="9230" max="9230" width="10.625" customWidth="1"/>
    <col min="9231" max="9231" width="9.625" customWidth="1"/>
    <col min="9474" max="9474" width="7" customWidth="1"/>
    <col min="9475" max="9475" width="17.75" customWidth="1"/>
    <col min="9476" max="9476" width="10.875" customWidth="1"/>
    <col min="9477" max="9477" width="11.25" customWidth="1"/>
    <col min="9478" max="9478" width="11.5" customWidth="1"/>
    <col min="9479" max="9479" width="11.625" customWidth="1"/>
    <col min="9480" max="9480" width="15.5" customWidth="1"/>
    <col min="9481" max="9481" width="18.75" customWidth="1"/>
    <col min="9482" max="9482" width="15.375" customWidth="1"/>
    <col min="9483" max="9483" width="15.125" customWidth="1"/>
    <col min="9485" max="9485" width="11" customWidth="1"/>
    <col min="9486" max="9486" width="10.625" customWidth="1"/>
    <col min="9487" max="9487" width="9.625" customWidth="1"/>
    <col min="9730" max="9730" width="7" customWidth="1"/>
    <col min="9731" max="9731" width="17.75" customWidth="1"/>
    <col min="9732" max="9732" width="10.875" customWidth="1"/>
    <col min="9733" max="9733" width="11.25" customWidth="1"/>
    <col min="9734" max="9734" width="11.5" customWidth="1"/>
    <col min="9735" max="9735" width="11.625" customWidth="1"/>
    <col min="9736" max="9736" width="15.5" customWidth="1"/>
    <col min="9737" max="9737" width="18.75" customWidth="1"/>
    <col min="9738" max="9738" width="15.375" customWidth="1"/>
    <col min="9739" max="9739" width="15.125" customWidth="1"/>
    <col min="9741" max="9741" width="11" customWidth="1"/>
    <col min="9742" max="9742" width="10.625" customWidth="1"/>
    <col min="9743" max="9743" width="9.625" customWidth="1"/>
    <col min="9986" max="9986" width="7" customWidth="1"/>
    <col min="9987" max="9987" width="17.75" customWidth="1"/>
    <col min="9988" max="9988" width="10.875" customWidth="1"/>
    <col min="9989" max="9989" width="11.25" customWidth="1"/>
    <col min="9990" max="9990" width="11.5" customWidth="1"/>
    <col min="9991" max="9991" width="11.625" customWidth="1"/>
    <col min="9992" max="9992" width="15.5" customWidth="1"/>
    <col min="9993" max="9993" width="18.75" customWidth="1"/>
    <col min="9994" max="9994" width="15.375" customWidth="1"/>
    <col min="9995" max="9995" width="15.125" customWidth="1"/>
    <col min="9997" max="9997" width="11" customWidth="1"/>
    <col min="9998" max="9998" width="10.625" customWidth="1"/>
    <col min="9999" max="9999" width="9.625" customWidth="1"/>
    <col min="10242" max="10242" width="7" customWidth="1"/>
    <col min="10243" max="10243" width="17.75" customWidth="1"/>
    <col min="10244" max="10244" width="10.875" customWidth="1"/>
    <col min="10245" max="10245" width="11.25" customWidth="1"/>
    <col min="10246" max="10246" width="11.5" customWidth="1"/>
    <col min="10247" max="10247" width="11.625" customWidth="1"/>
    <col min="10248" max="10248" width="15.5" customWidth="1"/>
    <col min="10249" max="10249" width="18.75" customWidth="1"/>
    <col min="10250" max="10250" width="15.375" customWidth="1"/>
    <col min="10251" max="10251" width="15.125" customWidth="1"/>
    <col min="10253" max="10253" width="11" customWidth="1"/>
    <col min="10254" max="10254" width="10.625" customWidth="1"/>
    <col min="10255" max="10255" width="9.625" customWidth="1"/>
    <col min="10498" max="10498" width="7" customWidth="1"/>
    <col min="10499" max="10499" width="17.75" customWidth="1"/>
    <col min="10500" max="10500" width="10.875" customWidth="1"/>
    <col min="10501" max="10501" width="11.25" customWidth="1"/>
    <col min="10502" max="10502" width="11.5" customWidth="1"/>
    <col min="10503" max="10503" width="11.625" customWidth="1"/>
    <col min="10504" max="10504" width="15.5" customWidth="1"/>
    <col min="10505" max="10505" width="18.75" customWidth="1"/>
    <col min="10506" max="10506" width="15.375" customWidth="1"/>
    <col min="10507" max="10507" width="15.125" customWidth="1"/>
    <col min="10509" max="10509" width="11" customWidth="1"/>
    <col min="10510" max="10510" width="10.625" customWidth="1"/>
    <col min="10511" max="10511" width="9.625" customWidth="1"/>
    <col min="10754" max="10754" width="7" customWidth="1"/>
    <col min="10755" max="10755" width="17.75" customWidth="1"/>
    <col min="10756" max="10756" width="10.875" customWidth="1"/>
    <col min="10757" max="10757" width="11.25" customWidth="1"/>
    <col min="10758" max="10758" width="11.5" customWidth="1"/>
    <col min="10759" max="10759" width="11.625" customWidth="1"/>
    <col min="10760" max="10760" width="15.5" customWidth="1"/>
    <col min="10761" max="10761" width="18.75" customWidth="1"/>
    <col min="10762" max="10762" width="15.375" customWidth="1"/>
    <col min="10763" max="10763" width="15.125" customWidth="1"/>
    <col min="10765" max="10765" width="11" customWidth="1"/>
    <col min="10766" max="10766" width="10.625" customWidth="1"/>
    <col min="10767" max="10767" width="9.625" customWidth="1"/>
    <col min="11010" max="11010" width="7" customWidth="1"/>
    <col min="11011" max="11011" width="17.75" customWidth="1"/>
    <col min="11012" max="11012" width="10.875" customWidth="1"/>
    <col min="11013" max="11013" width="11.25" customWidth="1"/>
    <col min="11014" max="11014" width="11.5" customWidth="1"/>
    <col min="11015" max="11015" width="11.625" customWidth="1"/>
    <col min="11016" max="11016" width="15.5" customWidth="1"/>
    <col min="11017" max="11017" width="18.75" customWidth="1"/>
    <col min="11018" max="11018" width="15.375" customWidth="1"/>
    <col min="11019" max="11019" width="15.125" customWidth="1"/>
    <col min="11021" max="11021" width="11" customWidth="1"/>
    <col min="11022" max="11022" width="10.625" customWidth="1"/>
    <col min="11023" max="11023" width="9.625" customWidth="1"/>
    <col min="11266" max="11266" width="7" customWidth="1"/>
    <col min="11267" max="11267" width="17.75" customWidth="1"/>
    <col min="11268" max="11268" width="10.875" customWidth="1"/>
    <col min="11269" max="11269" width="11.25" customWidth="1"/>
    <col min="11270" max="11270" width="11.5" customWidth="1"/>
    <col min="11271" max="11271" width="11.625" customWidth="1"/>
    <col min="11272" max="11272" width="15.5" customWidth="1"/>
    <col min="11273" max="11273" width="18.75" customWidth="1"/>
    <col min="11274" max="11274" width="15.375" customWidth="1"/>
    <col min="11275" max="11275" width="15.125" customWidth="1"/>
    <col min="11277" max="11277" width="11" customWidth="1"/>
    <col min="11278" max="11278" width="10.625" customWidth="1"/>
    <col min="11279" max="11279" width="9.625" customWidth="1"/>
    <col min="11522" max="11522" width="7" customWidth="1"/>
    <col min="11523" max="11523" width="17.75" customWidth="1"/>
    <col min="11524" max="11524" width="10.875" customWidth="1"/>
    <col min="11525" max="11525" width="11.25" customWidth="1"/>
    <col min="11526" max="11526" width="11.5" customWidth="1"/>
    <col min="11527" max="11527" width="11.625" customWidth="1"/>
    <col min="11528" max="11528" width="15.5" customWidth="1"/>
    <col min="11529" max="11529" width="18.75" customWidth="1"/>
    <col min="11530" max="11530" width="15.375" customWidth="1"/>
    <col min="11531" max="11531" width="15.125" customWidth="1"/>
    <col min="11533" max="11533" width="11" customWidth="1"/>
    <col min="11534" max="11534" width="10.625" customWidth="1"/>
    <col min="11535" max="11535" width="9.625" customWidth="1"/>
    <col min="11778" max="11778" width="7" customWidth="1"/>
    <col min="11779" max="11779" width="17.75" customWidth="1"/>
    <col min="11780" max="11780" width="10.875" customWidth="1"/>
    <col min="11781" max="11781" width="11.25" customWidth="1"/>
    <col min="11782" max="11782" width="11.5" customWidth="1"/>
    <col min="11783" max="11783" width="11.625" customWidth="1"/>
    <col min="11784" max="11784" width="15.5" customWidth="1"/>
    <col min="11785" max="11785" width="18.75" customWidth="1"/>
    <col min="11786" max="11786" width="15.375" customWidth="1"/>
    <col min="11787" max="11787" width="15.125" customWidth="1"/>
    <col min="11789" max="11789" width="11" customWidth="1"/>
    <col min="11790" max="11790" width="10.625" customWidth="1"/>
    <col min="11791" max="11791" width="9.625" customWidth="1"/>
    <col min="12034" max="12034" width="7" customWidth="1"/>
    <col min="12035" max="12035" width="17.75" customWidth="1"/>
    <col min="12036" max="12036" width="10.875" customWidth="1"/>
    <col min="12037" max="12037" width="11.25" customWidth="1"/>
    <col min="12038" max="12038" width="11.5" customWidth="1"/>
    <col min="12039" max="12039" width="11.625" customWidth="1"/>
    <col min="12040" max="12040" width="15.5" customWidth="1"/>
    <col min="12041" max="12041" width="18.75" customWidth="1"/>
    <col min="12042" max="12042" width="15.375" customWidth="1"/>
    <col min="12043" max="12043" width="15.125" customWidth="1"/>
    <col min="12045" max="12045" width="11" customWidth="1"/>
    <col min="12046" max="12046" width="10.625" customWidth="1"/>
    <col min="12047" max="12047" width="9.625" customWidth="1"/>
    <col min="12290" max="12290" width="7" customWidth="1"/>
    <col min="12291" max="12291" width="17.75" customWidth="1"/>
    <col min="12292" max="12292" width="10.875" customWidth="1"/>
    <col min="12293" max="12293" width="11.25" customWidth="1"/>
    <col min="12294" max="12294" width="11.5" customWidth="1"/>
    <col min="12295" max="12295" width="11.625" customWidth="1"/>
    <col min="12296" max="12296" width="15.5" customWidth="1"/>
    <col min="12297" max="12297" width="18.75" customWidth="1"/>
    <col min="12298" max="12298" width="15.375" customWidth="1"/>
    <col min="12299" max="12299" width="15.125" customWidth="1"/>
    <col min="12301" max="12301" width="11" customWidth="1"/>
    <col min="12302" max="12302" width="10.625" customWidth="1"/>
    <col min="12303" max="12303" width="9.625" customWidth="1"/>
    <col min="12546" max="12546" width="7" customWidth="1"/>
    <col min="12547" max="12547" width="17.75" customWidth="1"/>
    <col min="12548" max="12548" width="10.875" customWidth="1"/>
    <col min="12549" max="12549" width="11.25" customWidth="1"/>
    <col min="12550" max="12550" width="11.5" customWidth="1"/>
    <col min="12551" max="12551" width="11.625" customWidth="1"/>
    <col min="12552" max="12552" width="15.5" customWidth="1"/>
    <col min="12553" max="12553" width="18.75" customWidth="1"/>
    <col min="12554" max="12554" width="15.375" customWidth="1"/>
    <col min="12555" max="12555" width="15.125" customWidth="1"/>
    <col min="12557" max="12557" width="11" customWidth="1"/>
    <col min="12558" max="12558" width="10.625" customWidth="1"/>
    <col min="12559" max="12559" width="9.625" customWidth="1"/>
    <col min="12802" max="12802" width="7" customWidth="1"/>
    <col min="12803" max="12803" width="17.75" customWidth="1"/>
    <col min="12804" max="12804" width="10.875" customWidth="1"/>
    <col min="12805" max="12805" width="11.25" customWidth="1"/>
    <col min="12806" max="12806" width="11.5" customWidth="1"/>
    <col min="12807" max="12807" width="11.625" customWidth="1"/>
    <col min="12808" max="12808" width="15.5" customWidth="1"/>
    <col min="12809" max="12809" width="18.75" customWidth="1"/>
    <col min="12810" max="12810" width="15.375" customWidth="1"/>
    <col min="12811" max="12811" width="15.125" customWidth="1"/>
    <col min="12813" max="12813" width="11" customWidth="1"/>
    <col min="12814" max="12814" width="10.625" customWidth="1"/>
    <col min="12815" max="12815" width="9.625" customWidth="1"/>
    <col min="13058" max="13058" width="7" customWidth="1"/>
    <col min="13059" max="13059" width="17.75" customWidth="1"/>
    <col min="13060" max="13060" width="10.875" customWidth="1"/>
    <col min="13061" max="13061" width="11.25" customWidth="1"/>
    <col min="13062" max="13062" width="11.5" customWidth="1"/>
    <col min="13063" max="13063" width="11.625" customWidth="1"/>
    <col min="13064" max="13064" width="15.5" customWidth="1"/>
    <col min="13065" max="13065" width="18.75" customWidth="1"/>
    <col min="13066" max="13066" width="15.375" customWidth="1"/>
    <col min="13067" max="13067" width="15.125" customWidth="1"/>
    <col min="13069" max="13069" width="11" customWidth="1"/>
    <col min="13070" max="13070" width="10.625" customWidth="1"/>
    <col min="13071" max="13071" width="9.625" customWidth="1"/>
    <col min="13314" max="13314" width="7" customWidth="1"/>
    <col min="13315" max="13315" width="17.75" customWidth="1"/>
    <col min="13316" max="13316" width="10.875" customWidth="1"/>
    <col min="13317" max="13317" width="11.25" customWidth="1"/>
    <col min="13318" max="13318" width="11.5" customWidth="1"/>
    <col min="13319" max="13319" width="11.625" customWidth="1"/>
    <col min="13320" max="13320" width="15.5" customWidth="1"/>
    <col min="13321" max="13321" width="18.75" customWidth="1"/>
    <col min="13322" max="13322" width="15.375" customWidth="1"/>
    <col min="13323" max="13323" width="15.125" customWidth="1"/>
    <col min="13325" max="13325" width="11" customWidth="1"/>
    <col min="13326" max="13326" width="10.625" customWidth="1"/>
    <col min="13327" max="13327" width="9.625" customWidth="1"/>
    <col min="13570" max="13570" width="7" customWidth="1"/>
    <col min="13571" max="13571" width="17.75" customWidth="1"/>
    <col min="13572" max="13572" width="10.875" customWidth="1"/>
    <col min="13573" max="13573" width="11.25" customWidth="1"/>
    <col min="13574" max="13574" width="11.5" customWidth="1"/>
    <col min="13575" max="13575" width="11.625" customWidth="1"/>
    <col min="13576" max="13576" width="15.5" customWidth="1"/>
    <col min="13577" max="13577" width="18.75" customWidth="1"/>
    <col min="13578" max="13578" width="15.375" customWidth="1"/>
    <col min="13579" max="13579" width="15.125" customWidth="1"/>
    <col min="13581" max="13581" width="11" customWidth="1"/>
    <col min="13582" max="13582" width="10.625" customWidth="1"/>
    <col min="13583" max="13583" width="9.625" customWidth="1"/>
    <col min="13826" max="13826" width="7" customWidth="1"/>
    <col min="13827" max="13827" width="17.75" customWidth="1"/>
    <col min="13828" max="13828" width="10.875" customWidth="1"/>
    <col min="13829" max="13829" width="11.25" customWidth="1"/>
    <col min="13830" max="13830" width="11.5" customWidth="1"/>
    <col min="13831" max="13831" width="11.625" customWidth="1"/>
    <col min="13832" max="13832" width="15.5" customWidth="1"/>
    <col min="13833" max="13833" width="18.75" customWidth="1"/>
    <col min="13834" max="13834" width="15.375" customWidth="1"/>
    <col min="13835" max="13835" width="15.125" customWidth="1"/>
    <col min="13837" max="13837" width="11" customWidth="1"/>
    <col min="13838" max="13838" width="10.625" customWidth="1"/>
    <col min="13839" max="13839" width="9.625" customWidth="1"/>
    <col min="14082" max="14082" width="7" customWidth="1"/>
    <col min="14083" max="14083" width="17.75" customWidth="1"/>
    <col min="14084" max="14084" width="10.875" customWidth="1"/>
    <col min="14085" max="14085" width="11.25" customWidth="1"/>
    <col min="14086" max="14086" width="11.5" customWidth="1"/>
    <col min="14087" max="14087" width="11.625" customWidth="1"/>
    <col min="14088" max="14088" width="15.5" customWidth="1"/>
    <col min="14089" max="14089" width="18.75" customWidth="1"/>
    <col min="14090" max="14090" width="15.375" customWidth="1"/>
    <col min="14091" max="14091" width="15.125" customWidth="1"/>
    <col min="14093" max="14093" width="11" customWidth="1"/>
    <col min="14094" max="14094" width="10.625" customWidth="1"/>
    <col min="14095" max="14095" width="9.625" customWidth="1"/>
    <col min="14338" max="14338" width="7" customWidth="1"/>
    <col min="14339" max="14339" width="17.75" customWidth="1"/>
    <col min="14340" max="14340" width="10.875" customWidth="1"/>
    <col min="14341" max="14341" width="11.25" customWidth="1"/>
    <col min="14342" max="14342" width="11.5" customWidth="1"/>
    <col min="14343" max="14343" width="11.625" customWidth="1"/>
    <col min="14344" max="14344" width="15.5" customWidth="1"/>
    <col min="14345" max="14345" width="18.75" customWidth="1"/>
    <col min="14346" max="14346" width="15.375" customWidth="1"/>
    <col min="14347" max="14347" width="15.125" customWidth="1"/>
    <col min="14349" max="14349" width="11" customWidth="1"/>
    <col min="14350" max="14350" width="10.625" customWidth="1"/>
    <col min="14351" max="14351" width="9.625" customWidth="1"/>
    <col min="14594" max="14594" width="7" customWidth="1"/>
    <col min="14595" max="14595" width="17.75" customWidth="1"/>
    <col min="14596" max="14596" width="10.875" customWidth="1"/>
    <col min="14597" max="14597" width="11.25" customWidth="1"/>
    <col min="14598" max="14598" width="11.5" customWidth="1"/>
    <col min="14599" max="14599" width="11.625" customWidth="1"/>
    <col min="14600" max="14600" width="15.5" customWidth="1"/>
    <col min="14601" max="14601" width="18.75" customWidth="1"/>
    <col min="14602" max="14602" width="15.375" customWidth="1"/>
    <col min="14603" max="14603" width="15.125" customWidth="1"/>
    <col min="14605" max="14605" width="11" customWidth="1"/>
    <col min="14606" max="14606" width="10.625" customWidth="1"/>
    <col min="14607" max="14607" width="9.625" customWidth="1"/>
    <col min="14850" max="14850" width="7" customWidth="1"/>
    <col min="14851" max="14851" width="17.75" customWidth="1"/>
    <col min="14852" max="14852" width="10.875" customWidth="1"/>
    <col min="14853" max="14853" width="11.25" customWidth="1"/>
    <col min="14854" max="14854" width="11.5" customWidth="1"/>
    <col min="14855" max="14855" width="11.625" customWidth="1"/>
    <col min="14856" max="14856" width="15.5" customWidth="1"/>
    <col min="14857" max="14857" width="18.75" customWidth="1"/>
    <col min="14858" max="14858" width="15.375" customWidth="1"/>
    <col min="14859" max="14859" width="15.125" customWidth="1"/>
    <col min="14861" max="14861" width="11" customWidth="1"/>
    <col min="14862" max="14862" width="10.625" customWidth="1"/>
    <col min="14863" max="14863" width="9.625" customWidth="1"/>
    <col min="15106" max="15106" width="7" customWidth="1"/>
    <col min="15107" max="15107" width="17.75" customWidth="1"/>
    <col min="15108" max="15108" width="10.875" customWidth="1"/>
    <col min="15109" max="15109" width="11.25" customWidth="1"/>
    <col min="15110" max="15110" width="11.5" customWidth="1"/>
    <col min="15111" max="15111" width="11.625" customWidth="1"/>
    <col min="15112" max="15112" width="15.5" customWidth="1"/>
    <col min="15113" max="15113" width="18.75" customWidth="1"/>
    <col min="15114" max="15114" width="15.375" customWidth="1"/>
    <col min="15115" max="15115" width="15.125" customWidth="1"/>
    <col min="15117" max="15117" width="11" customWidth="1"/>
    <col min="15118" max="15118" width="10.625" customWidth="1"/>
    <col min="15119" max="15119" width="9.625" customWidth="1"/>
    <col min="15362" max="15362" width="7" customWidth="1"/>
    <col min="15363" max="15363" width="17.75" customWidth="1"/>
    <col min="15364" max="15364" width="10.875" customWidth="1"/>
    <col min="15365" max="15365" width="11.25" customWidth="1"/>
    <col min="15366" max="15366" width="11.5" customWidth="1"/>
    <col min="15367" max="15367" width="11.625" customWidth="1"/>
    <col min="15368" max="15368" width="15.5" customWidth="1"/>
    <col min="15369" max="15369" width="18.75" customWidth="1"/>
    <col min="15370" max="15370" width="15.375" customWidth="1"/>
    <col min="15371" max="15371" width="15.125" customWidth="1"/>
    <col min="15373" max="15373" width="11" customWidth="1"/>
    <col min="15374" max="15374" width="10.625" customWidth="1"/>
    <col min="15375" max="15375" width="9.625" customWidth="1"/>
    <col min="15618" max="15618" width="7" customWidth="1"/>
    <col min="15619" max="15619" width="17.75" customWidth="1"/>
    <col min="15620" max="15620" width="10.875" customWidth="1"/>
    <col min="15621" max="15621" width="11.25" customWidth="1"/>
    <col min="15622" max="15622" width="11.5" customWidth="1"/>
    <col min="15623" max="15623" width="11.625" customWidth="1"/>
    <col min="15624" max="15624" width="15.5" customWidth="1"/>
    <col min="15625" max="15625" width="18.75" customWidth="1"/>
    <col min="15626" max="15626" width="15.375" customWidth="1"/>
    <col min="15627" max="15627" width="15.125" customWidth="1"/>
    <col min="15629" max="15629" width="11" customWidth="1"/>
    <col min="15630" max="15630" width="10.625" customWidth="1"/>
    <col min="15631" max="15631" width="9.625" customWidth="1"/>
    <col min="15874" max="15874" width="7" customWidth="1"/>
    <col min="15875" max="15875" width="17.75" customWidth="1"/>
    <col min="15876" max="15876" width="10.875" customWidth="1"/>
    <col min="15877" max="15877" width="11.25" customWidth="1"/>
    <col min="15878" max="15878" width="11.5" customWidth="1"/>
    <col min="15879" max="15879" width="11.625" customWidth="1"/>
    <col min="15880" max="15880" width="15.5" customWidth="1"/>
    <col min="15881" max="15881" width="18.75" customWidth="1"/>
    <col min="15882" max="15882" width="15.375" customWidth="1"/>
    <col min="15883" max="15883" width="15.125" customWidth="1"/>
    <col min="15885" max="15885" width="11" customWidth="1"/>
    <col min="15886" max="15886" width="10.625" customWidth="1"/>
    <col min="15887" max="15887" width="9.625" customWidth="1"/>
    <col min="16130" max="16130" width="7" customWidth="1"/>
    <col min="16131" max="16131" width="17.75" customWidth="1"/>
    <col min="16132" max="16132" width="10.875" customWidth="1"/>
    <col min="16133" max="16133" width="11.25" customWidth="1"/>
    <col min="16134" max="16134" width="11.5" customWidth="1"/>
    <col min="16135" max="16135" width="11.625" customWidth="1"/>
    <col min="16136" max="16136" width="15.5" customWidth="1"/>
    <col min="16137" max="16137" width="18.75" customWidth="1"/>
    <col min="16138" max="16138" width="15.375" customWidth="1"/>
    <col min="16139" max="16139" width="15.125" customWidth="1"/>
    <col min="16141" max="16141" width="11" customWidth="1"/>
    <col min="16142" max="16142" width="10.625" customWidth="1"/>
    <col min="16143" max="16143" width="9.625" customWidth="1"/>
  </cols>
  <sheetData>
    <row r="1" spans="1:15" ht="20.25" x14ac:dyDescent="0.3">
      <c r="A1" s="280"/>
      <c r="B1" s="280"/>
      <c r="C1" s="280"/>
      <c r="D1" s="280"/>
      <c r="E1" s="280"/>
      <c r="F1" s="280"/>
      <c r="G1" s="280" t="s">
        <v>0</v>
      </c>
      <c r="H1" s="280"/>
      <c r="I1" s="280"/>
      <c r="J1" s="332"/>
      <c r="K1" s="332"/>
      <c r="L1" s="332"/>
      <c r="M1" s="332"/>
      <c r="N1" s="332" t="s">
        <v>1</v>
      </c>
      <c r="O1" s="332"/>
    </row>
    <row r="2" spans="1:15" ht="20.25" x14ac:dyDescent="0.3">
      <c r="A2" s="332"/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</row>
    <row r="3" spans="1:15" ht="20.25" x14ac:dyDescent="0.3">
      <c r="A3" s="511" t="s">
        <v>2</v>
      </c>
      <c r="B3" s="511"/>
      <c r="C3" s="332" t="s">
        <v>38</v>
      </c>
      <c r="D3" s="332"/>
      <c r="E3" s="332"/>
      <c r="F3" s="332"/>
      <c r="G3" s="332"/>
      <c r="H3" s="332"/>
      <c r="I3" s="332"/>
      <c r="J3" s="332"/>
      <c r="K3" s="332"/>
      <c r="L3" s="332"/>
      <c r="M3" s="332"/>
      <c r="N3" s="332"/>
      <c r="O3" s="332"/>
    </row>
    <row r="4" spans="1:15" ht="20.25" x14ac:dyDescent="0.3">
      <c r="A4" s="511" t="s">
        <v>3</v>
      </c>
      <c r="B4" s="511"/>
      <c r="C4" s="332" t="s">
        <v>40</v>
      </c>
      <c r="D4" s="332"/>
      <c r="E4" s="332"/>
      <c r="F4" s="332"/>
      <c r="G4" s="332"/>
      <c r="H4" s="332"/>
      <c r="I4" s="332"/>
      <c r="J4" s="332"/>
      <c r="K4" s="332"/>
      <c r="L4" s="332"/>
      <c r="M4" s="332"/>
      <c r="N4" s="332"/>
      <c r="O4" s="332"/>
    </row>
    <row r="5" spans="1:15" ht="20.25" x14ac:dyDescent="0.3">
      <c r="A5" s="511" t="s">
        <v>4</v>
      </c>
      <c r="B5" s="511"/>
      <c r="C5" s="332" t="s">
        <v>41</v>
      </c>
      <c r="D5" s="332"/>
      <c r="E5" s="332"/>
      <c r="F5" s="332"/>
      <c r="G5" s="332"/>
      <c r="H5" s="332"/>
      <c r="I5" s="332"/>
      <c r="J5" s="332"/>
      <c r="K5" s="332"/>
      <c r="L5" s="332"/>
      <c r="M5" s="332"/>
      <c r="N5" s="332"/>
      <c r="O5" s="332"/>
    </row>
    <row r="6" spans="1:15" ht="20.25" x14ac:dyDescent="0.3">
      <c r="A6" s="511" t="s">
        <v>5</v>
      </c>
      <c r="B6" s="511"/>
      <c r="C6" s="332" t="s">
        <v>160</v>
      </c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</row>
    <row r="7" spans="1:15" ht="20.25" x14ac:dyDescent="0.3">
      <c r="A7" s="332"/>
      <c r="B7" s="332"/>
      <c r="C7" s="332"/>
      <c r="D7" s="332"/>
      <c r="E7" s="332"/>
      <c r="F7" s="332"/>
      <c r="G7" s="332"/>
      <c r="H7" s="332"/>
      <c r="I7" s="332"/>
      <c r="J7" s="332"/>
      <c r="K7" s="332"/>
      <c r="L7" s="332"/>
      <c r="M7" s="332"/>
      <c r="N7" s="332"/>
      <c r="O7" s="332"/>
    </row>
    <row r="8" spans="1:15" ht="20.25" x14ac:dyDescent="0.3">
      <c r="A8" s="280" t="s">
        <v>6</v>
      </c>
      <c r="B8" s="332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</row>
    <row r="9" spans="1:15" ht="18" customHeight="1" x14ac:dyDescent="0.25">
      <c r="A9" s="317" t="s">
        <v>7</v>
      </c>
      <c r="B9" s="500" t="s">
        <v>8</v>
      </c>
      <c r="C9" s="500"/>
      <c r="D9" s="317" t="s">
        <v>9</v>
      </c>
      <c r="E9" s="317" t="s">
        <v>10</v>
      </c>
      <c r="F9" s="489" t="s">
        <v>11</v>
      </c>
      <c r="G9" s="489" t="s">
        <v>12</v>
      </c>
      <c r="H9" s="317" t="s">
        <v>13</v>
      </c>
      <c r="I9" s="317"/>
      <c r="J9" s="317" t="s">
        <v>15</v>
      </c>
      <c r="K9" s="317" t="s">
        <v>16</v>
      </c>
      <c r="L9" s="494" t="s">
        <v>17</v>
      </c>
      <c r="M9" s="494"/>
      <c r="N9" s="494"/>
      <c r="O9" s="317" t="s">
        <v>18</v>
      </c>
    </row>
    <row r="10" spans="1:15" ht="18" customHeight="1" x14ac:dyDescent="0.25">
      <c r="A10" s="490" t="s">
        <v>19</v>
      </c>
      <c r="B10" s="495" t="s">
        <v>20</v>
      </c>
      <c r="C10" s="496"/>
      <c r="D10" s="490" t="s">
        <v>21</v>
      </c>
      <c r="E10" s="490" t="s">
        <v>22</v>
      </c>
      <c r="F10" s="490"/>
      <c r="G10" s="490"/>
      <c r="H10" s="319" t="s">
        <v>23</v>
      </c>
      <c r="I10" s="319" t="s">
        <v>544</v>
      </c>
      <c r="J10" s="319" t="s">
        <v>24</v>
      </c>
      <c r="K10" s="319" t="s">
        <v>25</v>
      </c>
      <c r="L10" s="319" t="s">
        <v>26</v>
      </c>
      <c r="M10" s="319" t="s">
        <v>27</v>
      </c>
      <c r="N10" s="319" t="s">
        <v>28</v>
      </c>
      <c r="O10" s="481" t="s">
        <v>29</v>
      </c>
    </row>
    <row r="11" spans="1:15" ht="18" customHeight="1" x14ac:dyDescent="0.25">
      <c r="A11" s="491"/>
      <c r="B11" s="497"/>
      <c r="C11" s="498"/>
      <c r="D11" s="491"/>
      <c r="E11" s="491"/>
      <c r="F11" s="491"/>
      <c r="G11" s="491"/>
      <c r="H11" s="318" t="s">
        <v>30</v>
      </c>
      <c r="I11" s="318"/>
      <c r="J11" s="318" t="s">
        <v>31</v>
      </c>
      <c r="K11" s="318" t="s">
        <v>32</v>
      </c>
      <c r="L11" s="318" t="s">
        <v>33</v>
      </c>
      <c r="M11" s="318" t="s">
        <v>34</v>
      </c>
      <c r="N11" s="318" t="s">
        <v>35</v>
      </c>
      <c r="O11" s="482"/>
    </row>
    <row r="12" spans="1:15" ht="18" x14ac:dyDescent="0.25">
      <c r="A12" s="263">
        <v>1</v>
      </c>
      <c r="B12" s="483">
        <v>2</v>
      </c>
      <c r="C12" s="484"/>
      <c r="D12" s="315">
        <v>3</v>
      </c>
      <c r="E12" s="315">
        <v>4</v>
      </c>
      <c r="F12" s="316">
        <v>5</v>
      </c>
      <c r="G12" s="316">
        <v>6</v>
      </c>
      <c r="H12" s="319">
        <v>7</v>
      </c>
      <c r="I12" s="319">
        <v>8</v>
      </c>
      <c r="J12" s="319">
        <v>9</v>
      </c>
      <c r="K12" s="319">
        <v>10</v>
      </c>
      <c r="L12" s="319">
        <v>11</v>
      </c>
      <c r="M12" s="319">
        <v>12</v>
      </c>
      <c r="N12" s="319">
        <v>13</v>
      </c>
      <c r="O12" s="315">
        <v>14</v>
      </c>
    </row>
    <row r="13" spans="1:15" ht="36" customHeight="1" x14ac:dyDescent="0.25">
      <c r="A13" s="266">
        <v>1</v>
      </c>
      <c r="B13" s="492" t="s">
        <v>99</v>
      </c>
      <c r="C13" s="493"/>
      <c r="D13" s="267" t="s">
        <v>170</v>
      </c>
      <c r="E13" s="268"/>
      <c r="F13" s="268"/>
      <c r="G13" s="266" t="s">
        <v>56</v>
      </c>
      <c r="H13" s="266">
        <v>2012</v>
      </c>
      <c r="I13" s="266" t="s">
        <v>101</v>
      </c>
      <c r="J13" s="269" t="s">
        <v>149</v>
      </c>
      <c r="K13" s="270">
        <v>3400000</v>
      </c>
      <c r="L13" s="266" t="s">
        <v>26</v>
      </c>
      <c r="M13" s="268"/>
      <c r="N13" s="268"/>
      <c r="O13" s="268"/>
    </row>
    <row r="14" spans="1:15" ht="18" customHeight="1" x14ac:dyDescent="0.25">
      <c r="A14" s="266">
        <f>A13+1</f>
        <v>2</v>
      </c>
      <c r="B14" s="492" t="s">
        <v>104</v>
      </c>
      <c r="C14" s="493"/>
      <c r="D14" s="267" t="s">
        <v>165</v>
      </c>
      <c r="E14" s="268"/>
      <c r="F14" s="268"/>
      <c r="G14" s="282" t="s">
        <v>56</v>
      </c>
      <c r="H14" s="266">
        <v>2013</v>
      </c>
      <c r="I14" s="266" t="s">
        <v>105</v>
      </c>
      <c r="J14" s="269" t="s">
        <v>166</v>
      </c>
      <c r="K14" s="270">
        <v>2880334</v>
      </c>
      <c r="L14" s="266" t="s">
        <v>26</v>
      </c>
      <c r="M14" s="268"/>
      <c r="N14" s="334"/>
      <c r="O14" s="268"/>
    </row>
    <row r="15" spans="1:15" ht="36" customHeight="1" x14ac:dyDescent="0.25">
      <c r="A15" s="266">
        <f>A14+1</f>
        <v>3</v>
      </c>
      <c r="B15" s="492" t="s">
        <v>104</v>
      </c>
      <c r="C15" s="493"/>
      <c r="D15" s="267" t="s">
        <v>167</v>
      </c>
      <c r="E15" s="268"/>
      <c r="F15" s="268"/>
      <c r="G15" s="282" t="s">
        <v>56</v>
      </c>
      <c r="H15" s="266">
        <v>2014</v>
      </c>
      <c r="I15" s="266" t="s">
        <v>105</v>
      </c>
      <c r="J15" s="269" t="s">
        <v>149</v>
      </c>
      <c r="K15" s="270">
        <v>3292653</v>
      </c>
      <c r="L15" s="266" t="s">
        <v>26</v>
      </c>
      <c r="M15" s="268"/>
      <c r="N15" s="268"/>
      <c r="O15" s="268"/>
    </row>
    <row r="16" spans="1:15" ht="36" customHeight="1" x14ac:dyDescent="0.25">
      <c r="A16" s="374">
        <f>A15+1</f>
        <v>4</v>
      </c>
      <c r="B16" s="509" t="s">
        <v>154</v>
      </c>
      <c r="C16" s="510"/>
      <c r="D16" s="375" t="s">
        <v>293</v>
      </c>
      <c r="E16" s="376"/>
      <c r="F16" s="376"/>
      <c r="G16" s="374" t="s">
        <v>42</v>
      </c>
      <c r="H16" s="374">
        <v>2010</v>
      </c>
      <c r="I16" s="374" t="s">
        <v>155</v>
      </c>
      <c r="J16" s="377" t="s">
        <v>54</v>
      </c>
      <c r="K16" s="378">
        <v>396000</v>
      </c>
      <c r="L16" s="374" t="s">
        <v>26</v>
      </c>
      <c r="M16" s="376"/>
      <c r="N16" s="376"/>
      <c r="O16" s="375" t="s">
        <v>560</v>
      </c>
    </row>
    <row r="17" spans="1:15" ht="36" customHeight="1" x14ac:dyDescent="0.25">
      <c r="A17" s="266">
        <f t="shared" ref="A17:A21" si="0">A16+1</f>
        <v>5</v>
      </c>
      <c r="B17" s="492" t="s">
        <v>61</v>
      </c>
      <c r="C17" s="493"/>
      <c r="D17" s="267" t="s">
        <v>163</v>
      </c>
      <c r="E17" s="268"/>
      <c r="F17" s="268"/>
      <c r="G17" s="266" t="s">
        <v>50</v>
      </c>
      <c r="H17" s="266">
        <v>2014</v>
      </c>
      <c r="I17" s="266" t="s">
        <v>62</v>
      </c>
      <c r="J17" s="269" t="s">
        <v>164</v>
      </c>
      <c r="K17" s="270">
        <v>1588358</v>
      </c>
      <c r="L17" s="266" t="s">
        <v>26</v>
      </c>
      <c r="M17" s="268"/>
      <c r="N17" s="268"/>
      <c r="O17" s="268"/>
    </row>
    <row r="18" spans="1:15" ht="18" customHeight="1" x14ac:dyDescent="0.25">
      <c r="A18" s="266">
        <f t="shared" si="0"/>
        <v>6</v>
      </c>
      <c r="B18" s="492" t="s">
        <v>94</v>
      </c>
      <c r="C18" s="493"/>
      <c r="D18" s="267" t="s">
        <v>95</v>
      </c>
      <c r="E18" s="268"/>
      <c r="F18" s="268"/>
      <c r="G18" s="266"/>
      <c r="H18" s="266">
        <v>2018</v>
      </c>
      <c r="I18" s="266" t="s">
        <v>96</v>
      </c>
      <c r="J18" s="269" t="s">
        <v>107</v>
      </c>
      <c r="K18" s="270">
        <v>333232</v>
      </c>
      <c r="L18" s="266" t="s">
        <v>26</v>
      </c>
      <c r="M18" s="268"/>
      <c r="N18" s="268"/>
      <c r="O18" s="268"/>
    </row>
    <row r="19" spans="1:15" ht="36" customHeight="1" x14ac:dyDescent="0.25">
      <c r="A19" s="266">
        <f t="shared" si="0"/>
        <v>7</v>
      </c>
      <c r="B19" s="492" t="s">
        <v>52</v>
      </c>
      <c r="C19" s="493"/>
      <c r="D19" s="267" t="s">
        <v>171</v>
      </c>
      <c r="E19" s="268"/>
      <c r="F19" s="268"/>
      <c r="G19" s="266"/>
      <c r="H19" s="282" t="s">
        <v>172</v>
      </c>
      <c r="I19" s="266" t="s">
        <v>53</v>
      </c>
      <c r="J19" s="269" t="s">
        <v>111</v>
      </c>
      <c r="K19" s="270">
        <v>5009175</v>
      </c>
      <c r="L19" s="266" t="s">
        <v>26</v>
      </c>
      <c r="M19" s="268"/>
      <c r="N19" s="268"/>
      <c r="O19" s="268"/>
    </row>
    <row r="20" spans="1:15" ht="36" customHeight="1" x14ac:dyDescent="0.25">
      <c r="A20" s="266">
        <f t="shared" si="0"/>
        <v>8</v>
      </c>
      <c r="B20" s="492" t="s">
        <v>84</v>
      </c>
      <c r="C20" s="493"/>
      <c r="D20" s="267" t="s">
        <v>168</v>
      </c>
      <c r="E20" s="268"/>
      <c r="F20" s="268"/>
      <c r="G20" s="266"/>
      <c r="H20" s="266">
        <v>2018</v>
      </c>
      <c r="I20" s="266" t="s">
        <v>92</v>
      </c>
      <c r="J20" s="269" t="s">
        <v>169</v>
      </c>
      <c r="K20" s="270">
        <v>2428691</v>
      </c>
      <c r="L20" s="266" t="s">
        <v>26</v>
      </c>
      <c r="M20" s="268"/>
      <c r="N20" s="268"/>
      <c r="O20" s="268"/>
    </row>
    <row r="21" spans="1:15" ht="36" customHeight="1" x14ac:dyDescent="0.25">
      <c r="A21" s="266">
        <f t="shared" si="0"/>
        <v>9</v>
      </c>
      <c r="B21" s="492" t="s">
        <v>142</v>
      </c>
      <c r="C21" s="493"/>
      <c r="D21" s="267" t="s">
        <v>161</v>
      </c>
      <c r="E21" s="268"/>
      <c r="F21" s="268"/>
      <c r="G21" s="266"/>
      <c r="H21" s="266">
        <v>2019</v>
      </c>
      <c r="I21" s="266" t="s">
        <v>144</v>
      </c>
      <c r="J21" s="269" t="s">
        <v>162</v>
      </c>
      <c r="K21" s="270">
        <v>2245000</v>
      </c>
      <c r="L21" s="266" t="s">
        <v>26</v>
      </c>
      <c r="M21" s="268"/>
      <c r="N21" s="268"/>
      <c r="O21" s="268"/>
    </row>
    <row r="22" spans="1:15" ht="18" x14ac:dyDescent="0.25">
      <c r="A22" s="214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</row>
    <row r="23" spans="1:15" ht="18" x14ac:dyDescent="0.25">
      <c r="A23" s="214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</row>
    <row r="24" spans="1:15" ht="18" x14ac:dyDescent="0.25">
      <c r="A24" s="214"/>
      <c r="B24" s="214"/>
      <c r="C24" s="583" t="s">
        <v>36</v>
      </c>
      <c r="D24" s="213"/>
      <c r="E24" s="213"/>
      <c r="F24" s="213"/>
      <c r="G24" s="213"/>
      <c r="H24" s="213"/>
      <c r="I24" s="213"/>
      <c r="J24" s="213"/>
      <c r="K24" s="213"/>
      <c r="L24" s="583" t="s">
        <v>579</v>
      </c>
      <c r="M24" s="213"/>
      <c r="N24" s="214"/>
      <c r="O24" s="214"/>
    </row>
    <row r="25" spans="1:15" ht="18" x14ac:dyDescent="0.25">
      <c r="A25" s="214"/>
      <c r="B25" s="214"/>
      <c r="C25" s="23" t="s">
        <v>572</v>
      </c>
      <c r="D25" s="213"/>
      <c r="E25" s="213"/>
      <c r="F25" s="213"/>
      <c r="G25" s="213"/>
      <c r="H25" s="213"/>
      <c r="I25" s="213"/>
      <c r="J25" s="213"/>
      <c r="K25" s="213"/>
      <c r="L25" s="23" t="s">
        <v>580</v>
      </c>
      <c r="M25" s="213"/>
      <c r="N25" s="214"/>
      <c r="O25" s="214"/>
    </row>
    <row r="26" spans="1:15" ht="18" x14ac:dyDescent="0.25">
      <c r="A26" s="214"/>
      <c r="B26" s="214"/>
      <c r="C26" s="23"/>
      <c r="D26" s="213"/>
      <c r="E26" s="213"/>
      <c r="F26" s="213"/>
      <c r="G26" s="213"/>
      <c r="H26" s="213"/>
      <c r="I26" s="213"/>
      <c r="J26" s="213"/>
      <c r="K26" s="213"/>
      <c r="L26" s="23"/>
      <c r="M26" s="213"/>
      <c r="N26" s="214"/>
      <c r="O26" s="214"/>
    </row>
    <row r="27" spans="1:15" ht="18" x14ac:dyDescent="0.25">
      <c r="A27" s="214"/>
      <c r="B27" s="214"/>
      <c r="C27" s="23"/>
      <c r="D27" s="213"/>
      <c r="E27" s="213"/>
      <c r="F27" s="213"/>
      <c r="G27" s="213"/>
      <c r="H27" s="213"/>
      <c r="I27" s="213"/>
      <c r="J27" s="213"/>
      <c r="K27" s="213"/>
      <c r="L27" s="23"/>
      <c r="M27" s="213"/>
      <c r="N27" s="214"/>
      <c r="O27" s="214"/>
    </row>
    <row r="28" spans="1:15" ht="18" x14ac:dyDescent="0.25">
      <c r="A28" s="214"/>
      <c r="B28" s="214"/>
      <c r="C28" s="23"/>
      <c r="D28" s="213"/>
      <c r="E28" s="213"/>
      <c r="F28" s="213"/>
      <c r="G28" s="213"/>
      <c r="H28" s="213"/>
      <c r="I28" s="213"/>
      <c r="J28" s="213"/>
      <c r="K28" s="213"/>
      <c r="L28" s="23"/>
      <c r="M28" s="213"/>
      <c r="N28" s="214"/>
      <c r="O28" s="214"/>
    </row>
    <row r="29" spans="1:15" ht="18" x14ac:dyDescent="0.25">
      <c r="A29" s="214"/>
      <c r="B29" s="214"/>
      <c r="C29" s="6" t="s">
        <v>573</v>
      </c>
      <c r="D29" s="213"/>
      <c r="E29" s="213"/>
      <c r="F29" s="213"/>
      <c r="G29" s="213"/>
      <c r="H29" s="213"/>
      <c r="I29" s="213"/>
      <c r="J29" s="213"/>
      <c r="K29" s="213"/>
      <c r="L29" s="6" t="s">
        <v>576</v>
      </c>
      <c r="M29" s="213"/>
      <c r="N29" s="214"/>
      <c r="O29" s="214"/>
    </row>
    <row r="30" spans="1:15" ht="18" x14ac:dyDescent="0.25">
      <c r="A30" s="214"/>
      <c r="B30" s="214"/>
      <c r="C30" s="23" t="s">
        <v>39</v>
      </c>
      <c r="D30" s="213"/>
      <c r="E30" s="213"/>
      <c r="F30" s="213"/>
      <c r="G30" s="213"/>
      <c r="H30" s="213"/>
      <c r="I30" s="213"/>
      <c r="J30" s="213"/>
      <c r="K30" s="213"/>
      <c r="L30" s="23" t="str">
        <f>'RUANG KABAN'!M30</f>
        <v>NIP. 19721124 200604 2 005</v>
      </c>
      <c r="M30" s="213"/>
      <c r="N30" s="214"/>
      <c r="O30" s="214"/>
    </row>
    <row r="31" spans="1:15" ht="18" x14ac:dyDescent="0.25">
      <c r="A31" s="214"/>
      <c r="B31" s="214"/>
      <c r="C31" s="23" t="s">
        <v>574</v>
      </c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4"/>
      <c r="O31" s="214"/>
    </row>
    <row r="32" spans="1:15" x14ac:dyDescent="0.25">
      <c r="K32" s="24"/>
    </row>
    <row r="33" spans="2:11" x14ac:dyDescent="0.25">
      <c r="B33" s="21"/>
      <c r="K33" s="25"/>
    </row>
    <row r="34" spans="2:11" x14ac:dyDescent="0.25">
      <c r="B34" s="22"/>
    </row>
    <row r="35" spans="2:11" x14ac:dyDescent="0.25">
      <c r="B35" s="22"/>
    </row>
  </sheetData>
  <mergeCells count="23">
    <mergeCell ref="A3:B3"/>
    <mergeCell ref="A4:B4"/>
    <mergeCell ref="A5:B5"/>
    <mergeCell ref="A6:B6"/>
    <mergeCell ref="B9:C9"/>
    <mergeCell ref="A10:A11"/>
    <mergeCell ref="B10:C11"/>
    <mergeCell ref="D10:D11"/>
    <mergeCell ref="E10:E11"/>
    <mergeCell ref="F9:F11"/>
    <mergeCell ref="B18:C18"/>
    <mergeCell ref="O10:O11"/>
    <mergeCell ref="B12:C12"/>
    <mergeCell ref="B21:C21"/>
    <mergeCell ref="B17:C17"/>
    <mergeCell ref="B14:C14"/>
    <mergeCell ref="B20:C20"/>
    <mergeCell ref="B13:C13"/>
    <mergeCell ref="B16:C16"/>
    <mergeCell ref="B19:C19"/>
    <mergeCell ref="B15:C15"/>
    <mergeCell ref="G9:G11"/>
    <mergeCell ref="L9:N9"/>
  </mergeCells>
  <printOptions horizontalCentered="1"/>
  <pageMargins left="0.11811023622047245" right="0.35433070866141736" top="0.19685039370078741" bottom="0.15748031496062992" header="0" footer="0"/>
  <pageSetup paperSize="5" scale="65" orientation="landscape" horizontalDpi="4294967293" verticalDpi="180" r:id="rId1"/>
  <headerFooter alignWithMargins="0">
    <oddFooter>&amp;L&amp;9&amp;F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O33"/>
  <sheetViews>
    <sheetView view="pageBreakPreview" topLeftCell="A4" zoomScale="80" zoomScaleNormal="55" zoomScaleSheetLayoutView="80" workbookViewId="0">
      <selection activeCell="O15" sqref="O15:O18"/>
    </sheetView>
  </sheetViews>
  <sheetFormatPr defaultRowHeight="15.75" x14ac:dyDescent="0.25"/>
  <cols>
    <col min="1" max="1" width="6.25" customWidth="1"/>
    <col min="2" max="2" width="9.125" customWidth="1"/>
    <col min="3" max="3" width="22.25" customWidth="1"/>
    <col min="4" max="4" width="10.875" customWidth="1"/>
    <col min="5" max="5" width="11.25" customWidth="1"/>
    <col min="6" max="6" width="11.5" customWidth="1"/>
    <col min="7" max="7" width="14.75" customWidth="1"/>
    <col min="8" max="8" width="18.125" customWidth="1"/>
    <col min="9" max="9" width="20.375" customWidth="1"/>
    <col min="10" max="10" width="13.625" customWidth="1"/>
    <col min="11" max="11" width="18.125" customWidth="1"/>
    <col min="13" max="13" width="14.625" customWidth="1"/>
    <col min="14" max="14" width="14.75" customWidth="1"/>
    <col min="15" max="15" width="13.875" customWidth="1"/>
    <col min="258" max="258" width="7" customWidth="1"/>
    <col min="259" max="259" width="17.75" customWidth="1"/>
    <col min="260" max="260" width="10.875" customWidth="1"/>
    <col min="261" max="261" width="11.25" customWidth="1"/>
    <col min="262" max="262" width="11.5" customWidth="1"/>
    <col min="263" max="263" width="11.625" customWidth="1"/>
    <col min="264" max="264" width="15.5" customWidth="1"/>
    <col min="265" max="265" width="18.75" customWidth="1"/>
    <col min="266" max="266" width="15.375" customWidth="1"/>
    <col min="267" max="267" width="15.125" customWidth="1"/>
    <col min="269" max="269" width="11" customWidth="1"/>
    <col min="270" max="270" width="10.625" customWidth="1"/>
    <col min="271" max="271" width="9.625" customWidth="1"/>
    <col min="514" max="514" width="7" customWidth="1"/>
    <col min="515" max="515" width="17.75" customWidth="1"/>
    <col min="516" max="516" width="10.875" customWidth="1"/>
    <col min="517" max="517" width="11.25" customWidth="1"/>
    <col min="518" max="518" width="11.5" customWidth="1"/>
    <col min="519" max="519" width="11.625" customWidth="1"/>
    <col min="520" max="520" width="15.5" customWidth="1"/>
    <col min="521" max="521" width="18.75" customWidth="1"/>
    <col min="522" max="522" width="15.375" customWidth="1"/>
    <col min="523" max="523" width="15.125" customWidth="1"/>
    <col min="525" max="525" width="11" customWidth="1"/>
    <col min="526" max="526" width="10.625" customWidth="1"/>
    <col min="527" max="527" width="9.625" customWidth="1"/>
    <col min="770" max="770" width="7" customWidth="1"/>
    <col min="771" max="771" width="17.75" customWidth="1"/>
    <col min="772" max="772" width="10.875" customWidth="1"/>
    <col min="773" max="773" width="11.25" customWidth="1"/>
    <col min="774" max="774" width="11.5" customWidth="1"/>
    <col min="775" max="775" width="11.625" customWidth="1"/>
    <col min="776" max="776" width="15.5" customWidth="1"/>
    <col min="777" max="777" width="18.75" customWidth="1"/>
    <col min="778" max="778" width="15.375" customWidth="1"/>
    <col min="779" max="779" width="15.125" customWidth="1"/>
    <col min="781" max="781" width="11" customWidth="1"/>
    <col min="782" max="782" width="10.625" customWidth="1"/>
    <col min="783" max="783" width="9.625" customWidth="1"/>
    <col min="1026" max="1026" width="7" customWidth="1"/>
    <col min="1027" max="1027" width="17.75" customWidth="1"/>
    <col min="1028" max="1028" width="10.875" customWidth="1"/>
    <col min="1029" max="1029" width="11.25" customWidth="1"/>
    <col min="1030" max="1030" width="11.5" customWidth="1"/>
    <col min="1031" max="1031" width="11.625" customWidth="1"/>
    <col min="1032" max="1032" width="15.5" customWidth="1"/>
    <col min="1033" max="1033" width="18.75" customWidth="1"/>
    <col min="1034" max="1034" width="15.375" customWidth="1"/>
    <col min="1035" max="1035" width="15.125" customWidth="1"/>
    <col min="1037" max="1037" width="11" customWidth="1"/>
    <col min="1038" max="1038" width="10.625" customWidth="1"/>
    <col min="1039" max="1039" width="9.625" customWidth="1"/>
    <col min="1282" max="1282" width="7" customWidth="1"/>
    <col min="1283" max="1283" width="17.75" customWidth="1"/>
    <col min="1284" max="1284" width="10.875" customWidth="1"/>
    <col min="1285" max="1285" width="11.25" customWidth="1"/>
    <col min="1286" max="1286" width="11.5" customWidth="1"/>
    <col min="1287" max="1287" width="11.625" customWidth="1"/>
    <col min="1288" max="1288" width="15.5" customWidth="1"/>
    <col min="1289" max="1289" width="18.75" customWidth="1"/>
    <col min="1290" max="1290" width="15.375" customWidth="1"/>
    <col min="1291" max="1291" width="15.125" customWidth="1"/>
    <col min="1293" max="1293" width="11" customWidth="1"/>
    <col min="1294" max="1294" width="10.625" customWidth="1"/>
    <col min="1295" max="1295" width="9.625" customWidth="1"/>
    <col min="1538" max="1538" width="7" customWidth="1"/>
    <col min="1539" max="1539" width="17.75" customWidth="1"/>
    <col min="1540" max="1540" width="10.875" customWidth="1"/>
    <col min="1541" max="1541" width="11.25" customWidth="1"/>
    <col min="1542" max="1542" width="11.5" customWidth="1"/>
    <col min="1543" max="1543" width="11.625" customWidth="1"/>
    <col min="1544" max="1544" width="15.5" customWidth="1"/>
    <col min="1545" max="1545" width="18.75" customWidth="1"/>
    <col min="1546" max="1546" width="15.375" customWidth="1"/>
    <col min="1547" max="1547" width="15.125" customWidth="1"/>
    <col min="1549" max="1549" width="11" customWidth="1"/>
    <col min="1550" max="1550" width="10.625" customWidth="1"/>
    <col min="1551" max="1551" width="9.625" customWidth="1"/>
    <col min="1794" max="1794" width="7" customWidth="1"/>
    <col min="1795" max="1795" width="17.75" customWidth="1"/>
    <col min="1796" max="1796" width="10.875" customWidth="1"/>
    <col min="1797" max="1797" width="11.25" customWidth="1"/>
    <col min="1798" max="1798" width="11.5" customWidth="1"/>
    <col min="1799" max="1799" width="11.625" customWidth="1"/>
    <col min="1800" max="1800" width="15.5" customWidth="1"/>
    <col min="1801" max="1801" width="18.75" customWidth="1"/>
    <col min="1802" max="1802" width="15.375" customWidth="1"/>
    <col min="1803" max="1803" width="15.125" customWidth="1"/>
    <col min="1805" max="1805" width="11" customWidth="1"/>
    <col min="1806" max="1806" width="10.625" customWidth="1"/>
    <col min="1807" max="1807" width="9.625" customWidth="1"/>
    <col min="2050" max="2050" width="7" customWidth="1"/>
    <col min="2051" max="2051" width="17.75" customWidth="1"/>
    <col min="2052" max="2052" width="10.875" customWidth="1"/>
    <col min="2053" max="2053" width="11.25" customWidth="1"/>
    <col min="2054" max="2054" width="11.5" customWidth="1"/>
    <col min="2055" max="2055" width="11.625" customWidth="1"/>
    <col min="2056" max="2056" width="15.5" customWidth="1"/>
    <col min="2057" max="2057" width="18.75" customWidth="1"/>
    <col min="2058" max="2058" width="15.375" customWidth="1"/>
    <col min="2059" max="2059" width="15.125" customWidth="1"/>
    <col min="2061" max="2061" width="11" customWidth="1"/>
    <col min="2062" max="2062" width="10.625" customWidth="1"/>
    <col min="2063" max="2063" width="9.625" customWidth="1"/>
    <col min="2306" max="2306" width="7" customWidth="1"/>
    <col min="2307" max="2307" width="17.75" customWidth="1"/>
    <col min="2308" max="2308" width="10.875" customWidth="1"/>
    <col min="2309" max="2309" width="11.25" customWidth="1"/>
    <col min="2310" max="2310" width="11.5" customWidth="1"/>
    <col min="2311" max="2311" width="11.625" customWidth="1"/>
    <col min="2312" max="2312" width="15.5" customWidth="1"/>
    <col min="2313" max="2313" width="18.75" customWidth="1"/>
    <col min="2314" max="2314" width="15.375" customWidth="1"/>
    <col min="2315" max="2315" width="15.125" customWidth="1"/>
    <col min="2317" max="2317" width="11" customWidth="1"/>
    <col min="2318" max="2318" width="10.625" customWidth="1"/>
    <col min="2319" max="2319" width="9.625" customWidth="1"/>
    <col min="2562" max="2562" width="7" customWidth="1"/>
    <col min="2563" max="2563" width="17.75" customWidth="1"/>
    <col min="2564" max="2564" width="10.875" customWidth="1"/>
    <col min="2565" max="2565" width="11.25" customWidth="1"/>
    <col min="2566" max="2566" width="11.5" customWidth="1"/>
    <col min="2567" max="2567" width="11.625" customWidth="1"/>
    <col min="2568" max="2568" width="15.5" customWidth="1"/>
    <col min="2569" max="2569" width="18.75" customWidth="1"/>
    <col min="2570" max="2570" width="15.375" customWidth="1"/>
    <col min="2571" max="2571" width="15.125" customWidth="1"/>
    <col min="2573" max="2573" width="11" customWidth="1"/>
    <col min="2574" max="2574" width="10.625" customWidth="1"/>
    <col min="2575" max="2575" width="9.625" customWidth="1"/>
    <col min="2818" max="2818" width="7" customWidth="1"/>
    <col min="2819" max="2819" width="17.75" customWidth="1"/>
    <col min="2820" max="2820" width="10.875" customWidth="1"/>
    <col min="2821" max="2821" width="11.25" customWidth="1"/>
    <col min="2822" max="2822" width="11.5" customWidth="1"/>
    <col min="2823" max="2823" width="11.625" customWidth="1"/>
    <col min="2824" max="2824" width="15.5" customWidth="1"/>
    <col min="2825" max="2825" width="18.75" customWidth="1"/>
    <col min="2826" max="2826" width="15.375" customWidth="1"/>
    <col min="2827" max="2827" width="15.125" customWidth="1"/>
    <col min="2829" max="2829" width="11" customWidth="1"/>
    <col min="2830" max="2830" width="10.625" customWidth="1"/>
    <col min="2831" max="2831" width="9.625" customWidth="1"/>
    <col min="3074" max="3074" width="7" customWidth="1"/>
    <col min="3075" max="3075" width="17.75" customWidth="1"/>
    <col min="3076" max="3076" width="10.875" customWidth="1"/>
    <col min="3077" max="3077" width="11.25" customWidth="1"/>
    <col min="3078" max="3078" width="11.5" customWidth="1"/>
    <col min="3079" max="3079" width="11.625" customWidth="1"/>
    <col min="3080" max="3080" width="15.5" customWidth="1"/>
    <col min="3081" max="3081" width="18.75" customWidth="1"/>
    <col min="3082" max="3082" width="15.375" customWidth="1"/>
    <col min="3083" max="3083" width="15.125" customWidth="1"/>
    <col min="3085" max="3085" width="11" customWidth="1"/>
    <col min="3086" max="3086" width="10.625" customWidth="1"/>
    <col min="3087" max="3087" width="9.625" customWidth="1"/>
    <col min="3330" max="3330" width="7" customWidth="1"/>
    <col min="3331" max="3331" width="17.75" customWidth="1"/>
    <col min="3332" max="3332" width="10.875" customWidth="1"/>
    <col min="3333" max="3333" width="11.25" customWidth="1"/>
    <col min="3334" max="3334" width="11.5" customWidth="1"/>
    <col min="3335" max="3335" width="11.625" customWidth="1"/>
    <col min="3336" max="3336" width="15.5" customWidth="1"/>
    <col min="3337" max="3337" width="18.75" customWidth="1"/>
    <col min="3338" max="3338" width="15.375" customWidth="1"/>
    <col min="3339" max="3339" width="15.125" customWidth="1"/>
    <col min="3341" max="3341" width="11" customWidth="1"/>
    <col min="3342" max="3342" width="10.625" customWidth="1"/>
    <col min="3343" max="3343" width="9.625" customWidth="1"/>
    <col min="3586" max="3586" width="7" customWidth="1"/>
    <col min="3587" max="3587" width="17.75" customWidth="1"/>
    <col min="3588" max="3588" width="10.875" customWidth="1"/>
    <col min="3589" max="3589" width="11.25" customWidth="1"/>
    <col min="3590" max="3590" width="11.5" customWidth="1"/>
    <col min="3591" max="3591" width="11.625" customWidth="1"/>
    <col min="3592" max="3592" width="15.5" customWidth="1"/>
    <col min="3593" max="3593" width="18.75" customWidth="1"/>
    <col min="3594" max="3594" width="15.375" customWidth="1"/>
    <col min="3595" max="3595" width="15.125" customWidth="1"/>
    <col min="3597" max="3597" width="11" customWidth="1"/>
    <col min="3598" max="3598" width="10.625" customWidth="1"/>
    <col min="3599" max="3599" width="9.625" customWidth="1"/>
    <col min="3842" max="3842" width="7" customWidth="1"/>
    <col min="3843" max="3843" width="17.75" customWidth="1"/>
    <col min="3844" max="3844" width="10.875" customWidth="1"/>
    <col min="3845" max="3845" width="11.25" customWidth="1"/>
    <col min="3846" max="3846" width="11.5" customWidth="1"/>
    <col min="3847" max="3847" width="11.625" customWidth="1"/>
    <col min="3848" max="3848" width="15.5" customWidth="1"/>
    <col min="3849" max="3849" width="18.75" customWidth="1"/>
    <col min="3850" max="3850" width="15.375" customWidth="1"/>
    <col min="3851" max="3851" width="15.125" customWidth="1"/>
    <col min="3853" max="3853" width="11" customWidth="1"/>
    <col min="3854" max="3854" width="10.625" customWidth="1"/>
    <col min="3855" max="3855" width="9.625" customWidth="1"/>
    <col min="4098" max="4098" width="7" customWidth="1"/>
    <col min="4099" max="4099" width="17.75" customWidth="1"/>
    <col min="4100" max="4100" width="10.875" customWidth="1"/>
    <col min="4101" max="4101" width="11.25" customWidth="1"/>
    <col min="4102" max="4102" width="11.5" customWidth="1"/>
    <col min="4103" max="4103" width="11.625" customWidth="1"/>
    <col min="4104" max="4104" width="15.5" customWidth="1"/>
    <col min="4105" max="4105" width="18.75" customWidth="1"/>
    <col min="4106" max="4106" width="15.375" customWidth="1"/>
    <col min="4107" max="4107" width="15.125" customWidth="1"/>
    <col min="4109" max="4109" width="11" customWidth="1"/>
    <col min="4110" max="4110" width="10.625" customWidth="1"/>
    <col min="4111" max="4111" width="9.625" customWidth="1"/>
    <col min="4354" max="4354" width="7" customWidth="1"/>
    <col min="4355" max="4355" width="17.75" customWidth="1"/>
    <col min="4356" max="4356" width="10.875" customWidth="1"/>
    <col min="4357" max="4357" width="11.25" customWidth="1"/>
    <col min="4358" max="4358" width="11.5" customWidth="1"/>
    <col min="4359" max="4359" width="11.625" customWidth="1"/>
    <col min="4360" max="4360" width="15.5" customWidth="1"/>
    <col min="4361" max="4361" width="18.75" customWidth="1"/>
    <col min="4362" max="4362" width="15.375" customWidth="1"/>
    <col min="4363" max="4363" width="15.125" customWidth="1"/>
    <col min="4365" max="4365" width="11" customWidth="1"/>
    <col min="4366" max="4366" width="10.625" customWidth="1"/>
    <col min="4367" max="4367" width="9.625" customWidth="1"/>
    <col min="4610" max="4610" width="7" customWidth="1"/>
    <col min="4611" max="4611" width="17.75" customWidth="1"/>
    <col min="4612" max="4612" width="10.875" customWidth="1"/>
    <col min="4613" max="4613" width="11.25" customWidth="1"/>
    <col min="4614" max="4614" width="11.5" customWidth="1"/>
    <col min="4615" max="4615" width="11.625" customWidth="1"/>
    <col min="4616" max="4616" width="15.5" customWidth="1"/>
    <col min="4617" max="4617" width="18.75" customWidth="1"/>
    <col min="4618" max="4618" width="15.375" customWidth="1"/>
    <col min="4619" max="4619" width="15.125" customWidth="1"/>
    <col min="4621" max="4621" width="11" customWidth="1"/>
    <col min="4622" max="4622" width="10.625" customWidth="1"/>
    <col min="4623" max="4623" width="9.625" customWidth="1"/>
    <col min="4866" max="4866" width="7" customWidth="1"/>
    <col min="4867" max="4867" width="17.75" customWidth="1"/>
    <col min="4868" max="4868" width="10.875" customWidth="1"/>
    <col min="4869" max="4869" width="11.25" customWidth="1"/>
    <col min="4870" max="4870" width="11.5" customWidth="1"/>
    <col min="4871" max="4871" width="11.625" customWidth="1"/>
    <col min="4872" max="4872" width="15.5" customWidth="1"/>
    <col min="4873" max="4873" width="18.75" customWidth="1"/>
    <col min="4874" max="4874" width="15.375" customWidth="1"/>
    <col min="4875" max="4875" width="15.125" customWidth="1"/>
    <col min="4877" max="4877" width="11" customWidth="1"/>
    <col min="4878" max="4878" width="10.625" customWidth="1"/>
    <col min="4879" max="4879" width="9.625" customWidth="1"/>
    <col min="5122" max="5122" width="7" customWidth="1"/>
    <col min="5123" max="5123" width="17.75" customWidth="1"/>
    <col min="5124" max="5124" width="10.875" customWidth="1"/>
    <col min="5125" max="5125" width="11.25" customWidth="1"/>
    <col min="5126" max="5126" width="11.5" customWidth="1"/>
    <col min="5127" max="5127" width="11.625" customWidth="1"/>
    <col min="5128" max="5128" width="15.5" customWidth="1"/>
    <col min="5129" max="5129" width="18.75" customWidth="1"/>
    <col min="5130" max="5130" width="15.375" customWidth="1"/>
    <col min="5131" max="5131" width="15.125" customWidth="1"/>
    <col min="5133" max="5133" width="11" customWidth="1"/>
    <col min="5134" max="5134" width="10.625" customWidth="1"/>
    <col min="5135" max="5135" width="9.625" customWidth="1"/>
    <col min="5378" max="5378" width="7" customWidth="1"/>
    <col min="5379" max="5379" width="17.75" customWidth="1"/>
    <col min="5380" max="5380" width="10.875" customWidth="1"/>
    <col min="5381" max="5381" width="11.25" customWidth="1"/>
    <col min="5382" max="5382" width="11.5" customWidth="1"/>
    <col min="5383" max="5383" width="11.625" customWidth="1"/>
    <col min="5384" max="5384" width="15.5" customWidth="1"/>
    <col min="5385" max="5385" width="18.75" customWidth="1"/>
    <col min="5386" max="5386" width="15.375" customWidth="1"/>
    <col min="5387" max="5387" width="15.125" customWidth="1"/>
    <col min="5389" max="5389" width="11" customWidth="1"/>
    <col min="5390" max="5390" width="10.625" customWidth="1"/>
    <col min="5391" max="5391" width="9.625" customWidth="1"/>
    <col min="5634" max="5634" width="7" customWidth="1"/>
    <col min="5635" max="5635" width="17.75" customWidth="1"/>
    <col min="5636" max="5636" width="10.875" customWidth="1"/>
    <col min="5637" max="5637" width="11.25" customWidth="1"/>
    <col min="5638" max="5638" width="11.5" customWidth="1"/>
    <col min="5639" max="5639" width="11.625" customWidth="1"/>
    <col min="5640" max="5640" width="15.5" customWidth="1"/>
    <col min="5641" max="5641" width="18.75" customWidth="1"/>
    <col min="5642" max="5642" width="15.375" customWidth="1"/>
    <col min="5643" max="5643" width="15.125" customWidth="1"/>
    <col min="5645" max="5645" width="11" customWidth="1"/>
    <col min="5646" max="5646" width="10.625" customWidth="1"/>
    <col min="5647" max="5647" width="9.625" customWidth="1"/>
    <col min="5890" max="5890" width="7" customWidth="1"/>
    <col min="5891" max="5891" width="17.75" customWidth="1"/>
    <col min="5892" max="5892" width="10.875" customWidth="1"/>
    <col min="5893" max="5893" width="11.25" customWidth="1"/>
    <col min="5894" max="5894" width="11.5" customWidth="1"/>
    <col min="5895" max="5895" width="11.625" customWidth="1"/>
    <col min="5896" max="5896" width="15.5" customWidth="1"/>
    <col min="5897" max="5897" width="18.75" customWidth="1"/>
    <col min="5898" max="5898" width="15.375" customWidth="1"/>
    <col min="5899" max="5899" width="15.125" customWidth="1"/>
    <col min="5901" max="5901" width="11" customWidth="1"/>
    <col min="5902" max="5902" width="10.625" customWidth="1"/>
    <col min="5903" max="5903" width="9.625" customWidth="1"/>
    <col min="6146" max="6146" width="7" customWidth="1"/>
    <col min="6147" max="6147" width="17.75" customWidth="1"/>
    <col min="6148" max="6148" width="10.875" customWidth="1"/>
    <col min="6149" max="6149" width="11.25" customWidth="1"/>
    <col min="6150" max="6150" width="11.5" customWidth="1"/>
    <col min="6151" max="6151" width="11.625" customWidth="1"/>
    <col min="6152" max="6152" width="15.5" customWidth="1"/>
    <col min="6153" max="6153" width="18.75" customWidth="1"/>
    <col min="6154" max="6154" width="15.375" customWidth="1"/>
    <col min="6155" max="6155" width="15.125" customWidth="1"/>
    <col min="6157" max="6157" width="11" customWidth="1"/>
    <col min="6158" max="6158" width="10.625" customWidth="1"/>
    <col min="6159" max="6159" width="9.625" customWidth="1"/>
    <col min="6402" max="6402" width="7" customWidth="1"/>
    <col min="6403" max="6403" width="17.75" customWidth="1"/>
    <col min="6404" max="6404" width="10.875" customWidth="1"/>
    <col min="6405" max="6405" width="11.25" customWidth="1"/>
    <col min="6406" max="6406" width="11.5" customWidth="1"/>
    <col min="6407" max="6407" width="11.625" customWidth="1"/>
    <col min="6408" max="6408" width="15.5" customWidth="1"/>
    <col min="6409" max="6409" width="18.75" customWidth="1"/>
    <col min="6410" max="6410" width="15.375" customWidth="1"/>
    <col min="6411" max="6411" width="15.125" customWidth="1"/>
    <col min="6413" max="6413" width="11" customWidth="1"/>
    <col min="6414" max="6414" width="10.625" customWidth="1"/>
    <col min="6415" max="6415" width="9.625" customWidth="1"/>
    <col min="6658" max="6658" width="7" customWidth="1"/>
    <col min="6659" max="6659" width="17.75" customWidth="1"/>
    <col min="6660" max="6660" width="10.875" customWidth="1"/>
    <col min="6661" max="6661" width="11.25" customWidth="1"/>
    <col min="6662" max="6662" width="11.5" customWidth="1"/>
    <col min="6663" max="6663" width="11.625" customWidth="1"/>
    <col min="6664" max="6664" width="15.5" customWidth="1"/>
    <col min="6665" max="6665" width="18.75" customWidth="1"/>
    <col min="6666" max="6666" width="15.375" customWidth="1"/>
    <col min="6667" max="6667" width="15.125" customWidth="1"/>
    <col min="6669" max="6669" width="11" customWidth="1"/>
    <col min="6670" max="6670" width="10.625" customWidth="1"/>
    <col min="6671" max="6671" width="9.625" customWidth="1"/>
    <col min="6914" max="6914" width="7" customWidth="1"/>
    <col min="6915" max="6915" width="17.75" customWidth="1"/>
    <col min="6916" max="6916" width="10.875" customWidth="1"/>
    <col min="6917" max="6917" width="11.25" customWidth="1"/>
    <col min="6918" max="6918" width="11.5" customWidth="1"/>
    <col min="6919" max="6919" width="11.625" customWidth="1"/>
    <col min="6920" max="6920" width="15.5" customWidth="1"/>
    <col min="6921" max="6921" width="18.75" customWidth="1"/>
    <col min="6922" max="6922" width="15.375" customWidth="1"/>
    <col min="6923" max="6923" width="15.125" customWidth="1"/>
    <col min="6925" max="6925" width="11" customWidth="1"/>
    <col min="6926" max="6926" width="10.625" customWidth="1"/>
    <col min="6927" max="6927" width="9.625" customWidth="1"/>
    <col min="7170" max="7170" width="7" customWidth="1"/>
    <col min="7171" max="7171" width="17.75" customWidth="1"/>
    <col min="7172" max="7172" width="10.875" customWidth="1"/>
    <col min="7173" max="7173" width="11.25" customWidth="1"/>
    <col min="7174" max="7174" width="11.5" customWidth="1"/>
    <col min="7175" max="7175" width="11.625" customWidth="1"/>
    <col min="7176" max="7176" width="15.5" customWidth="1"/>
    <col min="7177" max="7177" width="18.75" customWidth="1"/>
    <col min="7178" max="7178" width="15.375" customWidth="1"/>
    <col min="7179" max="7179" width="15.125" customWidth="1"/>
    <col min="7181" max="7181" width="11" customWidth="1"/>
    <col min="7182" max="7182" width="10.625" customWidth="1"/>
    <col min="7183" max="7183" width="9.625" customWidth="1"/>
    <col min="7426" max="7426" width="7" customWidth="1"/>
    <col min="7427" max="7427" width="17.75" customWidth="1"/>
    <col min="7428" max="7428" width="10.875" customWidth="1"/>
    <col min="7429" max="7429" width="11.25" customWidth="1"/>
    <col min="7430" max="7430" width="11.5" customWidth="1"/>
    <col min="7431" max="7431" width="11.625" customWidth="1"/>
    <col min="7432" max="7432" width="15.5" customWidth="1"/>
    <col min="7433" max="7433" width="18.75" customWidth="1"/>
    <col min="7434" max="7434" width="15.375" customWidth="1"/>
    <col min="7435" max="7435" width="15.125" customWidth="1"/>
    <col min="7437" max="7437" width="11" customWidth="1"/>
    <col min="7438" max="7438" width="10.625" customWidth="1"/>
    <col min="7439" max="7439" width="9.625" customWidth="1"/>
    <col min="7682" max="7682" width="7" customWidth="1"/>
    <col min="7683" max="7683" width="17.75" customWidth="1"/>
    <col min="7684" max="7684" width="10.875" customWidth="1"/>
    <col min="7685" max="7685" width="11.25" customWidth="1"/>
    <col min="7686" max="7686" width="11.5" customWidth="1"/>
    <col min="7687" max="7687" width="11.625" customWidth="1"/>
    <col min="7688" max="7688" width="15.5" customWidth="1"/>
    <col min="7689" max="7689" width="18.75" customWidth="1"/>
    <col min="7690" max="7690" width="15.375" customWidth="1"/>
    <col min="7691" max="7691" width="15.125" customWidth="1"/>
    <col min="7693" max="7693" width="11" customWidth="1"/>
    <col min="7694" max="7694" width="10.625" customWidth="1"/>
    <col min="7695" max="7695" width="9.625" customWidth="1"/>
    <col min="7938" max="7938" width="7" customWidth="1"/>
    <col min="7939" max="7939" width="17.75" customWidth="1"/>
    <col min="7940" max="7940" width="10.875" customWidth="1"/>
    <col min="7941" max="7941" width="11.25" customWidth="1"/>
    <col min="7942" max="7942" width="11.5" customWidth="1"/>
    <col min="7943" max="7943" width="11.625" customWidth="1"/>
    <col min="7944" max="7944" width="15.5" customWidth="1"/>
    <col min="7945" max="7945" width="18.75" customWidth="1"/>
    <col min="7946" max="7946" width="15.375" customWidth="1"/>
    <col min="7947" max="7947" width="15.125" customWidth="1"/>
    <col min="7949" max="7949" width="11" customWidth="1"/>
    <col min="7950" max="7950" width="10.625" customWidth="1"/>
    <col min="7951" max="7951" width="9.625" customWidth="1"/>
    <col min="8194" max="8194" width="7" customWidth="1"/>
    <col min="8195" max="8195" width="17.75" customWidth="1"/>
    <col min="8196" max="8196" width="10.875" customWidth="1"/>
    <col min="8197" max="8197" width="11.25" customWidth="1"/>
    <col min="8198" max="8198" width="11.5" customWidth="1"/>
    <col min="8199" max="8199" width="11.625" customWidth="1"/>
    <col min="8200" max="8200" width="15.5" customWidth="1"/>
    <col min="8201" max="8201" width="18.75" customWidth="1"/>
    <col min="8202" max="8202" width="15.375" customWidth="1"/>
    <col min="8203" max="8203" width="15.125" customWidth="1"/>
    <col min="8205" max="8205" width="11" customWidth="1"/>
    <col min="8206" max="8206" width="10.625" customWidth="1"/>
    <col min="8207" max="8207" width="9.625" customWidth="1"/>
    <col min="8450" max="8450" width="7" customWidth="1"/>
    <col min="8451" max="8451" width="17.75" customWidth="1"/>
    <col min="8452" max="8452" width="10.875" customWidth="1"/>
    <col min="8453" max="8453" width="11.25" customWidth="1"/>
    <col min="8454" max="8454" width="11.5" customWidth="1"/>
    <col min="8455" max="8455" width="11.625" customWidth="1"/>
    <col min="8456" max="8456" width="15.5" customWidth="1"/>
    <col min="8457" max="8457" width="18.75" customWidth="1"/>
    <col min="8458" max="8458" width="15.375" customWidth="1"/>
    <col min="8459" max="8459" width="15.125" customWidth="1"/>
    <col min="8461" max="8461" width="11" customWidth="1"/>
    <col min="8462" max="8462" width="10.625" customWidth="1"/>
    <col min="8463" max="8463" width="9.625" customWidth="1"/>
    <col min="8706" max="8706" width="7" customWidth="1"/>
    <col min="8707" max="8707" width="17.75" customWidth="1"/>
    <col min="8708" max="8708" width="10.875" customWidth="1"/>
    <col min="8709" max="8709" width="11.25" customWidth="1"/>
    <col min="8710" max="8710" width="11.5" customWidth="1"/>
    <col min="8711" max="8711" width="11.625" customWidth="1"/>
    <col min="8712" max="8712" width="15.5" customWidth="1"/>
    <col min="8713" max="8713" width="18.75" customWidth="1"/>
    <col min="8714" max="8714" width="15.375" customWidth="1"/>
    <col min="8715" max="8715" width="15.125" customWidth="1"/>
    <col min="8717" max="8717" width="11" customWidth="1"/>
    <col min="8718" max="8718" width="10.625" customWidth="1"/>
    <col min="8719" max="8719" width="9.625" customWidth="1"/>
    <col min="8962" max="8962" width="7" customWidth="1"/>
    <col min="8963" max="8963" width="17.75" customWidth="1"/>
    <col min="8964" max="8964" width="10.875" customWidth="1"/>
    <col min="8965" max="8965" width="11.25" customWidth="1"/>
    <col min="8966" max="8966" width="11.5" customWidth="1"/>
    <col min="8967" max="8967" width="11.625" customWidth="1"/>
    <col min="8968" max="8968" width="15.5" customWidth="1"/>
    <col min="8969" max="8969" width="18.75" customWidth="1"/>
    <col min="8970" max="8970" width="15.375" customWidth="1"/>
    <col min="8971" max="8971" width="15.125" customWidth="1"/>
    <col min="8973" max="8973" width="11" customWidth="1"/>
    <col min="8974" max="8974" width="10.625" customWidth="1"/>
    <col min="8975" max="8975" width="9.625" customWidth="1"/>
    <col min="9218" max="9218" width="7" customWidth="1"/>
    <col min="9219" max="9219" width="17.75" customWidth="1"/>
    <col min="9220" max="9220" width="10.875" customWidth="1"/>
    <col min="9221" max="9221" width="11.25" customWidth="1"/>
    <col min="9222" max="9222" width="11.5" customWidth="1"/>
    <col min="9223" max="9223" width="11.625" customWidth="1"/>
    <col min="9224" max="9224" width="15.5" customWidth="1"/>
    <col min="9225" max="9225" width="18.75" customWidth="1"/>
    <col min="9226" max="9226" width="15.375" customWidth="1"/>
    <col min="9227" max="9227" width="15.125" customWidth="1"/>
    <col min="9229" max="9229" width="11" customWidth="1"/>
    <col min="9230" max="9230" width="10.625" customWidth="1"/>
    <col min="9231" max="9231" width="9.625" customWidth="1"/>
    <col min="9474" max="9474" width="7" customWidth="1"/>
    <col min="9475" max="9475" width="17.75" customWidth="1"/>
    <col min="9476" max="9476" width="10.875" customWidth="1"/>
    <col min="9477" max="9477" width="11.25" customWidth="1"/>
    <col min="9478" max="9478" width="11.5" customWidth="1"/>
    <col min="9479" max="9479" width="11.625" customWidth="1"/>
    <col min="9480" max="9480" width="15.5" customWidth="1"/>
    <col min="9481" max="9481" width="18.75" customWidth="1"/>
    <col min="9482" max="9482" width="15.375" customWidth="1"/>
    <col min="9483" max="9483" width="15.125" customWidth="1"/>
    <col min="9485" max="9485" width="11" customWidth="1"/>
    <col min="9486" max="9486" width="10.625" customWidth="1"/>
    <col min="9487" max="9487" width="9.625" customWidth="1"/>
    <col min="9730" max="9730" width="7" customWidth="1"/>
    <col min="9731" max="9731" width="17.75" customWidth="1"/>
    <col min="9732" max="9732" width="10.875" customWidth="1"/>
    <col min="9733" max="9733" width="11.25" customWidth="1"/>
    <col min="9734" max="9734" width="11.5" customWidth="1"/>
    <col min="9735" max="9735" width="11.625" customWidth="1"/>
    <col min="9736" max="9736" width="15.5" customWidth="1"/>
    <col min="9737" max="9737" width="18.75" customWidth="1"/>
    <col min="9738" max="9738" width="15.375" customWidth="1"/>
    <col min="9739" max="9739" width="15.125" customWidth="1"/>
    <col min="9741" max="9741" width="11" customWidth="1"/>
    <col min="9742" max="9742" width="10.625" customWidth="1"/>
    <col min="9743" max="9743" width="9.625" customWidth="1"/>
    <col min="9986" max="9986" width="7" customWidth="1"/>
    <col min="9987" max="9987" width="17.75" customWidth="1"/>
    <col min="9988" max="9988" width="10.875" customWidth="1"/>
    <col min="9989" max="9989" width="11.25" customWidth="1"/>
    <col min="9990" max="9990" width="11.5" customWidth="1"/>
    <col min="9991" max="9991" width="11.625" customWidth="1"/>
    <col min="9992" max="9992" width="15.5" customWidth="1"/>
    <col min="9993" max="9993" width="18.75" customWidth="1"/>
    <col min="9994" max="9994" width="15.375" customWidth="1"/>
    <col min="9995" max="9995" width="15.125" customWidth="1"/>
    <col min="9997" max="9997" width="11" customWidth="1"/>
    <col min="9998" max="9998" width="10.625" customWidth="1"/>
    <col min="9999" max="9999" width="9.625" customWidth="1"/>
    <col min="10242" max="10242" width="7" customWidth="1"/>
    <col min="10243" max="10243" width="17.75" customWidth="1"/>
    <col min="10244" max="10244" width="10.875" customWidth="1"/>
    <col min="10245" max="10245" width="11.25" customWidth="1"/>
    <col min="10246" max="10246" width="11.5" customWidth="1"/>
    <col min="10247" max="10247" width="11.625" customWidth="1"/>
    <col min="10248" max="10248" width="15.5" customWidth="1"/>
    <col min="10249" max="10249" width="18.75" customWidth="1"/>
    <col min="10250" max="10250" width="15.375" customWidth="1"/>
    <col min="10251" max="10251" width="15.125" customWidth="1"/>
    <col min="10253" max="10253" width="11" customWidth="1"/>
    <col min="10254" max="10254" width="10.625" customWidth="1"/>
    <col min="10255" max="10255" width="9.625" customWidth="1"/>
    <col min="10498" max="10498" width="7" customWidth="1"/>
    <col min="10499" max="10499" width="17.75" customWidth="1"/>
    <col min="10500" max="10500" width="10.875" customWidth="1"/>
    <col min="10501" max="10501" width="11.25" customWidth="1"/>
    <col min="10502" max="10502" width="11.5" customWidth="1"/>
    <col min="10503" max="10503" width="11.625" customWidth="1"/>
    <col min="10504" max="10504" width="15.5" customWidth="1"/>
    <col min="10505" max="10505" width="18.75" customWidth="1"/>
    <col min="10506" max="10506" width="15.375" customWidth="1"/>
    <col min="10507" max="10507" width="15.125" customWidth="1"/>
    <col min="10509" max="10509" width="11" customWidth="1"/>
    <col min="10510" max="10510" width="10.625" customWidth="1"/>
    <col min="10511" max="10511" width="9.625" customWidth="1"/>
    <col min="10754" max="10754" width="7" customWidth="1"/>
    <col min="10755" max="10755" width="17.75" customWidth="1"/>
    <col min="10756" max="10756" width="10.875" customWidth="1"/>
    <col min="10757" max="10757" width="11.25" customWidth="1"/>
    <col min="10758" max="10758" width="11.5" customWidth="1"/>
    <col min="10759" max="10759" width="11.625" customWidth="1"/>
    <col min="10760" max="10760" width="15.5" customWidth="1"/>
    <col min="10761" max="10761" width="18.75" customWidth="1"/>
    <col min="10762" max="10762" width="15.375" customWidth="1"/>
    <col min="10763" max="10763" width="15.125" customWidth="1"/>
    <col min="10765" max="10765" width="11" customWidth="1"/>
    <col min="10766" max="10766" width="10.625" customWidth="1"/>
    <col min="10767" max="10767" width="9.625" customWidth="1"/>
    <col min="11010" max="11010" width="7" customWidth="1"/>
    <col min="11011" max="11011" width="17.75" customWidth="1"/>
    <col min="11012" max="11012" width="10.875" customWidth="1"/>
    <col min="11013" max="11013" width="11.25" customWidth="1"/>
    <col min="11014" max="11014" width="11.5" customWidth="1"/>
    <col min="11015" max="11015" width="11.625" customWidth="1"/>
    <col min="11016" max="11016" width="15.5" customWidth="1"/>
    <col min="11017" max="11017" width="18.75" customWidth="1"/>
    <col min="11018" max="11018" width="15.375" customWidth="1"/>
    <col min="11019" max="11019" width="15.125" customWidth="1"/>
    <col min="11021" max="11021" width="11" customWidth="1"/>
    <col min="11022" max="11022" width="10.625" customWidth="1"/>
    <col min="11023" max="11023" width="9.625" customWidth="1"/>
    <col min="11266" max="11266" width="7" customWidth="1"/>
    <col min="11267" max="11267" width="17.75" customWidth="1"/>
    <col min="11268" max="11268" width="10.875" customWidth="1"/>
    <col min="11269" max="11269" width="11.25" customWidth="1"/>
    <col min="11270" max="11270" width="11.5" customWidth="1"/>
    <col min="11271" max="11271" width="11.625" customWidth="1"/>
    <col min="11272" max="11272" width="15.5" customWidth="1"/>
    <col min="11273" max="11273" width="18.75" customWidth="1"/>
    <col min="11274" max="11274" width="15.375" customWidth="1"/>
    <col min="11275" max="11275" width="15.125" customWidth="1"/>
    <col min="11277" max="11277" width="11" customWidth="1"/>
    <col min="11278" max="11278" width="10.625" customWidth="1"/>
    <col min="11279" max="11279" width="9.625" customWidth="1"/>
    <col min="11522" max="11522" width="7" customWidth="1"/>
    <col min="11523" max="11523" width="17.75" customWidth="1"/>
    <col min="11524" max="11524" width="10.875" customWidth="1"/>
    <col min="11525" max="11525" width="11.25" customWidth="1"/>
    <col min="11526" max="11526" width="11.5" customWidth="1"/>
    <col min="11527" max="11527" width="11.625" customWidth="1"/>
    <col min="11528" max="11528" width="15.5" customWidth="1"/>
    <col min="11529" max="11529" width="18.75" customWidth="1"/>
    <col min="11530" max="11530" width="15.375" customWidth="1"/>
    <col min="11531" max="11531" width="15.125" customWidth="1"/>
    <col min="11533" max="11533" width="11" customWidth="1"/>
    <col min="11534" max="11534" width="10.625" customWidth="1"/>
    <col min="11535" max="11535" width="9.625" customWidth="1"/>
    <col min="11778" max="11778" width="7" customWidth="1"/>
    <col min="11779" max="11779" width="17.75" customWidth="1"/>
    <col min="11780" max="11780" width="10.875" customWidth="1"/>
    <col min="11781" max="11781" width="11.25" customWidth="1"/>
    <col min="11782" max="11782" width="11.5" customWidth="1"/>
    <col min="11783" max="11783" width="11.625" customWidth="1"/>
    <col min="11784" max="11784" width="15.5" customWidth="1"/>
    <col min="11785" max="11785" width="18.75" customWidth="1"/>
    <col min="11786" max="11786" width="15.375" customWidth="1"/>
    <col min="11787" max="11787" width="15.125" customWidth="1"/>
    <col min="11789" max="11789" width="11" customWidth="1"/>
    <col min="11790" max="11790" width="10.625" customWidth="1"/>
    <col min="11791" max="11791" width="9.625" customWidth="1"/>
    <col min="12034" max="12034" width="7" customWidth="1"/>
    <col min="12035" max="12035" width="17.75" customWidth="1"/>
    <col min="12036" max="12036" width="10.875" customWidth="1"/>
    <col min="12037" max="12037" width="11.25" customWidth="1"/>
    <col min="12038" max="12038" width="11.5" customWidth="1"/>
    <col min="12039" max="12039" width="11.625" customWidth="1"/>
    <col min="12040" max="12040" width="15.5" customWidth="1"/>
    <col min="12041" max="12041" width="18.75" customWidth="1"/>
    <col min="12042" max="12042" width="15.375" customWidth="1"/>
    <col min="12043" max="12043" width="15.125" customWidth="1"/>
    <col min="12045" max="12045" width="11" customWidth="1"/>
    <col min="12046" max="12046" width="10.625" customWidth="1"/>
    <col min="12047" max="12047" width="9.625" customWidth="1"/>
    <col min="12290" max="12290" width="7" customWidth="1"/>
    <col min="12291" max="12291" width="17.75" customWidth="1"/>
    <col min="12292" max="12292" width="10.875" customWidth="1"/>
    <col min="12293" max="12293" width="11.25" customWidth="1"/>
    <col min="12294" max="12294" width="11.5" customWidth="1"/>
    <col min="12295" max="12295" width="11.625" customWidth="1"/>
    <col min="12296" max="12296" width="15.5" customWidth="1"/>
    <col min="12297" max="12297" width="18.75" customWidth="1"/>
    <col min="12298" max="12298" width="15.375" customWidth="1"/>
    <col min="12299" max="12299" width="15.125" customWidth="1"/>
    <col min="12301" max="12301" width="11" customWidth="1"/>
    <col min="12302" max="12302" width="10.625" customWidth="1"/>
    <col min="12303" max="12303" width="9.625" customWidth="1"/>
    <col min="12546" max="12546" width="7" customWidth="1"/>
    <col min="12547" max="12547" width="17.75" customWidth="1"/>
    <col min="12548" max="12548" width="10.875" customWidth="1"/>
    <col min="12549" max="12549" width="11.25" customWidth="1"/>
    <col min="12550" max="12550" width="11.5" customWidth="1"/>
    <col min="12551" max="12551" width="11.625" customWidth="1"/>
    <col min="12552" max="12552" width="15.5" customWidth="1"/>
    <col min="12553" max="12553" width="18.75" customWidth="1"/>
    <col min="12554" max="12554" width="15.375" customWidth="1"/>
    <col min="12555" max="12555" width="15.125" customWidth="1"/>
    <col min="12557" max="12557" width="11" customWidth="1"/>
    <col min="12558" max="12558" width="10.625" customWidth="1"/>
    <col min="12559" max="12559" width="9.625" customWidth="1"/>
    <col min="12802" max="12802" width="7" customWidth="1"/>
    <col min="12803" max="12803" width="17.75" customWidth="1"/>
    <col min="12804" max="12804" width="10.875" customWidth="1"/>
    <col min="12805" max="12805" width="11.25" customWidth="1"/>
    <col min="12806" max="12806" width="11.5" customWidth="1"/>
    <col min="12807" max="12807" width="11.625" customWidth="1"/>
    <col min="12808" max="12808" width="15.5" customWidth="1"/>
    <col min="12809" max="12809" width="18.75" customWidth="1"/>
    <col min="12810" max="12810" width="15.375" customWidth="1"/>
    <col min="12811" max="12811" width="15.125" customWidth="1"/>
    <col min="12813" max="12813" width="11" customWidth="1"/>
    <col min="12814" max="12814" width="10.625" customWidth="1"/>
    <col min="12815" max="12815" width="9.625" customWidth="1"/>
    <col min="13058" max="13058" width="7" customWidth="1"/>
    <col min="13059" max="13059" width="17.75" customWidth="1"/>
    <col min="13060" max="13060" width="10.875" customWidth="1"/>
    <col min="13061" max="13061" width="11.25" customWidth="1"/>
    <col min="13062" max="13062" width="11.5" customWidth="1"/>
    <col min="13063" max="13063" width="11.625" customWidth="1"/>
    <col min="13064" max="13064" width="15.5" customWidth="1"/>
    <col min="13065" max="13065" width="18.75" customWidth="1"/>
    <col min="13066" max="13066" width="15.375" customWidth="1"/>
    <col min="13067" max="13067" width="15.125" customWidth="1"/>
    <col min="13069" max="13069" width="11" customWidth="1"/>
    <col min="13070" max="13070" width="10.625" customWidth="1"/>
    <col min="13071" max="13071" width="9.625" customWidth="1"/>
    <col min="13314" max="13314" width="7" customWidth="1"/>
    <col min="13315" max="13315" width="17.75" customWidth="1"/>
    <col min="13316" max="13316" width="10.875" customWidth="1"/>
    <col min="13317" max="13317" width="11.25" customWidth="1"/>
    <col min="13318" max="13318" width="11.5" customWidth="1"/>
    <col min="13319" max="13319" width="11.625" customWidth="1"/>
    <col min="13320" max="13320" width="15.5" customWidth="1"/>
    <col min="13321" max="13321" width="18.75" customWidth="1"/>
    <col min="13322" max="13322" width="15.375" customWidth="1"/>
    <col min="13323" max="13323" width="15.125" customWidth="1"/>
    <col min="13325" max="13325" width="11" customWidth="1"/>
    <col min="13326" max="13326" width="10.625" customWidth="1"/>
    <col min="13327" max="13327" width="9.625" customWidth="1"/>
    <col min="13570" max="13570" width="7" customWidth="1"/>
    <col min="13571" max="13571" width="17.75" customWidth="1"/>
    <col min="13572" max="13572" width="10.875" customWidth="1"/>
    <col min="13573" max="13573" width="11.25" customWidth="1"/>
    <col min="13574" max="13574" width="11.5" customWidth="1"/>
    <col min="13575" max="13575" width="11.625" customWidth="1"/>
    <col min="13576" max="13576" width="15.5" customWidth="1"/>
    <col min="13577" max="13577" width="18.75" customWidth="1"/>
    <col min="13578" max="13578" width="15.375" customWidth="1"/>
    <col min="13579" max="13579" width="15.125" customWidth="1"/>
    <col min="13581" max="13581" width="11" customWidth="1"/>
    <col min="13582" max="13582" width="10.625" customWidth="1"/>
    <col min="13583" max="13583" width="9.625" customWidth="1"/>
    <col min="13826" max="13826" width="7" customWidth="1"/>
    <col min="13827" max="13827" width="17.75" customWidth="1"/>
    <col min="13828" max="13828" width="10.875" customWidth="1"/>
    <col min="13829" max="13829" width="11.25" customWidth="1"/>
    <col min="13830" max="13830" width="11.5" customWidth="1"/>
    <col min="13831" max="13831" width="11.625" customWidth="1"/>
    <col min="13832" max="13832" width="15.5" customWidth="1"/>
    <col min="13833" max="13833" width="18.75" customWidth="1"/>
    <col min="13834" max="13834" width="15.375" customWidth="1"/>
    <col min="13835" max="13835" width="15.125" customWidth="1"/>
    <col min="13837" max="13837" width="11" customWidth="1"/>
    <col min="13838" max="13838" width="10.625" customWidth="1"/>
    <col min="13839" max="13839" width="9.625" customWidth="1"/>
    <col min="14082" max="14082" width="7" customWidth="1"/>
    <col min="14083" max="14083" width="17.75" customWidth="1"/>
    <col min="14084" max="14084" width="10.875" customWidth="1"/>
    <col min="14085" max="14085" width="11.25" customWidth="1"/>
    <col min="14086" max="14086" width="11.5" customWidth="1"/>
    <col min="14087" max="14087" width="11.625" customWidth="1"/>
    <col min="14088" max="14088" width="15.5" customWidth="1"/>
    <col min="14089" max="14089" width="18.75" customWidth="1"/>
    <col min="14090" max="14090" width="15.375" customWidth="1"/>
    <col min="14091" max="14091" width="15.125" customWidth="1"/>
    <col min="14093" max="14093" width="11" customWidth="1"/>
    <col min="14094" max="14094" width="10.625" customWidth="1"/>
    <col min="14095" max="14095" width="9.625" customWidth="1"/>
    <col min="14338" max="14338" width="7" customWidth="1"/>
    <col min="14339" max="14339" width="17.75" customWidth="1"/>
    <col min="14340" max="14340" width="10.875" customWidth="1"/>
    <col min="14341" max="14341" width="11.25" customWidth="1"/>
    <col min="14342" max="14342" width="11.5" customWidth="1"/>
    <col min="14343" max="14343" width="11.625" customWidth="1"/>
    <col min="14344" max="14344" width="15.5" customWidth="1"/>
    <col min="14345" max="14345" width="18.75" customWidth="1"/>
    <col min="14346" max="14346" width="15.375" customWidth="1"/>
    <col min="14347" max="14347" width="15.125" customWidth="1"/>
    <col min="14349" max="14349" width="11" customWidth="1"/>
    <col min="14350" max="14350" width="10.625" customWidth="1"/>
    <col min="14351" max="14351" width="9.625" customWidth="1"/>
    <col min="14594" max="14594" width="7" customWidth="1"/>
    <col min="14595" max="14595" width="17.75" customWidth="1"/>
    <col min="14596" max="14596" width="10.875" customWidth="1"/>
    <col min="14597" max="14597" width="11.25" customWidth="1"/>
    <col min="14598" max="14598" width="11.5" customWidth="1"/>
    <col min="14599" max="14599" width="11.625" customWidth="1"/>
    <col min="14600" max="14600" width="15.5" customWidth="1"/>
    <col min="14601" max="14601" width="18.75" customWidth="1"/>
    <col min="14602" max="14602" width="15.375" customWidth="1"/>
    <col min="14603" max="14603" width="15.125" customWidth="1"/>
    <col min="14605" max="14605" width="11" customWidth="1"/>
    <col min="14606" max="14606" width="10.625" customWidth="1"/>
    <col min="14607" max="14607" width="9.625" customWidth="1"/>
    <col min="14850" max="14850" width="7" customWidth="1"/>
    <col min="14851" max="14851" width="17.75" customWidth="1"/>
    <col min="14852" max="14852" width="10.875" customWidth="1"/>
    <col min="14853" max="14853" width="11.25" customWidth="1"/>
    <col min="14854" max="14854" width="11.5" customWidth="1"/>
    <col min="14855" max="14855" width="11.625" customWidth="1"/>
    <col min="14856" max="14856" width="15.5" customWidth="1"/>
    <col min="14857" max="14857" width="18.75" customWidth="1"/>
    <col min="14858" max="14858" width="15.375" customWidth="1"/>
    <col min="14859" max="14859" width="15.125" customWidth="1"/>
    <col min="14861" max="14861" width="11" customWidth="1"/>
    <col min="14862" max="14862" width="10.625" customWidth="1"/>
    <col min="14863" max="14863" width="9.625" customWidth="1"/>
    <col min="15106" max="15106" width="7" customWidth="1"/>
    <col min="15107" max="15107" width="17.75" customWidth="1"/>
    <col min="15108" max="15108" width="10.875" customWidth="1"/>
    <col min="15109" max="15109" width="11.25" customWidth="1"/>
    <col min="15110" max="15110" width="11.5" customWidth="1"/>
    <col min="15111" max="15111" width="11.625" customWidth="1"/>
    <col min="15112" max="15112" width="15.5" customWidth="1"/>
    <col min="15113" max="15113" width="18.75" customWidth="1"/>
    <col min="15114" max="15114" width="15.375" customWidth="1"/>
    <col min="15115" max="15115" width="15.125" customWidth="1"/>
    <col min="15117" max="15117" width="11" customWidth="1"/>
    <col min="15118" max="15118" width="10.625" customWidth="1"/>
    <col min="15119" max="15119" width="9.625" customWidth="1"/>
    <col min="15362" max="15362" width="7" customWidth="1"/>
    <col min="15363" max="15363" width="17.75" customWidth="1"/>
    <col min="15364" max="15364" width="10.875" customWidth="1"/>
    <col min="15365" max="15365" width="11.25" customWidth="1"/>
    <col min="15366" max="15366" width="11.5" customWidth="1"/>
    <col min="15367" max="15367" width="11.625" customWidth="1"/>
    <col min="15368" max="15368" width="15.5" customWidth="1"/>
    <col min="15369" max="15369" width="18.75" customWidth="1"/>
    <col min="15370" max="15370" width="15.375" customWidth="1"/>
    <col min="15371" max="15371" width="15.125" customWidth="1"/>
    <col min="15373" max="15373" width="11" customWidth="1"/>
    <col min="15374" max="15374" width="10.625" customWidth="1"/>
    <col min="15375" max="15375" width="9.625" customWidth="1"/>
    <col min="15618" max="15618" width="7" customWidth="1"/>
    <col min="15619" max="15619" width="17.75" customWidth="1"/>
    <col min="15620" max="15620" width="10.875" customWidth="1"/>
    <col min="15621" max="15621" width="11.25" customWidth="1"/>
    <col min="15622" max="15622" width="11.5" customWidth="1"/>
    <col min="15623" max="15623" width="11.625" customWidth="1"/>
    <col min="15624" max="15624" width="15.5" customWidth="1"/>
    <col min="15625" max="15625" width="18.75" customWidth="1"/>
    <col min="15626" max="15626" width="15.375" customWidth="1"/>
    <col min="15627" max="15627" width="15.125" customWidth="1"/>
    <col min="15629" max="15629" width="11" customWidth="1"/>
    <col min="15630" max="15630" width="10.625" customWidth="1"/>
    <col min="15631" max="15631" width="9.625" customWidth="1"/>
    <col min="15874" max="15874" width="7" customWidth="1"/>
    <col min="15875" max="15875" width="17.75" customWidth="1"/>
    <col min="15876" max="15876" width="10.875" customWidth="1"/>
    <col min="15877" max="15877" width="11.25" customWidth="1"/>
    <col min="15878" max="15878" width="11.5" customWidth="1"/>
    <col min="15879" max="15879" width="11.625" customWidth="1"/>
    <col min="15880" max="15880" width="15.5" customWidth="1"/>
    <col min="15881" max="15881" width="18.75" customWidth="1"/>
    <col min="15882" max="15882" width="15.375" customWidth="1"/>
    <col min="15883" max="15883" width="15.125" customWidth="1"/>
    <col min="15885" max="15885" width="11" customWidth="1"/>
    <col min="15886" max="15886" width="10.625" customWidth="1"/>
    <col min="15887" max="15887" width="9.625" customWidth="1"/>
    <col min="16130" max="16130" width="7" customWidth="1"/>
    <col min="16131" max="16131" width="17.75" customWidth="1"/>
    <col min="16132" max="16132" width="10.875" customWidth="1"/>
    <col min="16133" max="16133" width="11.25" customWidth="1"/>
    <col min="16134" max="16134" width="11.5" customWidth="1"/>
    <col min="16135" max="16135" width="11.625" customWidth="1"/>
    <col min="16136" max="16136" width="15.5" customWidth="1"/>
    <col min="16137" max="16137" width="18.75" customWidth="1"/>
    <col min="16138" max="16138" width="15.375" customWidth="1"/>
    <col min="16139" max="16139" width="15.125" customWidth="1"/>
    <col min="16141" max="16141" width="11" customWidth="1"/>
    <col min="16142" max="16142" width="10.625" customWidth="1"/>
    <col min="16143" max="16143" width="9.625" customWidth="1"/>
  </cols>
  <sheetData>
    <row r="1" spans="1:15" ht="20.25" x14ac:dyDescent="0.3">
      <c r="A1" s="279"/>
      <c r="B1" s="279"/>
      <c r="C1" s="279"/>
      <c r="D1" s="279"/>
      <c r="E1" s="279"/>
      <c r="F1" s="279"/>
      <c r="G1" s="280" t="s">
        <v>0</v>
      </c>
      <c r="H1" s="279"/>
      <c r="I1" s="279"/>
      <c r="J1" s="279"/>
      <c r="K1" s="279"/>
      <c r="L1" s="279"/>
      <c r="M1" s="279"/>
      <c r="N1" s="214" t="s">
        <v>1</v>
      </c>
      <c r="O1" s="279"/>
    </row>
    <row r="2" spans="1:15" ht="20.25" x14ac:dyDescent="0.3">
      <c r="A2" s="279"/>
      <c r="B2" s="279"/>
      <c r="C2" s="279"/>
      <c r="D2" s="279"/>
      <c r="E2" s="279"/>
      <c r="F2" s="279"/>
      <c r="G2" s="280"/>
      <c r="H2" s="279"/>
      <c r="I2" s="279"/>
      <c r="J2" s="279"/>
      <c r="K2" s="279"/>
      <c r="L2" s="279"/>
      <c r="M2" s="279"/>
      <c r="N2" s="279"/>
      <c r="O2" s="279"/>
    </row>
    <row r="3" spans="1:15" ht="20.25" x14ac:dyDescent="0.3">
      <c r="A3" s="512" t="s">
        <v>2</v>
      </c>
      <c r="B3" s="512"/>
      <c r="C3" s="331" t="s">
        <v>38</v>
      </c>
      <c r="D3" s="214"/>
      <c r="E3" s="279"/>
      <c r="F3" s="279"/>
      <c r="G3" s="280"/>
      <c r="H3" s="279"/>
      <c r="I3" s="279"/>
      <c r="J3" s="279"/>
      <c r="K3" s="279"/>
      <c r="L3" s="279"/>
      <c r="M3" s="279"/>
      <c r="N3" s="279"/>
      <c r="O3" s="279"/>
    </row>
    <row r="4" spans="1:15" ht="20.25" x14ac:dyDescent="0.3">
      <c r="A4" s="512" t="s">
        <v>3</v>
      </c>
      <c r="B4" s="512"/>
      <c r="C4" s="331" t="s">
        <v>40</v>
      </c>
      <c r="D4" s="214"/>
      <c r="E4" s="279"/>
      <c r="F4" s="279"/>
      <c r="G4" s="280"/>
      <c r="H4" s="279"/>
      <c r="I4" s="279"/>
      <c r="J4" s="279"/>
      <c r="K4" s="279"/>
      <c r="L4" s="279"/>
      <c r="M4" s="279"/>
      <c r="N4" s="279"/>
      <c r="O4" s="279"/>
    </row>
    <row r="5" spans="1:15" ht="20.25" x14ac:dyDescent="0.3">
      <c r="A5" s="512" t="s">
        <v>4</v>
      </c>
      <c r="B5" s="512"/>
      <c r="C5" s="331" t="s">
        <v>41</v>
      </c>
      <c r="D5" s="214"/>
      <c r="E5" s="279"/>
      <c r="F5" s="279"/>
      <c r="G5" s="280"/>
      <c r="H5" s="279"/>
      <c r="I5" s="279"/>
      <c r="J5" s="279"/>
      <c r="K5" s="279"/>
      <c r="L5" s="279"/>
      <c r="M5" s="279"/>
      <c r="N5" s="279"/>
      <c r="O5" s="279"/>
    </row>
    <row r="6" spans="1:15" ht="20.25" x14ac:dyDescent="0.3">
      <c r="A6" s="512" t="s">
        <v>5</v>
      </c>
      <c r="B6" s="512"/>
      <c r="C6" s="331" t="s">
        <v>174</v>
      </c>
      <c r="D6" s="214"/>
      <c r="E6" s="279"/>
      <c r="F6" s="279"/>
      <c r="G6" s="280"/>
      <c r="H6" s="279"/>
      <c r="I6" s="279"/>
      <c r="J6" s="279"/>
      <c r="K6" s="279"/>
      <c r="L6" s="279"/>
      <c r="M6" s="279"/>
      <c r="N6" s="279"/>
      <c r="O6" s="279"/>
    </row>
    <row r="7" spans="1:15" ht="20.25" x14ac:dyDescent="0.3">
      <c r="A7" s="331"/>
      <c r="B7" s="331"/>
      <c r="C7" s="331"/>
      <c r="D7" s="214"/>
      <c r="E7" s="279"/>
      <c r="F7" s="279"/>
      <c r="G7" s="279"/>
      <c r="H7" s="279"/>
      <c r="I7" s="279"/>
      <c r="J7" s="279"/>
      <c r="K7" s="279"/>
      <c r="L7" s="279"/>
      <c r="M7" s="279"/>
      <c r="N7" s="279"/>
      <c r="O7" s="279"/>
    </row>
    <row r="8" spans="1:15" ht="20.25" x14ac:dyDescent="0.3">
      <c r="A8" s="331" t="s">
        <v>6</v>
      </c>
      <c r="B8" s="331"/>
      <c r="C8" s="331"/>
      <c r="D8" s="214"/>
      <c r="E8" s="279"/>
      <c r="F8" s="279"/>
      <c r="G8" s="279"/>
      <c r="H8" s="279"/>
      <c r="I8" s="279"/>
      <c r="J8" s="279"/>
      <c r="K8" s="279"/>
      <c r="L8" s="279"/>
      <c r="M8" s="279"/>
      <c r="N8" s="279"/>
      <c r="O8" s="279"/>
    </row>
    <row r="9" spans="1:15" ht="18" customHeight="1" x14ac:dyDescent="0.25">
      <c r="A9" s="317" t="s">
        <v>7</v>
      </c>
      <c r="B9" s="500" t="s">
        <v>8</v>
      </c>
      <c r="C9" s="500"/>
      <c r="D9" s="317" t="s">
        <v>9</v>
      </c>
      <c r="E9" s="317" t="s">
        <v>10</v>
      </c>
      <c r="F9" s="489" t="s">
        <v>11</v>
      </c>
      <c r="G9" s="489" t="s">
        <v>12</v>
      </c>
      <c r="H9" s="317" t="s">
        <v>13</v>
      </c>
      <c r="I9" s="317"/>
      <c r="J9" s="317" t="s">
        <v>15</v>
      </c>
      <c r="K9" s="317" t="s">
        <v>16</v>
      </c>
      <c r="L9" s="494" t="s">
        <v>17</v>
      </c>
      <c r="M9" s="494"/>
      <c r="N9" s="494"/>
      <c r="O9" s="317" t="s">
        <v>18</v>
      </c>
    </row>
    <row r="10" spans="1:15" ht="18" customHeight="1" x14ac:dyDescent="0.25">
      <c r="A10" s="490" t="s">
        <v>19</v>
      </c>
      <c r="B10" s="495" t="s">
        <v>20</v>
      </c>
      <c r="C10" s="496"/>
      <c r="D10" s="490" t="s">
        <v>21</v>
      </c>
      <c r="E10" s="490" t="s">
        <v>22</v>
      </c>
      <c r="F10" s="490"/>
      <c r="G10" s="490"/>
      <c r="H10" s="319" t="s">
        <v>23</v>
      </c>
      <c r="I10" s="319" t="s">
        <v>544</v>
      </c>
      <c r="J10" s="319" t="s">
        <v>24</v>
      </c>
      <c r="K10" s="319" t="s">
        <v>25</v>
      </c>
      <c r="L10" s="319" t="s">
        <v>26</v>
      </c>
      <c r="M10" s="319" t="s">
        <v>27</v>
      </c>
      <c r="N10" s="319" t="s">
        <v>28</v>
      </c>
      <c r="O10" s="481" t="s">
        <v>29</v>
      </c>
    </row>
    <row r="11" spans="1:15" ht="18" customHeight="1" x14ac:dyDescent="0.25">
      <c r="A11" s="491"/>
      <c r="B11" s="497"/>
      <c r="C11" s="498"/>
      <c r="D11" s="491"/>
      <c r="E11" s="491"/>
      <c r="F11" s="491"/>
      <c r="G11" s="491"/>
      <c r="H11" s="318" t="s">
        <v>30</v>
      </c>
      <c r="I11" s="318"/>
      <c r="J11" s="318" t="s">
        <v>31</v>
      </c>
      <c r="K11" s="318" t="s">
        <v>32</v>
      </c>
      <c r="L11" s="318" t="s">
        <v>33</v>
      </c>
      <c r="M11" s="318" t="s">
        <v>34</v>
      </c>
      <c r="N11" s="318" t="s">
        <v>35</v>
      </c>
      <c r="O11" s="482"/>
    </row>
    <row r="12" spans="1:15" ht="18" customHeight="1" x14ac:dyDescent="0.25">
      <c r="A12" s="263">
        <v>1</v>
      </c>
      <c r="B12" s="483">
        <v>2</v>
      </c>
      <c r="C12" s="484"/>
      <c r="D12" s="315">
        <v>3</v>
      </c>
      <c r="E12" s="315">
        <v>4</v>
      </c>
      <c r="F12" s="316">
        <v>5</v>
      </c>
      <c r="G12" s="316">
        <v>6</v>
      </c>
      <c r="H12" s="319">
        <v>7</v>
      </c>
      <c r="I12" s="319">
        <v>8</v>
      </c>
      <c r="J12" s="319">
        <v>9</v>
      </c>
      <c r="K12" s="319">
        <v>10</v>
      </c>
      <c r="L12" s="319">
        <v>11</v>
      </c>
      <c r="M12" s="319">
        <v>12</v>
      </c>
      <c r="N12" s="319">
        <v>13</v>
      </c>
      <c r="O12" s="315">
        <v>14</v>
      </c>
    </row>
    <row r="13" spans="1:15" ht="36" x14ac:dyDescent="0.25">
      <c r="A13" s="266">
        <v>1</v>
      </c>
      <c r="B13" s="492" t="s">
        <v>104</v>
      </c>
      <c r="C13" s="493"/>
      <c r="D13" s="267" t="s">
        <v>165</v>
      </c>
      <c r="E13" s="335"/>
      <c r="F13" s="335"/>
      <c r="G13" s="336" t="s">
        <v>56</v>
      </c>
      <c r="H13" s="266">
        <v>2013</v>
      </c>
      <c r="I13" s="266" t="s">
        <v>105</v>
      </c>
      <c r="J13" s="269" t="s">
        <v>97</v>
      </c>
      <c r="K13" s="270">
        <v>2880334</v>
      </c>
      <c r="L13" s="266" t="s">
        <v>26</v>
      </c>
      <c r="M13" s="335"/>
      <c r="N13" s="337"/>
      <c r="O13" s="335"/>
    </row>
    <row r="14" spans="1:15" ht="72" x14ac:dyDescent="0.25">
      <c r="A14" s="266">
        <f>A13+1</f>
        <v>2</v>
      </c>
      <c r="B14" s="492" t="s">
        <v>150</v>
      </c>
      <c r="C14" s="493"/>
      <c r="D14" s="338" t="s">
        <v>180</v>
      </c>
      <c r="E14" s="335"/>
      <c r="F14" s="335"/>
      <c r="G14" s="266" t="s">
        <v>152</v>
      </c>
      <c r="H14" s="266">
        <v>2014</v>
      </c>
      <c r="I14" s="266" t="s">
        <v>153</v>
      </c>
      <c r="J14" s="269" t="s">
        <v>54</v>
      </c>
      <c r="K14" s="270">
        <v>3050000</v>
      </c>
      <c r="L14" s="266" t="s">
        <v>26</v>
      </c>
      <c r="M14" s="335"/>
      <c r="N14" s="335"/>
      <c r="O14" s="335"/>
    </row>
    <row r="15" spans="1:15" ht="36" x14ac:dyDescent="0.25">
      <c r="A15" s="374">
        <f t="shared" ref="A15:A18" si="0">A14+1</f>
        <v>3</v>
      </c>
      <c r="B15" s="509" t="s">
        <v>94</v>
      </c>
      <c r="C15" s="510"/>
      <c r="D15" s="375" t="s">
        <v>181</v>
      </c>
      <c r="E15" s="379"/>
      <c r="F15" s="379"/>
      <c r="G15" s="380"/>
      <c r="H15" s="374">
        <v>2018</v>
      </c>
      <c r="I15" s="374" t="s">
        <v>96</v>
      </c>
      <c r="J15" s="377" t="s">
        <v>43</v>
      </c>
      <c r="K15" s="378">
        <v>333232</v>
      </c>
      <c r="L15" s="374" t="s">
        <v>26</v>
      </c>
      <c r="M15" s="379"/>
      <c r="N15" s="379"/>
      <c r="O15" s="414"/>
    </row>
    <row r="16" spans="1:15" ht="72" x14ac:dyDescent="0.25">
      <c r="A16" s="266">
        <f t="shared" si="0"/>
        <v>4</v>
      </c>
      <c r="B16" s="492" t="s">
        <v>52</v>
      </c>
      <c r="C16" s="493"/>
      <c r="D16" s="338" t="s">
        <v>178</v>
      </c>
      <c r="E16" s="335"/>
      <c r="F16" s="335"/>
      <c r="G16" s="282" t="s">
        <v>179</v>
      </c>
      <c r="H16" s="266">
        <v>2014</v>
      </c>
      <c r="I16" s="266" t="s">
        <v>53</v>
      </c>
      <c r="J16" s="269" t="s">
        <v>97</v>
      </c>
      <c r="K16" s="270">
        <v>4916358</v>
      </c>
      <c r="L16" s="266" t="s">
        <v>26</v>
      </c>
      <c r="M16" s="335"/>
      <c r="N16" s="335"/>
      <c r="O16" s="335"/>
    </row>
    <row r="17" spans="1:15" ht="72" customHeight="1" x14ac:dyDescent="0.25">
      <c r="A17" s="266">
        <f t="shared" si="0"/>
        <v>5</v>
      </c>
      <c r="B17" s="492" t="s">
        <v>175</v>
      </c>
      <c r="C17" s="493"/>
      <c r="D17" s="338" t="s">
        <v>176</v>
      </c>
      <c r="E17" s="335"/>
      <c r="F17" s="335"/>
      <c r="G17" s="266" t="s">
        <v>42</v>
      </c>
      <c r="H17" s="266">
        <v>2017</v>
      </c>
      <c r="I17" s="266" t="s">
        <v>177</v>
      </c>
      <c r="J17" s="269" t="s">
        <v>74</v>
      </c>
      <c r="K17" s="270">
        <v>2284351</v>
      </c>
      <c r="L17" s="266" t="s">
        <v>26</v>
      </c>
      <c r="M17" s="335"/>
      <c r="N17" s="335"/>
      <c r="O17" s="267"/>
    </row>
    <row r="18" spans="1:15" ht="46.5" customHeight="1" x14ac:dyDescent="0.25">
      <c r="A18" s="374">
        <f t="shared" si="0"/>
        <v>6</v>
      </c>
      <c r="B18" s="509" t="s">
        <v>49</v>
      </c>
      <c r="C18" s="510"/>
      <c r="D18" s="414" t="s">
        <v>278</v>
      </c>
      <c r="E18" s="379"/>
      <c r="F18" s="379"/>
      <c r="G18" s="404" t="s">
        <v>50</v>
      </c>
      <c r="H18" s="404">
        <v>2011</v>
      </c>
      <c r="I18" s="404" t="s">
        <v>51</v>
      </c>
      <c r="J18" s="415" t="s">
        <v>58</v>
      </c>
      <c r="K18" s="416">
        <v>1485000</v>
      </c>
      <c r="L18" s="404" t="s">
        <v>26</v>
      </c>
      <c r="M18" s="414"/>
      <c r="N18" s="379"/>
      <c r="O18" s="405"/>
    </row>
    <row r="19" spans="1:15" ht="18" x14ac:dyDescent="0.25">
      <c r="A19" s="214"/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</row>
    <row r="20" spans="1:15" ht="18" x14ac:dyDescent="0.25">
      <c r="A20" s="214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</row>
    <row r="21" spans="1:15" ht="18" x14ac:dyDescent="0.25">
      <c r="A21" s="214"/>
      <c r="B21" s="213"/>
      <c r="C21" s="583" t="s">
        <v>36</v>
      </c>
      <c r="D21" s="213"/>
      <c r="E21" s="213"/>
      <c r="F21" s="213"/>
      <c r="G21" s="213"/>
      <c r="H21" s="213"/>
      <c r="I21" s="213"/>
      <c r="J21" s="213"/>
      <c r="K21" s="213"/>
      <c r="L21" s="583" t="s">
        <v>581</v>
      </c>
      <c r="M21" s="213"/>
      <c r="N21" s="214"/>
      <c r="O21" s="214"/>
    </row>
    <row r="22" spans="1:15" ht="18" x14ac:dyDescent="0.25">
      <c r="A22" s="214"/>
      <c r="B22" s="213"/>
      <c r="C22" s="583"/>
      <c r="D22" s="213"/>
      <c r="E22" s="213"/>
      <c r="F22" s="213"/>
      <c r="G22" s="213"/>
      <c r="H22" s="213"/>
      <c r="I22" s="213"/>
      <c r="J22" s="213"/>
      <c r="K22" s="213"/>
      <c r="L22" s="583"/>
      <c r="M22" s="213"/>
      <c r="N22" s="214"/>
      <c r="O22" s="214"/>
    </row>
    <row r="23" spans="1:15" ht="18" x14ac:dyDescent="0.25">
      <c r="A23" s="214"/>
      <c r="B23" s="214"/>
      <c r="C23" s="5" t="s">
        <v>572</v>
      </c>
      <c r="D23" s="214"/>
      <c r="E23" s="214"/>
      <c r="F23" s="214"/>
      <c r="G23" s="214"/>
      <c r="H23" s="214"/>
      <c r="I23" s="214"/>
      <c r="J23" s="214"/>
      <c r="K23" s="214"/>
      <c r="L23" s="5" t="s">
        <v>580</v>
      </c>
      <c r="M23" s="214"/>
      <c r="N23" s="214"/>
      <c r="O23" s="214"/>
    </row>
    <row r="24" spans="1:15" ht="18" x14ac:dyDescent="0.25">
      <c r="A24" s="214"/>
      <c r="B24" s="214"/>
      <c r="C24" s="5"/>
      <c r="D24" s="214"/>
      <c r="E24" s="214"/>
      <c r="F24" s="214"/>
      <c r="G24" s="214"/>
      <c r="H24" s="214"/>
      <c r="I24" s="214"/>
      <c r="J24" s="214"/>
      <c r="K24" s="214"/>
      <c r="L24" s="5"/>
      <c r="M24" s="214"/>
      <c r="N24" s="214"/>
      <c r="O24" s="214"/>
    </row>
    <row r="25" spans="1:15" ht="18" x14ac:dyDescent="0.25">
      <c r="A25" s="214"/>
      <c r="B25" s="214"/>
      <c r="C25" s="5"/>
      <c r="D25" s="214"/>
      <c r="E25" s="214"/>
      <c r="F25" s="214"/>
      <c r="G25" s="214"/>
      <c r="H25" s="214"/>
      <c r="I25" s="214"/>
      <c r="J25" s="214"/>
      <c r="K25" s="214"/>
      <c r="L25" s="5"/>
      <c r="M25" s="214"/>
      <c r="N25" s="214"/>
      <c r="O25" s="214"/>
    </row>
    <row r="26" spans="1:15" ht="18" x14ac:dyDescent="0.25">
      <c r="A26" s="214"/>
      <c r="B26" s="214"/>
      <c r="C26" s="5"/>
      <c r="D26" s="214"/>
      <c r="E26" s="214"/>
      <c r="F26" s="214"/>
      <c r="G26" s="214"/>
      <c r="H26" s="214"/>
      <c r="I26" s="214"/>
      <c r="J26" s="214"/>
      <c r="K26" s="214"/>
      <c r="L26" s="5"/>
      <c r="M26" s="214"/>
      <c r="N26" s="214"/>
      <c r="O26" s="214"/>
    </row>
    <row r="27" spans="1:15" ht="18" x14ac:dyDescent="0.25">
      <c r="A27" s="214"/>
      <c r="B27" s="214"/>
      <c r="C27" s="6" t="s">
        <v>573</v>
      </c>
      <c r="D27" s="214"/>
      <c r="E27" s="214"/>
      <c r="F27" s="214"/>
      <c r="G27" s="214"/>
      <c r="H27" s="214"/>
      <c r="I27" s="214"/>
      <c r="J27" s="214"/>
      <c r="K27" s="214"/>
      <c r="L27" s="6" t="s">
        <v>576</v>
      </c>
      <c r="M27" s="214"/>
      <c r="N27" s="214"/>
      <c r="O27" s="214"/>
    </row>
    <row r="28" spans="1:15" ht="18" x14ac:dyDescent="0.25">
      <c r="A28" s="214"/>
      <c r="B28" s="214"/>
      <c r="C28" s="5" t="s">
        <v>39</v>
      </c>
      <c r="D28" s="214"/>
      <c r="E28" s="214"/>
      <c r="F28" s="214"/>
      <c r="G28" s="214"/>
      <c r="H28" s="214"/>
      <c r="I28" s="214"/>
      <c r="J28" s="214"/>
      <c r="K28" s="214"/>
      <c r="L28" s="23" t="str">
        <f>'RUANG SEKRETARIS'!L29</f>
        <v>NIP. 19721124 200604 2 005</v>
      </c>
      <c r="M28" s="214"/>
      <c r="N28" s="214"/>
      <c r="O28" s="214"/>
    </row>
    <row r="29" spans="1:15" ht="18" x14ac:dyDescent="0.25">
      <c r="A29" s="214"/>
      <c r="B29" s="214"/>
      <c r="C29" s="23" t="s">
        <v>574</v>
      </c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</row>
    <row r="30" spans="1:15" x14ac:dyDescent="0.25">
      <c r="K30" s="24"/>
    </row>
    <row r="31" spans="1:15" x14ac:dyDescent="0.25">
      <c r="B31" s="21"/>
      <c r="K31" s="25"/>
    </row>
    <row r="32" spans="1:15" x14ac:dyDescent="0.25">
      <c r="B32" s="22"/>
    </row>
    <row r="33" spans="2:2" x14ac:dyDescent="0.25">
      <c r="B33" s="22"/>
    </row>
  </sheetData>
  <mergeCells count="20">
    <mergeCell ref="A10:A11"/>
    <mergeCell ref="B10:C11"/>
    <mergeCell ref="D10:D11"/>
    <mergeCell ref="E10:E11"/>
    <mergeCell ref="A3:B3"/>
    <mergeCell ref="A4:B4"/>
    <mergeCell ref="A5:B5"/>
    <mergeCell ref="A6:B6"/>
    <mergeCell ref="B9:C9"/>
    <mergeCell ref="O10:O11"/>
    <mergeCell ref="B12:C12"/>
    <mergeCell ref="B17:C17"/>
    <mergeCell ref="B18:C18"/>
    <mergeCell ref="B16:C16"/>
    <mergeCell ref="B14:C14"/>
    <mergeCell ref="G9:G11"/>
    <mergeCell ref="L9:N9"/>
    <mergeCell ref="F9:F11"/>
    <mergeCell ref="B13:C13"/>
    <mergeCell ref="B15:C15"/>
  </mergeCells>
  <printOptions horizontalCentered="1"/>
  <pageMargins left="0.11811023622047245" right="0.35433070866141736" top="0.19685039370078741" bottom="0.15748031496062992" header="0" footer="0"/>
  <pageSetup paperSize="5" scale="65" orientation="landscape" horizontalDpi="4294967293" verticalDpi="180" r:id="rId1"/>
  <headerFooter alignWithMargins="0">
    <oddFooter>&amp;L&amp;9&amp;F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7"/>
  <sheetViews>
    <sheetView view="pageBreakPreview" zoomScaleNormal="55" workbookViewId="0">
      <selection activeCell="Q21" sqref="Q21"/>
    </sheetView>
  </sheetViews>
  <sheetFormatPr defaultRowHeight="15.75" x14ac:dyDescent="0.25"/>
  <cols>
    <col min="1" max="1" width="5.875" customWidth="1"/>
    <col min="2" max="2" width="9.875" customWidth="1"/>
    <col min="3" max="3" width="22.375" customWidth="1"/>
    <col min="4" max="4" width="15.625" customWidth="1"/>
    <col min="5" max="5" width="11.25" customWidth="1"/>
    <col min="6" max="6" width="11.5" customWidth="1"/>
    <col min="7" max="7" width="11.625" customWidth="1"/>
    <col min="8" max="8" width="18.375" customWidth="1"/>
    <col min="9" max="9" width="20" customWidth="1"/>
    <col min="10" max="10" width="13.75" customWidth="1"/>
    <col min="11" max="11" width="15.125" customWidth="1"/>
    <col min="12" max="12" width="8.125" customWidth="1"/>
    <col min="13" max="13" width="17" customWidth="1"/>
    <col min="14" max="14" width="14.375" customWidth="1"/>
    <col min="15" max="15" width="15" customWidth="1"/>
    <col min="258" max="258" width="7" customWidth="1"/>
    <col min="259" max="259" width="17.75" customWidth="1"/>
    <col min="260" max="260" width="10.875" customWidth="1"/>
    <col min="261" max="261" width="11.25" customWidth="1"/>
    <col min="262" max="262" width="11.5" customWidth="1"/>
    <col min="263" max="263" width="11.625" customWidth="1"/>
    <col min="264" max="264" width="15.5" customWidth="1"/>
    <col min="265" max="265" width="18.75" customWidth="1"/>
    <col min="266" max="266" width="15.375" customWidth="1"/>
    <col min="267" max="267" width="15.125" customWidth="1"/>
    <col min="269" max="269" width="11" customWidth="1"/>
    <col min="270" max="270" width="10.625" customWidth="1"/>
    <col min="271" max="271" width="9.625" customWidth="1"/>
    <col min="514" max="514" width="7" customWidth="1"/>
    <col min="515" max="515" width="17.75" customWidth="1"/>
    <col min="516" max="516" width="10.875" customWidth="1"/>
    <col min="517" max="517" width="11.25" customWidth="1"/>
    <col min="518" max="518" width="11.5" customWidth="1"/>
    <col min="519" max="519" width="11.625" customWidth="1"/>
    <col min="520" max="520" width="15.5" customWidth="1"/>
    <col min="521" max="521" width="18.75" customWidth="1"/>
    <col min="522" max="522" width="15.375" customWidth="1"/>
    <col min="523" max="523" width="15.125" customWidth="1"/>
    <col min="525" max="525" width="11" customWidth="1"/>
    <col min="526" max="526" width="10.625" customWidth="1"/>
    <col min="527" max="527" width="9.625" customWidth="1"/>
    <col min="770" max="770" width="7" customWidth="1"/>
    <col min="771" max="771" width="17.75" customWidth="1"/>
    <col min="772" max="772" width="10.875" customWidth="1"/>
    <col min="773" max="773" width="11.25" customWidth="1"/>
    <col min="774" max="774" width="11.5" customWidth="1"/>
    <col min="775" max="775" width="11.625" customWidth="1"/>
    <col min="776" max="776" width="15.5" customWidth="1"/>
    <col min="777" max="777" width="18.75" customWidth="1"/>
    <col min="778" max="778" width="15.375" customWidth="1"/>
    <col min="779" max="779" width="15.125" customWidth="1"/>
    <col min="781" max="781" width="11" customWidth="1"/>
    <col min="782" max="782" width="10.625" customWidth="1"/>
    <col min="783" max="783" width="9.625" customWidth="1"/>
    <col min="1026" max="1026" width="7" customWidth="1"/>
    <col min="1027" max="1027" width="17.75" customWidth="1"/>
    <col min="1028" max="1028" width="10.875" customWidth="1"/>
    <col min="1029" max="1029" width="11.25" customWidth="1"/>
    <col min="1030" max="1030" width="11.5" customWidth="1"/>
    <col min="1031" max="1031" width="11.625" customWidth="1"/>
    <col min="1032" max="1032" width="15.5" customWidth="1"/>
    <col min="1033" max="1033" width="18.75" customWidth="1"/>
    <col min="1034" max="1034" width="15.375" customWidth="1"/>
    <col min="1035" max="1035" width="15.125" customWidth="1"/>
    <col min="1037" max="1037" width="11" customWidth="1"/>
    <col min="1038" max="1038" width="10.625" customWidth="1"/>
    <col min="1039" max="1039" width="9.625" customWidth="1"/>
    <col min="1282" max="1282" width="7" customWidth="1"/>
    <col min="1283" max="1283" width="17.75" customWidth="1"/>
    <col min="1284" max="1284" width="10.875" customWidth="1"/>
    <col min="1285" max="1285" width="11.25" customWidth="1"/>
    <col min="1286" max="1286" width="11.5" customWidth="1"/>
    <col min="1287" max="1287" width="11.625" customWidth="1"/>
    <col min="1288" max="1288" width="15.5" customWidth="1"/>
    <col min="1289" max="1289" width="18.75" customWidth="1"/>
    <col min="1290" max="1290" width="15.375" customWidth="1"/>
    <col min="1291" max="1291" width="15.125" customWidth="1"/>
    <col min="1293" max="1293" width="11" customWidth="1"/>
    <col min="1294" max="1294" width="10.625" customWidth="1"/>
    <col min="1295" max="1295" width="9.625" customWidth="1"/>
    <col min="1538" max="1538" width="7" customWidth="1"/>
    <col min="1539" max="1539" width="17.75" customWidth="1"/>
    <col min="1540" max="1540" width="10.875" customWidth="1"/>
    <col min="1541" max="1541" width="11.25" customWidth="1"/>
    <col min="1542" max="1542" width="11.5" customWidth="1"/>
    <col min="1543" max="1543" width="11.625" customWidth="1"/>
    <col min="1544" max="1544" width="15.5" customWidth="1"/>
    <col min="1545" max="1545" width="18.75" customWidth="1"/>
    <col min="1546" max="1546" width="15.375" customWidth="1"/>
    <col min="1547" max="1547" width="15.125" customWidth="1"/>
    <col min="1549" max="1549" width="11" customWidth="1"/>
    <col min="1550" max="1550" width="10.625" customWidth="1"/>
    <col min="1551" max="1551" width="9.625" customWidth="1"/>
    <col min="1794" max="1794" width="7" customWidth="1"/>
    <col min="1795" max="1795" width="17.75" customWidth="1"/>
    <col min="1796" max="1796" width="10.875" customWidth="1"/>
    <col min="1797" max="1797" width="11.25" customWidth="1"/>
    <col min="1798" max="1798" width="11.5" customWidth="1"/>
    <col min="1799" max="1799" width="11.625" customWidth="1"/>
    <col min="1800" max="1800" width="15.5" customWidth="1"/>
    <col min="1801" max="1801" width="18.75" customWidth="1"/>
    <col min="1802" max="1802" width="15.375" customWidth="1"/>
    <col min="1803" max="1803" width="15.125" customWidth="1"/>
    <col min="1805" max="1805" width="11" customWidth="1"/>
    <col min="1806" max="1806" width="10.625" customWidth="1"/>
    <col min="1807" max="1807" width="9.625" customWidth="1"/>
    <col min="2050" max="2050" width="7" customWidth="1"/>
    <col min="2051" max="2051" width="17.75" customWidth="1"/>
    <col min="2052" max="2052" width="10.875" customWidth="1"/>
    <col min="2053" max="2053" width="11.25" customWidth="1"/>
    <col min="2054" max="2054" width="11.5" customWidth="1"/>
    <col min="2055" max="2055" width="11.625" customWidth="1"/>
    <col min="2056" max="2056" width="15.5" customWidth="1"/>
    <col min="2057" max="2057" width="18.75" customWidth="1"/>
    <col min="2058" max="2058" width="15.375" customWidth="1"/>
    <col min="2059" max="2059" width="15.125" customWidth="1"/>
    <col min="2061" max="2061" width="11" customWidth="1"/>
    <col min="2062" max="2062" width="10.625" customWidth="1"/>
    <col min="2063" max="2063" width="9.625" customWidth="1"/>
    <col min="2306" max="2306" width="7" customWidth="1"/>
    <col min="2307" max="2307" width="17.75" customWidth="1"/>
    <col min="2308" max="2308" width="10.875" customWidth="1"/>
    <col min="2309" max="2309" width="11.25" customWidth="1"/>
    <col min="2310" max="2310" width="11.5" customWidth="1"/>
    <col min="2311" max="2311" width="11.625" customWidth="1"/>
    <col min="2312" max="2312" width="15.5" customWidth="1"/>
    <col min="2313" max="2313" width="18.75" customWidth="1"/>
    <col min="2314" max="2314" width="15.375" customWidth="1"/>
    <col min="2315" max="2315" width="15.125" customWidth="1"/>
    <col min="2317" max="2317" width="11" customWidth="1"/>
    <col min="2318" max="2318" width="10.625" customWidth="1"/>
    <col min="2319" max="2319" width="9.625" customWidth="1"/>
    <col min="2562" max="2562" width="7" customWidth="1"/>
    <col min="2563" max="2563" width="17.75" customWidth="1"/>
    <col min="2564" max="2564" width="10.875" customWidth="1"/>
    <col min="2565" max="2565" width="11.25" customWidth="1"/>
    <col min="2566" max="2566" width="11.5" customWidth="1"/>
    <col min="2567" max="2567" width="11.625" customWidth="1"/>
    <col min="2568" max="2568" width="15.5" customWidth="1"/>
    <col min="2569" max="2569" width="18.75" customWidth="1"/>
    <col min="2570" max="2570" width="15.375" customWidth="1"/>
    <col min="2571" max="2571" width="15.125" customWidth="1"/>
    <col min="2573" max="2573" width="11" customWidth="1"/>
    <col min="2574" max="2574" width="10.625" customWidth="1"/>
    <col min="2575" max="2575" width="9.625" customWidth="1"/>
    <col min="2818" max="2818" width="7" customWidth="1"/>
    <col min="2819" max="2819" width="17.75" customWidth="1"/>
    <col min="2820" max="2820" width="10.875" customWidth="1"/>
    <col min="2821" max="2821" width="11.25" customWidth="1"/>
    <col min="2822" max="2822" width="11.5" customWidth="1"/>
    <col min="2823" max="2823" width="11.625" customWidth="1"/>
    <col min="2824" max="2824" width="15.5" customWidth="1"/>
    <col min="2825" max="2825" width="18.75" customWidth="1"/>
    <col min="2826" max="2826" width="15.375" customWidth="1"/>
    <col min="2827" max="2827" width="15.125" customWidth="1"/>
    <col min="2829" max="2829" width="11" customWidth="1"/>
    <col min="2830" max="2830" width="10.625" customWidth="1"/>
    <col min="2831" max="2831" width="9.625" customWidth="1"/>
    <col min="3074" max="3074" width="7" customWidth="1"/>
    <col min="3075" max="3075" width="17.75" customWidth="1"/>
    <col min="3076" max="3076" width="10.875" customWidth="1"/>
    <col min="3077" max="3077" width="11.25" customWidth="1"/>
    <col min="3078" max="3078" width="11.5" customWidth="1"/>
    <col min="3079" max="3079" width="11.625" customWidth="1"/>
    <col min="3080" max="3080" width="15.5" customWidth="1"/>
    <col min="3081" max="3081" width="18.75" customWidth="1"/>
    <col min="3082" max="3082" width="15.375" customWidth="1"/>
    <col min="3083" max="3083" width="15.125" customWidth="1"/>
    <col min="3085" max="3085" width="11" customWidth="1"/>
    <col min="3086" max="3086" width="10.625" customWidth="1"/>
    <col min="3087" max="3087" width="9.625" customWidth="1"/>
    <col min="3330" max="3330" width="7" customWidth="1"/>
    <col min="3331" max="3331" width="17.75" customWidth="1"/>
    <col min="3332" max="3332" width="10.875" customWidth="1"/>
    <col min="3333" max="3333" width="11.25" customWidth="1"/>
    <col min="3334" max="3334" width="11.5" customWidth="1"/>
    <col min="3335" max="3335" width="11.625" customWidth="1"/>
    <col min="3336" max="3336" width="15.5" customWidth="1"/>
    <col min="3337" max="3337" width="18.75" customWidth="1"/>
    <col min="3338" max="3338" width="15.375" customWidth="1"/>
    <col min="3339" max="3339" width="15.125" customWidth="1"/>
    <col min="3341" max="3341" width="11" customWidth="1"/>
    <col min="3342" max="3342" width="10.625" customWidth="1"/>
    <col min="3343" max="3343" width="9.625" customWidth="1"/>
    <col min="3586" max="3586" width="7" customWidth="1"/>
    <col min="3587" max="3587" width="17.75" customWidth="1"/>
    <col min="3588" max="3588" width="10.875" customWidth="1"/>
    <col min="3589" max="3589" width="11.25" customWidth="1"/>
    <col min="3590" max="3590" width="11.5" customWidth="1"/>
    <col min="3591" max="3591" width="11.625" customWidth="1"/>
    <col min="3592" max="3592" width="15.5" customWidth="1"/>
    <col min="3593" max="3593" width="18.75" customWidth="1"/>
    <col min="3594" max="3594" width="15.375" customWidth="1"/>
    <col min="3595" max="3595" width="15.125" customWidth="1"/>
    <col min="3597" max="3597" width="11" customWidth="1"/>
    <col min="3598" max="3598" width="10.625" customWidth="1"/>
    <col min="3599" max="3599" width="9.625" customWidth="1"/>
    <col min="3842" max="3842" width="7" customWidth="1"/>
    <col min="3843" max="3843" width="17.75" customWidth="1"/>
    <col min="3844" max="3844" width="10.875" customWidth="1"/>
    <col min="3845" max="3845" width="11.25" customWidth="1"/>
    <col min="3846" max="3846" width="11.5" customWidth="1"/>
    <col min="3847" max="3847" width="11.625" customWidth="1"/>
    <col min="3848" max="3848" width="15.5" customWidth="1"/>
    <col min="3849" max="3849" width="18.75" customWidth="1"/>
    <col min="3850" max="3850" width="15.375" customWidth="1"/>
    <col min="3851" max="3851" width="15.125" customWidth="1"/>
    <col min="3853" max="3853" width="11" customWidth="1"/>
    <col min="3854" max="3854" width="10.625" customWidth="1"/>
    <col min="3855" max="3855" width="9.625" customWidth="1"/>
    <col min="4098" max="4098" width="7" customWidth="1"/>
    <col min="4099" max="4099" width="17.75" customWidth="1"/>
    <col min="4100" max="4100" width="10.875" customWidth="1"/>
    <col min="4101" max="4101" width="11.25" customWidth="1"/>
    <col min="4102" max="4102" width="11.5" customWidth="1"/>
    <col min="4103" max="4103" width="11.625" customWidth="1"/>
    <col min="4104" max="4104" width="15.5" customWidth="1"/>
    <col min="4105" max="4105" width="18.75" customWidth="1"/>
    <col min="4106" max="4106" width="15.375" customWidth="1"/>
    <col min="4107" max="4107" width="15.125" customWidth="1"/>
    <col min="4109" max="4109" width="11" customWidth="1"/>
    <col min="4110" max="4110" width="10.625" customWidth="1"/>
    <col min="4111" max="4111" width="9.625" customWidth="1"/>
    <col min="4354" max="4354" width="7" customWidth="1"/>
    <col min="4355" max="4355" width="17.75" customWidth="1"/>
    <col min="4356" max="4356" width="10.875" customWidth="1"/>
    <col min="4357" max="4357" width="11.25" customWidth="1"/>
    <col min="4358" max="4358" width="11.5" customWidth="1"/>
    <col min="4359" max="4359" width="11.625" customWidth="1"/>
    <col min="4360" max="4360" width="15.5" customWidth="1"/>
    <col min="4361" max="4361" width="18.75" customWidth="1"/>
    <col min="4362" max="4362" width="15.375" customWidth="1"/>
    <col min="4363" max="4363" width="15.125" customWidth="1"/>
    <col min="4365" max="4365" width="11" customWidth="1"/>
    <col min="4366" max="4366" width="10.625" customWidth="1"/>
    <col min="4367" max="4367" width="9.625" customWidth="1"/>
    <col min="4610" max="4610" width="7" customWidth="1"/>
    <col min="4611" max="4611" width="17.75" customWidth="1"/>
    <col min="4612" max="4612" width="10.875" customWidth="1"/>
    <col min="4613" max="4613" width="11.25" customWidth="1"/>
    <col min="4614" max="4614" width="11.5" customWidth="1"/>
    <col min="4615" max="4615" width="11.625" customWidth="1"/>
    <col min="4616" max="4616" width="15.5" customWidth="1"/>
    <col min="4617" max="4617" width="18.75" customWidth="1"/>
    <col min="4618" max="4618" width="15.375" customWidth="1"/>
    <col min="4619" max="4619" width="15.125" customWidth="1"/>
    <col min="4621" max="4621" width="11" customWidth="1"/>
    <col min="4622" max="4622" width="10.625" customWidth="1"/>
    <col min="4623" max="4623" width="9.625" customWidth="1"/>
    <col min="4866" max="4866" width="7" customWidth="1"/>
    <col min="4867" max="4867" width="17.75" customWidth="1"/>
    <col min="4868" max="4868" width="10.875" customWidth="1"/>
    <col min="4869" max="4869" width="11.25" customWidth="1"/>
    <col min="4870" max="4870" width="11.5" customWidth="1"/>
    <col min="4871" max="4871" width="11.625" customWidth="1"/>
    <col min="4872" max="4872" width="15.5" customWidth="1"/>
    <col min="4873" max="4873" width="18.75" customWidth="1"/>
    <col min="4874" max="4874" width="15.375" customWidth="1"/>
    <col min="4875" max="4875" width="15.125" customWidth="1"/>
    <col min="4877" max="4877" width="11" customWidth="1"/>
    <col min="4878" max="4878" width="10.625" customWidth="1"/>
    <col min="4879" max="4879" width="9.625" customWidth="1"/>
    <col min="5122" max="5122" width="7" customWidth="1"/>
    <col min="5123" max="5123" width="17.75" customWidth="1"/>
    <col min="5124" max="5124" width="10.875" customWidth="1"/>
    <col min="5125" max="5125" width="11.25" customWidth="1"/>
    <col min="5126" max="5126" width="11.5" customWidth="1"/>
    <col min="5127" max="5127" width="11.625" customWidth="1"/>
    <col min="5128" max="5128" width="15.5" customWidth="1"/>
    <col min="5129" max="5129" width="18.75" customWidth="1"/>
    <col min="5130" max="5130" width="15.375" customWidth="1"/>
    <col min="5131" max="5131" width="15.125" customWidth="1"/>
    <col min="5133" max="5133" width="11" customWidth="1"/>
    <col min="5134" max="5134" width="10.625" customWidth="1"/>
    <col min="5135" max="5135" width="9.625" customWidth="1"/>
    <col min="5378" max="5378" width="7" customWidth="1"/>
    <col min="5379" max="5379" width="17.75" customWidth="1"/>
    <col min="5380" max="5380" width="10.875" customWidth="1"/>
    <col min="5381" max="5381" width="11.25" customWidth="1"/>
    <col min="5382" max="5382" width="11.5" customWidth="1"/>
    <col min="5383" max="5383" width="11.625" customWidth="1"/>
    <col min="5384" max="5384" width="15.5" customWidth="1"/>
    <col min="5385" max="5385" width="18.75" customWidth="1"/>
    <col min="5386" max="5386" width="15.375" customWidth="1"/>
    <col min="5387" max="5387" width="15.125" customWidth="1"/>
    <col min="5389" max="5389" width="11" customWidth="1"/>
    <col min="5390" max="5390" width="10.625" customWidth="1"/>
    <col min="5391" max="5391" width="9.625" customWidth="1"/>
    <col min="5634" max="5634" width="7" customWidth="1"/>
    <col min="5635" max="5635" width="17.75" customWidth="1"/>
    <col min="5636" max="5636" width="10.875" customWidth="1"/>
    <col min="5637" max="5637" width="11.25" customWidth="1"/>
    <col min="5638" max="5638" width="11.5" customWidth="1"/>
    <col min="5639" max="5639" width="11.625" customWidth="1"/>
    <col min="5640" max="5640" width="15.5" customWidth="1"/>
    <col min="5641" max="5641" width="18.75" customWidth="1"/>
    <col min="5642" max="5642" width="15.375" customWidth="1"/>
    <col min="5643" max="5643" width="15.125" customWidth="1"/>
    <col min="5645" max="5645" width="11" customWidth="1"/>
    <col min="5646" max="5646" width="10.625" customWidth="1"/>
    <col min="5647" max="5647" width="9.625" customWidth="1"/>
    <col min="5890" max="5890" width="7" customWidth="1"/>
    <col min="5891" max="5891" width="17.75" customWidth="1"/>
    <col min="5892" max="5892" width="10.875" customWidth="1"/>
    <col min="5893" max="5893" width="11.25" customWidth="1"/>
    <col min="5894" max="5894" width="11.5" customWidth="1"/>
    <col min="5895" max="5895" width="11.625" customWidth="1"/>
    <col min="5896" max="5896" width="15.5" customWidth="1"/>
    <col min="5897" max="5897" width="18.75" customWidth="1"/>
    <col min="5898" max="5898" width="15.375" customWidth="1"/>
    <col min="5899" max="5899" width="15.125" customWidth="1"/>
    <col min="5901" max="5901" width="11" customWidth="1"/>
    <col min="5902" max="5902" width="10.625" customWidth="1"/>
    <col min="5903" max="5903" width="9.625" customWidth="1"/>
    <col min="6146" max="6146" width="7" customWidth="1"/>
    <col min="6147" max="6147" width="17.75" customWidth="1"/>
    <col min="6148" max="6148" width="10.875" customWidth="1"/>
    <col min="6149" max="6149" width="11.25" customWidth="1"/>
    <col min="6150" max="6150" width="11.5" customWidth="1"/>
    <col min="6151" max="6151" width="11.625" customWidth="1"/>
    <col min="6152" max="6152" width="15.5" customWidth="1"/>
    <col min="6153" max="6153" width="18.75" customWidth="1"/>
    <col min="6154" max="6154" width="15.375" customWidth="1"/>
    <col min="6155" max="6155" width="15.125" customWidth="1"/>
    <col min="6157" max="6157" width="11" customWidth="1"/>
    <col min="6158" max="6158" width="10.625" customWidth="1"/>
    <col min="6159" max="6159" width="9.625" customWidth="1"/>
    <col min="6402" max="6402" width="7" customWidth="1"/>
    <col min="6403" max="6403" width="17.75" customWidth="1"/>
    <col min="6404" max="6404" width="10.875" customWidth="1"/>
    <col min="6405" max="6405" width="11.25" customWidth="1"/>
    <col min="6406" max="6406" width="11.5" customWidth="1"/>
    <col min="6407" max="6407" width="11.625" customWidth="1"/>
    <col min="6408" max="6408" width="15.5" customWidth="1"/>
    <col min="6409" max="6409" width="18.75" customWidth="1"/>
    <col min="6410" max="6410" width="15.375" customWidth="1"/>
    <col min="6411" max="6411" width="15.125" customWidth="1"/>
    <col min="6413" max="6413" width="11" customWidth="1"/>
    <col min="6414" max="6414" width="10.625" customWidth="1"/>
    <col min="6415" max="6415" width="9.625" customWidth="1"/>
    <col min="6658" max="6658" width="7" customWidth="1"/>
    <col min="6659" max="6659" width="17.75" customWidth="1"/>
    <col min="6660" max="6660" width="10.875" customWidth="1"/>
    <col min="6661" max="6661" width="11.25" customWidth="1"/>
    <col min="6662" max="6662" width="11.5" customWidth="1"/>
    <col min="6663" max="6663" width="11.625" customWidth="1"/>
    <col min="6664" max="6664" width="15.5" customWidth="1"/>
    <col min="6665" max="6665" width="18.75" customWidth="1"/>
    <col min="6666" max="6666" width="15.375" customWidth="1"/>
    <col min="6667" max="6667" width="15.125" customWidth="1"/>
    <col min="6669" max="6669" width="11" customWidth="1"/>
    <col min="6670" max="6670" width="10.625" customWidth="1"/>
    <col min="6671" max="6671" width="9.625" customWidth="1"/>
    <col min="6914" max="6914" width="7" customWidth="1"/>
    <col min="6915" max="6915" width="17.75" customWidth="1"/>
    <col min="6916" max="6916" width="10.875" customWidth="1"/>
    <col min="6917" max="6917" width="11.25" customWidth="1"/>
    <col min="6918" max="6918" width="11.5" customWidth="1"/>
    <col min="6919" max="6919" width="11.625" customWidth="1"/>
    <col min="6920" max="6920" width="15.5" customWidth="1"/>
    <col min="6921" max="6921" width="18.75" customWidth="1"/>
    <col min="6922" max="6922" width="15.375" customWidth="1"/>
    <col min="6923" max="6923" width="15.125" customWidth="1"/>
    <col min="6925" max="6925" width="11" customWidth="1"/>
    <col min="6926" max="6926" width="10.625" customWidth="1"/>
    <col min="6927" max="6927" width="9.625" customWidth="1"/>
    <col min="7170" max="7170" width="7" customWidth="1"/>
    <col min="7171" max="7171" width="17.75" customWidth="1"/>
    <col min="7172" max="7172" width="10.875" customWidth="1"/>
    <col min="7173" max="7173" width="11.25" customWidth="1"/>
    <col min="7174" max="7174" width="11.5" customWidth="1"/>
    <col min="7175" max="7175" width="11.625" customWidth="1"/>
    <col min="7176" max="7176" width="15.5" customWidth="1"/>
    <col min="7177" max="7177" width="18.75" customWidth="1"/>
    <col min="7178" max="7178" width="15.375" customWidth="1"/>
    <col min="7179" max="7179" width="15.125" customWidth="1"/>
    <col min="7181" max="7181" width="11" customWidth="1"/>
    <col min="7182" max="7182" width="10.625" customWidth="1"/>
    <col min="7183" max="7183" width="9.625" customWidth="1"/>
    <col min="7426" max="7426" width="7" customWidth="1"/>
    <col min="7427" max="7427" width="17.75" customWidth="1"/>
    <col min="7428" max="7428" width="10.875" customWidth="1"/>
    <col min="7429" max="7429" width="11.25" customWidth="1"/>
    <col min="7430" max="7430" width="11.5" customWidth="1"/>
    <col min="7431" max="7431" width="11.625" customWidth="1"/>
    <col min="7432" max="7432" width="15.5" customWidth="1"/>
    <col min="7433" max="7433" width="18.75" customWidth="1"/>
    <col min="7434" max="7434" width="15.375" customWidth="1"/>
    <col min="7435" max="7435" width="15.125" customWidth="1"/>
    <col min="7437" max="7437" width="11" customWidth="1"/>
    <col min="7438" max="7438" width="10.625" customWidth="1"/>
    <col min="7439" max="7439" width="9.625" customWidth="1"/>
    <col min="7682" max="7682" width="7" customWidth="1"/>
    <col min="7683" max="7683" width="17.75" customWidth="1"/>
    <col min="7684" max="7684" width="10.875" customWidth="1"/>
    <col min="7685" max="7685" width="11.25" customWidth="1"/>
    <col min="7686" max="7686" width="11.5" customWidth="1"/>
    <col min="7687" max="7687" width="11.625" customWidth="1"/>
    <col min="7688" max="7688" width="15.5" customWidth="1"/>
    <col min="7689" max="7689" width="18.75" customWidth="1"/>
    <col min="7690" max="7690" width="15.375" customWidth="1"/>
    <col min="7691" max="7691" width="15.125" customWidth="1"/>
    <col min="7693" max="7693" width="11" customWidth="1"/>
    <col min="7694" max="7694" width="10.625" customWidth="1"/>
    <col min="7695" max="7695" width="9.625" customWidth="1"/>
    <col min="7938" max="7938" width="7" customWidth="1"/>
    <col min="7939" max="7939" width="17.75" customWidth="1"/>
    <col min="7940" max="7940" width="10.875" customWidth="1"/>
    <col min="7941" max="7941" width="11.25" customWidth="1"/>
    <col min="7942" max="7942" width="11.5" customWidth="1"/>
    <col min="7943" max="7943" width="11.625" customWidth="1"/>
    <col min="7944" max="7944" width="15.5" customWidth="1"/>
    <col min="7945" max="7945" width="18.75" customWidth="1"/>
    <col min="7946" max="7946" width="15.375" customWidth="1"/>
    <col min="7947" max="7947" width="15.125" customWidth="1"/>
    <col min="7949" max="7949" width="11" customWidth="1"/>
    <col min="7950" max="7950" width="10.625" customWidth="1"/>
    <col min="7951" max="7951" width="9.625" customWidth="1"/>
    <col min="8194" max="8194" width="7" customWidth="1"/>
    <col min="8195" max="8195" width="17.75" customWidth="1"/>
    <col min="8196" max="8196" width="10.875" customWidth="1"/>
    <col min="8197" max="8197" width="11.25" customWidth="1"/>
    <col min="8198" max="8198" width="11.5" customWidth="1"/>
    <col min="8199" max="8199" width="11.625" customWidth="1"/>
    <col min="8200" max="8200" width="15.5" customWidth="1"/>
    <col min="8201" max="8201" width="18.75" customWidth="1"/>
    <col min="8202" max="8202" width="15.375" customWidth="1"/>
    <col min="8203" max="8203" width="15.125" customWidth="1"/>
    <col min="8205" max="8205" width="11" customWidth="1"/>
    <col min="8206" max="8206" width="10.625" customWidth="1"/>
    <col min="8207" max="8207" width="9.625" customWidth="1"/>
    <col min="8450" max="8450" width="7" customWidth="1"/>
    <col min="8451" max="8451" width="17.75" customWidth="1"/>
    <col min="8452" max="8452" width="10.875" customWidth="1"/>
    <col min="8453" max="8453" width="11.25" customWidth="1"/>
    <col min="8454" max="8454" width="11.5" customWidth="1"/>
    <col min="8455" max="8455" width="11.625" customWidth="1"/>
    <col min="8456" max="8456" width="15.5" customWidth="1"/>
    <col min="8457" max="8457" width="18.75" customWidth="1"/>
    <col min="8458" max="8458" width="15.375" customWidth="1"/>
    <col min="8459" max="8459" width="15.125" customWidth="1"/>
    <col min="8461" max="8461" width="11" customWidth="1"/>
    <col min="8462" max="8462" width="10.625" customWidth="1"/>
    <col min="8463" max="8463" width="9.625" customWidth="1"/>
    <col min="8706" max="8706" width="7" customWidth="1"/>
    <col min="8707" max="8707" width="17.75" customWidth="1"/>
    <col min="8708" max="8708" width="10.875" customWidth="1"/>
    <col min="8709" max="8709" width="11.25" customWidth="1"/>
    <col min="8710" max="8710" width="11.5" customWidth="1"/>
    <col min="8711" max="8711" width="11.625" customWidth="1"/>
    <col min="8712" max="8712" width="15.5" customWidth="1"/>
    <col min="8713" max="8713" width="18.75" customWidth="1"/>
    <col min="8714" max="8714" width="15.375" customWidth="1"/>
    <col min="8715" max="8715" width="15.125" customWidth="1"/>
    <col min="8717" max="8717" width="11" customWidth="1"/>
    <col min="8718" max="8718" width="10.625" customWidth="1"/>
    <col min="8719" max="8719" width="9.625" customWidth="1"/>
    <col min="8962" max="8962" width="7" customWidth="1"/>
    <col min="8963" max="8963" width="17.75" customWidth="1"/>
    <col min="8964" max="8964" width="10.875" customWidth="1"/>
    <col min="8965" max="8965" width="11.25" customWidth="1"/>
    <col min="8966" max="8966" width="11.5" customWidth="1"/>
    <col min="8967" max="8967" width="11.625" customWidth="1"/>
    <col min="8968" max="8968" width="15.5" customWidth="1"/>
    <col min="8969" max="8969" width="18.75" customWidth="1"/>
    <col min="8970" max="8970" width="15.375" customWidth="1"/>
    <col min="8971" max="8971" width="15.125" customWidth="1"/>
    <col min="8973" max="8973" width="11" customWidth="1"/>
    <col min="8974" max="8974" width="10.625" customWidth="1"/>
    <col min="8975" max="8975" width="9.625" customWidth="1"/>
    <col min="9218" max="9218" width="7" customWidth="1"/>
    <col min="9219" max="9219" width="17.75" customWidth="1"/>
    <col min="9220" max="9220" width="10.875" customWidth="1"/>
    <col min="9221" max="9221" width="11.25" customWidth="1"/>
    <col min="9222" max="9222" width="11.5" customWidth="1"/>
    <col min="9223" max="9223" width="11.625" customWidth="1"/>
    <col min="9224" max="9224" width="15.5" customWidth="1"/>
    <col min="9225" max="9225" width="18.75" customWidth="1"/>
    <col min="9226" max="9226" width="15.375" customWidth="1"/>
    <col min="9227" max="9227" width="15.125" customWidth="1"/>
    <col min="9229" max="9229" width="11" customWidth="1"/>
    <col min="9230" max="9230" width="10.625" customWidth="1"/>
    <col min="9231" max="9231" width="9.625" customWidth="1"/>
    <col min="9474" max="9474" width="7" customWidth="1"/>
    <col min="9475" max="9475" width="17.75" customWidth="1"/>
    <col min="9476" max="9476" width="10.875" customWidth="1"/>
    <col min="9477" max="9477" width="11.25" customWidth="1"/>
    <col min="9478" max="9478" width="11.5" customWidth="1"/>
    <col min="9479" max="9479" width="11.625" customWidth="1"/>
    <col min="9480" max="9480" width="15.5" customWidth="1"/>
    <col min="9481" max="9481" width="18.75" customWidth="1"/>
    <col min="9482" max="9482" width="15.375" customWidth="1"/>
    <col min="9483" max="9483" width="15.125" customWidth="1"/>
    <col min="9485" max="9485" width="11" customWidth="1"/>
    <col min="9486" max="9486" width="10.625" customWidth="1"/>
    <col min="9487" max="9487" width="9.625" customWidth="1"/>
    <col min="9730" max="9730" width="7" customWidth="1"/>
    <col min="9731" max="9731" width="17.75" customWidth="1"/>
    <col min="9732" max="9732" width="10.875" customWidth="1"/>
    <col min="9733" max="9733" width="11.25" customWidth="1"/>
    <col min="9734" max="9734" width="11.5" customWidth="1"/>
    <col min="9735" max="9735" width="11.625" customWidth="1"/>
    <col min="9736" max="9736" width="15.5" customWidth="1"/>
    <col min="9737" max="9737" width="18.75" customWidth="1"/>
    <col min="9738" max="9738" width="15.375" customWidth="1"/>
    <col min="9739" max="9739" width="15.125" customWidth="1"/>
    <col min="9741" max="9741" width="11" customWidth="1"/>
    <col min="9742" max="9742" width="10.625" customWidth="1"/>
    <col min="9743" max="9743" width="9.625" customWidth="1"/>
    <col min="9986" max="9986" width="7" customWidth="1"/>
    <col min="9987" max="9987" width="17.75" customWidth="1"/>
    <col min="9988" max="9988" width="10.875" customWidth="1"/>
    <col min="9989" max="9989" width="11.25" customWidth="1"/>
    <col min="9990" max="9990" width="11.5" customWidth="1"/>
    <col min="9991" max="9991" width="11.625" customWidth="1"/>
    <col min="9992" max="9992" width="15.5" customWidth="1"/>
    <col min="9993" max="9993" width="18.75" customWidth="1"/>
    <col min="9994" max="9994" width="15.375" customWidth="1"/>
    <col min="9995" max="9995" width="15.125" customWidth="1"/>
    <col min="9997" max="9997" width="11" customWidth="1"/>
    <col min="9998" max="9998" width="10.625" customWidth="1"/>
    <col min="9999" max="9999" width="9.625" customWidth="1"/>
    <col min="10242" max="10242" width="7" customWidth="1"/>
    <col min="10243" max="10243" width="17.75" customWidth="1"/>
    <col min="10244" max="10244" width="10.875" customWidth="1"/>
    <col min="10245" max="10245" width="11.25" customWidth="1"/>
    <col min="10246" max="10246" width="11.5" customWidth="1"/>
    <col min="10247" max="10247" width="11.625" customWidth="1"/>
    <col min="10248" max="10248" width="15.5" customWidth="1"/>
    <col min="10249" max="10249" width="18.75" customWidth="1"/>
    <col min="10250" max="10250" width="15.375" customWidth="1"/>
    <col min="10251" max="10251" width="15.125" customWidth="1"/>
    <col min="10253" max="10253" width="11" customWidth="1"/>
    <col min="10254" max="10254" width="10.625" customWidth="1"/>
    <col min="10255" max="10255" width="9.625" customWidth="1"/>
    <col min="10498" max="10498" width="7" customWidth="1"/>
    <col min="10499" max="10499" width="17.75" customWidth="1"/>
    <col min="10500" max="10500" width="10.875" customWidth="1"/>
    <col min="10501" max="10501" width="11.25" customWidth="1"/>
    <col min="10502" max="10502" width="11.5" customWidth="1"/>
    <col min="10503" max="10503" width="11.625" customWidth="1"/>
    <col min="10504" max="10504" width="15.5" customWidth="1"/>
    <col min="10505" max="10505" width="18.75" customWidth="1"/>
    <col min="10506" max="10506" width="15.375" customWidth="1"/>
    <col min="10507" max="10507" width="15.125" customWidth="1"/>
    <col min="10509" max="10509" width="11" customWidth="1"/>
    <col min="10510" max="10510" width="10.625" customWidth="1"/>
    <col min="10511" max="10511" width="9.625" customWidth="1"/>
    <col min="10754" max="10754" width="7" customWidth="1"/>
    <col min="10755" max="10755" width="17.75" customWidth="1"/>
    <col min="10756" max="10756" width="10.875" customWidth="1"/>
    <col min="10757" max="10757" width="11.25" customWidth="1"/>
    <col min="10758" max="10758" width="11.5" customWidth="1"/>
    <col min="10759" max="10759" width="11.625" customWidth="1"/>
    <col min="10760" max="10760" width="15.5" customWidth="1"/>
    <col min="10761" max="10761" width="18.75" customWidth="1"/>
    <col min="10762" max="10762" width="15.375" customWidth="1"/>
    <col min="10763" max="10763" width="15.125" customWidth="1"/>
    <col min="10765" max="10765" width="11" customWidth="1"/>
    <col min="10766" max="10766" width="10.625" customWidth="1"/>
    <col min="10767" max="10767" width="9.625" customWidth="1"/>
    <col min="11010" max="11010" width="7" customWidth="1"/>
    <col min="11011" max="11011" width="17.75" customWidth="1"/>
    <col min="11012" max="11012" width="10.875" customWidth="1"/>
    <col min="11013" max="11013" width="11.25" customWidth="1"/>
    <col min="11014" max="11014" width="11.5" customWidth="1"/>
    <col min="11015" max="11015" width="11.625" customWidth="1"/>
    <col min="11016" max="11016" width="15.5" customWidth="1"/>
    <col min="11017" max="11017" width="18.75" customWidth="1"/>
    <col min="11018" max="11018" width="15.375" customWidth="1"/>
    <col min="11019" max="11019" width="15.125" customWidth="1"/>
    <col min="11021" max="11021" width="11" customWidth="1"/>
    <col min="11022" max="11022" width="10.625" customWidth="1"/>
    <col min="11023" max="11023" width="9.625" customWidth="1"/>
    <col min="11266" max="11266" width="7" customWidth="1"/>
    <col min="11267" max="11267" width="17.75" customWidth="1"/>
    <col min="11268" max="11268" width="10.875" customWidth="1"/>
    <col min="11269" max="11269" width="11.25" customWidth="1"/>
    <col min="11270" max="11270" width="11.5" customWidth="1"/>
    <col min="11271" max="11271" width="11.625" customWidth="1"/>
    <col min="11272" max="11272" width="15.5" customWidth="1"/>
    <col min="11273" max="11273" width="18.75" customWidth="1"/>
    <col min="11274" max="11274" width="15.375" customWidth="1"/>
    <col min="11275" max="11275" width="15.125" customWidth="1"/>
    <col min="11277" max="11277" width="11" customWidth="1"/>
    <col min="11278" max="11278" width="10.625" customWidth="1"/>
    <col min="11279" max="11279" width="9.625" customWidth="1"/>
    <col min="11522" max="11522" width="7" customWidth="1"/>
    <col min="11523" max="11523" width="17.75" customWidth="1"/>
    <col min="11524" max="11524" width="10.875" customWidth="1"/>
    <col min="11525" max="11525" width="11.25" customWidth="1"/>
    <col min="11526" max="11526" width="11.5" customWidth="1"/>
    <col min="11527" max="11527" width="11.625" customWidth="1"/>
    <col min="11528" max="11528" width="15.5" customWidth="1"/>
    <col min="11529" max="11529" width="18.75" customWidth="1"/>
    <col min="11530" max="11530" width="15.375" customWidth="1"/>
    <col min="11531" max="11531" width="15.125" customWidth="1"/>
    <col min="11533" max="11533" width="11" customWidth="1"/>
    <col min="11534" max="11534" width="10.625" customWidth="1"/>
    <col min="11535" max="11535" width="9.625" customWidth="1"/>
    <col min="11778" max="11778" width="7" customWidth="1"/>
    <col min="11779" max="11779" width="17.75" customWidth="1"/>
    <col min="11780" max="11780" width="10.875" customWidth="1"/>
    <col min="11781" max="11781" width="11.25" customWidth="1"/>
    <col min="11782" max="11782" width="11.5" customWidth="1"/>
    <col min="11783" max="11783" width="11.625" customWidth="1"/>
    <col min="11784" max="11784" width="15.5" customWidth="1"/>
    <col min="11785" max="11785" width="18.75" customWidth="1"/>
    <col min="11786" max="11786" width="15.375" customWidth="1"/>
    <col min="11787" max="11787" width="15.125" customWidth="1"/>
    <col min="11789" max="11789" width="11" customWidth="1"/>
    <col min="11790" max="11790" width="10.625" customWidth="1"/>
    <col min="11791" max="11791" width="9.625" customWidth="1"/>
    <col min="12034" max="12034" width="7" customWidth="1"/>
    <col min="12035" max="12035" width="17.75" customWidth="1"/>
    <col min="12036" max="12036" width="10.875" customWidth="1"/>
    <col min="12037" max="12037" width="11.25" customWidth="1"/>
    <col min="12038" max="12038" width="11.5" customWidth="1"/>
    <col min="12039" max="12039" width="11.625" customWidth="1"/>
    <col min="12040" max="12040" width="15.5" customWidth="1"/>
    <col min="12041" max="12041" width="18.75" customWidth="1"/>
    <col min="12042" max="12042" width="15.375" customWidth="1"/>
    <col min="12043" max="12043" width="15.125" customWidth="1"/>
    <col min="12045" max="12045" width="11" customWidth="1"/>
    <col min="12046" max="12046" width="10.625" customWidth="1"/>
    <col min="12047" max="12047" width="9.625" customWidth="1"/>
    <col min="12290" max="12290" width="7" customWidth="1"/>
    <col min="12291" max="12291" width="17.75" customWidth="1"/>
    <col min="12292" max="12292" width="10.875" customWidth="1"/>
    <col min="12293" max="12293" width="11.25" customWidth="1"/>
    <col min="12294" max="12294" width="11.5" customWidth="1"/>
    <col min="12295" max="12295" width="11.625" customWidth="1"/>
    <col min="12296" max="12296" width="15.5" customWidth="1"/>
    <col min="12297" max="12297" width="18.75" customWidth="1"/>
    <col min="12298" max="12298" width="15.375" customWidth="1"/>
    <col min="12299" max="12299" width="15.125" customWidth="1"/>
    <col min="12301" max="12301" width="11" customWidth="1"/>
    <col min="12302" max="12302" width="10.625" customWidth="1"/>
    <col min="12303" max="12303" width="9.625" customWidth="1"/>
    <col min="12546" max="12546" width="7" customWidth="1"/>
    <col min="12547" max="12547" width="17.75" customWidth="1"/>
    <col min="12548" max="12548" width="10.875" customWidth="1"/>
    <col min="12549" max="12549" width="11.25" customWidth="1"/>
    <col min="12550" max="12550" width="11.5" customWidth="1"/>
    <col min="12551" max="12551" width="11.625" customWidth="1"/>
    <col min="12552" max="12552" width="15.5" customWidth="1"/>
    <col min="12553" max="12553" width="18.75" customWidth="1"/>
    <col min="12554" max="12554" width="15.375" customWidth="1"/>
    <col min="12555" max="12555" width="15.125" customWidth="1"/>
    <col min="12557" max="12557" width="11" customWidth="1"/>
    <col min="12558" max="12558" width="10.625" customWidth="1"/>
    <col min="12559" max="12559" width="9.625" customWidth="1"/>
    <col min="12802" max="12802" width="7" customWidth="1"/>
    <col min="12803" max="12803" width="17.75" customWidth="1"/>
    <col min="12804" max="12804" width="10.875" customWidth="1"/>
    <col min="12805" max="12805" width="11.25" customWidth="1"/>
    <col min="12806" max="12806" width="11.5" customWidth="1"/>
    <col min="12807" max="12807" width="11.625" customWidth="1"/>
    <col min="12808" max="12808" width="15.5" customWidth="1"/>
    <col min="12809" max="12809" width="18.75" customWidth="1"/>
    <col min="12810" max="12810" width="15.375" customWidth="1"/>
    <col min="12811" max="12811" width="15.125" customWidth="1"/>
    <col min="12813" max="12813" width="11" customWidth="1"/>
    <col min="12814" max="12814" width="10.625" customWidth="1"/>
    <col min="12815" max="12815" width="9.625" customWidth="1"/>
    <col min="13058" max="13058" width="7" customWidth="1"/>
    <col min="13059" max="13059" width="17.75" customWidth="1"/>
    <col min="13060" max="13060" width="10.875" customWidth="1"/>
    <col min="13061" max="13061" width="11.25" customWidth="1"/>
    <col min="13062" max="13062" width="11.5" customWidth="1"/>
    <col min="13063" max="13063" width="11.625" customWidth="1"/>
    <col min="13064" max="13064" width="15.5" customWidth="1"/>
    <col min="13065" max="13065" width="18.75" customWidth="1"/>
    <col min="13066" max="13066" width="15.375" customWidth="1"/>
    <col min="13067" max="13067" width="15.125" customWidth="1"/>
    <col min="13069" max="13069" width="11" customWidth="1"/>
    <col min="13070" max="13070" width="10.625" customWidth="1"/>
    <col min="13071" max="13071" width="9.625" customWidth="1"/>
    <col min="13314" max="13314" width="7" customWidth="1"/>
    <col min="13315" max="13315" width="17.75" customWidth="1"/>
    <col min="13316" max="13316" width="10.875" customWidth="1"/>
    <col min="13317" max="13317" width="11.25" customWidth="1"/>
    <col min="13318" max="13318" width="11.5" customWidth="1"/>
    <col min="13319" max="13319" width="11.625" customWidth="1"/>
    <col min="13320" max="13320" width="15.5" customWidth="1"/>
    <col min="13321" max="13321" width="18.75" customWidth="1"/>
    <col min="13322" max="13322" width="15.375" customWidth="1"/>
    <col min="13323" max="13323" width="15.125" customWidth="1"/>
    <col min="13325" max="13325" width="11" customWidth="1"/>
    <col min="13326" max="13326" width="10.625" customWidth="1"/>
    <col min="13327" max="13327" width="9.625" customWidth="1"/>
    <col min="13570" max="13570" width="7" customWidth="1"/>
    <col min="13571" max="13571" width="17.75" customWidth="1"/>
    <col min="13572" max="13572" width="10.875" customWidth="1"/>
    <col min="13573" max="13573" width="11.25" customWidth="1"/>
    <col min="13574" max="13574" width="11.5" customWidth="1"/>
    <col min="13575" max="13575" width="11.625" customWidth="1"/>
    <col min="13576" max="13576" width="15.5" customWidth="1"/>
    <col min="13577" max="13577" width="18.75" customWidth="1"/>
    <col min="13578" max="13578" width="15.375" customWidth="1"/>
    <col min="13579" max="13579" width="15.125" customWidth="1"/>
    <col min="13581" max="13581" width="11" customWidth="1"/>
    <col min="13582" max="13582" width="10.625" customWidth="1"/>
    <col min="13583" max="13583" width="9.625" customWidth="1"/>
    <col min="13826" max="13826" width="7" customWidth="1"/>
    <col min="13827" max="13827" width="17.75" customWidth="1"/>
    <col min="13828" max="13828" width="10.875" customWidth="1"/>
    <col min="13829" max="13829" width="11.25" customWidth="1"/>
    <col min="13830" max="13830" width="11.5" customWidth="1"/>
    <col min="13831" max="13831" width="11.625" customWidth="1"/>
    <col min="13832" max="13832" width="15.5" customWidth="1"/>
    <col min="13833" max="13833" width="18.75" customWidth="1"/>
    <col min="13834" max="13834" width="15.375" customWidth="1"/>
    <col min="13835" max="13835" width="15.125" customWidth="1"/>
    <col min="13837" max="13837" width="11" customWidth="1"/>
    <col min="13838" max="13838" width="10.625" customWidth="1"/>
    <col min="13839" max="13839" width="9.625" customWidth="1"/>
    <col min="14082" max="14082" width="7" customWidth="1"/>
    <col min="14083" max="14083" width="17.75" customWidth="1"/>
    <col min="14084" max="14084" width="10.875" customWidth="1"/>
    <col min="14085" max="14085" width="11.25" customWidth="1"/>
    <col min="14086" max="14086" width="11.5" customWidth="1"/>
    <col min="14087" max="14087" width="11.625" customWidth="1"/>
    <col min="14088" max="14088" width="15.5" customWidth="1"/>
    <col min="14089" max="14089" width="18.75" customWidth="1"/>
    <col min="14090" max="14090" width="15.375" customWidth="1"/>
    <col min="14091" max="14091" width="15.125" customWidth="1"/>
    <col min="14093" max="14093" width="11" customWidth="1"/>
    <col min="14094" max="14094" width="10.625" customWidth="1"/>
    <col min="14095" max="14095" width="9.625" customWidth="1"/>
    <col min="14338" max="14338" width="7" customWidth="1"/>
    <col min="14339" max="14339" width="17.75" customWidth="1"/>
    <col min="14340" max="14340" width="10.875" customWidth="1"/>
    <col min="14341" max="14341" width="11.25" customWidth="1"/>
    <col min="14342" max="14342" width="11.5" customWidth="1"/>
    <col min="14343" max="14343" width="11.625" customWidth="1"/>
    <col min="14344" max="14344" width="15.5" customWidth="1"/>
    <col min="14345" max="14345" width="18.75" customWidth="1"/>
    <col min="14346" max="14346" width="15.375" customWidth="1"/>
    <col min="14347" max="14347" width="15.125" customWidth="1"/>
    <col min="14349" max="14349" width="11" customWidth="1"/>
    <col min="14350" max="14350" width="10.625" customWidth="1"/>
    <col min="14351" max="14351" width="9.625" customWidth="1"/>
    <col min="14594" max="14594" width="7" customWidth="1"/>
    <col min="14595" max="14595" width="17.75" customWidth="1"/>
    <col min="14596" max="14596" width="10.875" customWidth="1"/>
    <col min="14597" max="14597" width="11.25" customWidth="1"/>
    <col min="14598" max="14598" width="11.5" customWidth="1"/>
    <col min="14599" max="14599" width="11.625" customWidth="1"/>
    <col min="14600" max="14600" width="15.5" customWidth="1"/>
    <col min="14601" max="14601" width="18.75" customWidth="1"/>
    <col min="14602" max="14602" width="15.375" customWidth="1"/>
    <col min="14603" max="14603" width="15.125" customWidth="1"/>
    <col min="14605" max="14605" width="11" customWidth="1"/>
    <col min="14606" max="14606" width="10.625" customWidth="1"/>
    <col min="14607" max="14607" width="9.625" customWidth="1"/>
    <col min="14850" max="14850" width="7" customWidth="1"/>
    <col min="14851" max="14851" width="17.75" customWidth="1"/>
    <col min="14852" max="14852" width="10.875" customWidth="1"/>
    <col min="14853" max="14853" width="11.25" customWidth="1"/>
    <col min="14854" max="14854" width="11.5" customWidth="1"/>
    <col min="14855" max="14855" width="11.625" customWidth="1"/>
    <col min="14856" max="14856" width="15.5" customWidth="1"/>
    <col min="14857" max="14857" width="18.75" customWidth="1"/>
    <col min="14858" max="14858" width="15.375" customWidth="1"/>
    <col min="14859" max="14859" width="15.125" customWidth="1"/>
    <col min="14861" max="14861" width="11" customWidth="1"/>
    <col min="14862" max="14862" width="10.625" customWidth="1"/>
    <col min="14863" max="14863" width="9.625" customWidth="1"/>
    <col min="15106" max="15106" width="7" customWidth="1"/>
    <col min="15107" max="15107" width="17.75" customWidth="1"/>
    <col min="15108" max="15108" width="10.875" customWidth="1"/>
    <col min="15109" max="15109" width="11.25" customWidth="1"/>
    <col min="15110" max="15110" width="11.5" customWidth="1"/>
    <col min="15111" max="15111" width="11.625" customWidth="1"/>
    <col min="15112" max="15112" width="15.5" customWidth="1"/>
    <col min="15113" max="15113" width="18.75" customWidth="1"/>
    <col min="15114" max="15114" width="15.375" customWidth="1"/>
    <col min="15115" max="15115" width="15.125" customWidth="1"/>
    <col min="15117" max="15117" width="11" customWidth="1"/>
    <col min="15118" max="15118" width="10.625" customWidth="1"/>
    <col min="15119" max="15119" width="9.625" customWidth="1"/>
    <col min="15362" max="15362" width="7" customWidth="1"/>
    <col min="15363" max="15363" width="17.75" customWidth="1"/>
    <col min="15364" max="15364" width="10.875" customWidth="1"/>
    <col min="15365" max="15365" width="11.25" customWidth="1"/>
    <col min="15366" max="15366" width="11.5" customWidth="1"/>
    <col min="15367" max="15367" width="11.625" customWidth="1"/>
    <col min="15368" max="15368" width="15.5" customWidth="1"/>
    <col min="15369" max="15369" width="18.75" customWidth="1"/>
    <col min="15370" max="15370" width="15.375" customWidth="1"/>
    <col min="15371" max="15371" width="15.125" customWidth="1"/>
    <col min="15373" max="15373" width="11" customWidth="1"/>
    <col min="15374" max="15374" width="10.625" customWidth="1"/>
    <col min="15375" max="15375" width="9.625" customWidth="1"/>
    <col min="15618" max="15618" width="7" customWidth="1"/>
    <col min="15619" max="15619" width="17.75" customWidth="1"/>
    <col min="15620" max="15620" width="10.875" customWidth="1"/>
    <col min="15621" max="15621" width="11.25" customWidth="1"/>
    <col min="15622" max="15622" width="11.5" customWidth="1"/>
    <col min="15623" max="15623" width="11.625" customWidth="1"/>
    <col min="15624" max="15624" width="15.5" customWidth="1"/>
    <col min="15625" max="15625" width="18.75" customWidth="1"/>
    <col min="15626" max="15626" width="15.375" customWidth="1"/>
    <col min="15627" max="15627" width="15.125" customWidth="1"/>
    <col min="15629" max="15629" width="11" customWidth="1"/>
    <col min="15630" max="15630" width="10.625" customWidth="1"/>
    <col min="15631" max="15631" width="9.625" customWidth="1"/>
    <col min="15874" max="15874" width="7" customWidth="1"/>
    <col min="15875" max="15875" width="17.75" customWidth="1"/>
    <col min="15876" max="15876" width="10.875" customWidth="1"/>
    <col min="15877" max="15877" width="11.25" customWidth="1"/>
    <col min="15878" max="15878" width="11.5" customWidth="1"/>
    <col min="15879" max="15879" width="11.625" customWidth="1"/>
    <col min="15880" max="15880" width="15.5" customWidth="1"/>
    <col min="15881" max="15881" width="18.75" customWidth="1"/>
    <col min="15882" max="15882" width="15.375" customWidth="1"/>
    <col min="15883" max="15883" width="15.125" customWidth="1"/>
    <col min="15885" max="15885" width="11" customWidth="1"/>
    <col min="15886" max="15886" width="10.625" customWidth="1"/>
    <col min="15887" max="15887" width="9.625" customWidth="1"/>
    <col min="16130" max="16130" width="7" customWidth="1"/>
    <col min="16131" max="16131" width="17.75" customWidth="1"/>
    <col min="16132" max="16132" width="10.875" customWidth="1"/>
    <col min="16133" max="16133" width="11.25" customWidth="1"/>
    <col min="16134" max="16134" width="11.5" customWidth="1"/>
    <col min="16135" max="16135" width="11.625" customWidth="1"/>
    <col min="16136" max="16136" width="15.5" customWidth="1"/>
    <col min="16137" max="16137" width="18.75" customWidth="1"/>
    <col min="16138" max="16138" width="15.375" customWidth="1"/>
    <col min="16139" max="16139" width="15.125" customWidth="1"/>
    <col min="16141" max="16141" width="11" customWidth="1"/>
    <col min="16142" max="16142" width="10.625" customWidth="1"/>
    <col min="16143" max="16143" width="9.625" customWidth="1"/>
  </cols>
  <sheetData>
    <row r="1" spans="1:15" ht="20.25" x14ac:dyDescent="0.3">
      <c r="A1" s="279"/>
      <c r="B1" s="279"/>
      <c r="C1" s="279"/>
      <c r="D1" s="279"/>
      <c r="E1" s="279"/>
      <c r="F1" s="279"/>
      <c r="G1" s="280" t="s">
        <v>0</v>
      </c>
      <c r="H1" s="279"/>
      <c r="I1" s="279"/>
      <c r="J1" s="279"/>
      <c r="K1" s="214"/>
      <c r="L1" s="214"/>
      <c r="M1" s="214"/>
      <c r="N1" s="214" t="s">
        <v>1</v>
      </c>
      <c r="O1" s="214"/>
    </row>
    <row r="2" spans="1:15" ht="18" x14ac:dyDescent="0.25">
      <c r="A2" s="214"/>
      <c r="B2" s="214"/>
      <c r="C2" s="214"/>
      <c r="D2" s="214"/>
      <c r="E2" s="214"/>
      <c r="F2" s="214"/>
      <c r="G2" s="331"/>
      <c r="H2" s="214"/>
      <c r="I2" s="214"/>
      <c r="J2" s="214"/>
      <c r="K2" s="214"/>
      <c r="L2" s="214"/>
      <c r="M2" s="214"/>
      <c r="N2" s="214"/>
      <c r="O2" s="214"/>
    </row>
    <row r="3" spans="1:15" ht="18" x14ac:dyDescent="0.25">
      <c r="A3" s="512" t="s">
        <v>2</v>
      </c>
      <c r="B3" s="512"/>
      <c r="C3" s="331" t="s">
        <v>38</v>
      </c>
      <c r="D3" s="214"/>
      <c r="E3" s="214"/>
      <c r="F3" s="214"/>
      <c r="G3" s="331"/>
      <c r="H3" s="214"/>
      <c r="I3" s="214"/>
      <c r="J3" s="214"/>
      <c r="K3" s="214"/>
      <c r="L3" s="214"/>
      <c r="M3" s="214"/>
      <c r="N3" s="214"/>
      <c r="O3" s="214"/>
    </row>
    <row r="4" spans="1:15" ht="18" x14ac:dyDescent="0.25">
      <c r="A4" s="512" t="s">
        <v>3</v>
      </c>
      <c r="B4" s="512"/>
      <c r="C4" s="331" t="s">
        <v>40</v>
      </c>
      <c r="D4" s="214"/>
      <c r="E4" s="214"/>
      <c r="F4" s="214"/>
      <c r="G4" s="331"/>
      <c r="H4" s="214"/>
      <c r="I4" s="214"/>
      <c r="J4" s="214"/>
      <c r="K4" s="214"/>
      <c r="L4" s="214"/>
      <c r="M4" s="214"/>
      <c r="N4" s="214"/>
      <c r="O4" s="214"/>
    </row>
    <row r="5" spans="1:15" ht="18" x14ac:dyDescent="0.25">
      <c r="A5" s="512" t="s">
        <v>4</v>
      </c>
      <c r="B5" s="512"/>
      <c r="C5" s="331" t="s">
        <v>41</v>
      </c>
      <c r="D5" s="214"/>
      <c r="E5" s="214"/>
      <c r="F5" s="214"/>
      <c r="G5" s="331"/>
      <c r="H5" s="214"/>
      <c r="I5" s="214"/>
      <c r="J5" s="214"/>
      <c r="K5" s="214"/>
      <c r="L5" s="214"/>
      <c r="M5" s="214"/>
      <c r="N5" s="214"/>
      <c r="O5" s="214"/>
    </row>
    <row r="6" spans="1:15" ht="18" x14ac:dyDescent="0.25">
      <c r="A6" s="512" t="s">
        <v>5</v>
      </c>
      <c r="B6" s="512"/>
      <c r="C6" s="331" t="s">
        <v>232</v>
      </c>
      <c r="D6" s="214"/>
      <c r="E6" s="214"/>
      <c r="F6" s="214"/>
      <c r="G6" s="331"/>
      <c r="H6" s="214"/>
      <c r="I6" s="214"/>
      <c r="J6" s="214"/>
      <c r="K6" s="214"/>
      <c r="L6" s="214"/>
      <c r="M6" s="214"/>
      <c r="N6" s="214"/>
      <c r="O6" s="214"/>
    </row>
    <row r="7" spans="1:15" ht="18" x14ac:dyDescent="0.25">
      <c r="A7" s="331"/>
      <c r="B7" s="331"/>
      <c r="C7" s="331"/>
      <c r="D7" s="214"/>
      <c r="E7" s="214"/>
      <c r="F7" s="214"/>
      <c r="G7" s="214"/>
      <c r="H7" s="214"/>
      <c r="I7" s="214"/>
      <c r="J7" s="214"/>
      <c r="K7" s="214"/>
      <c r="L7" s="214"/>
      <c r="M7" s="214"/>
      <c r="N7" s="214"/>
      <c r="O7" s="214"/>
    </row>
    <row r="8" spans="1:15" ht="18" x14ac:dyDescent="0.25">
      <c r="A8" s="331" t="s">
        <v>6</v>
      </c>
      <c r="B8" s="331"/>
      <c r="C8" s="331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</row>
    <row r="9" spans="1:15" ht="18" customHeight="1" x14ac:dyDescent="0.25">
      <c r="A9" s="317" t="s">
        <v>7</v>
      </c>
      <c r="B9" s="500" t="s">
        <v>8</v>
      </c>
      <c r="C9" s="500"/>
      <c r="D9" s="317" t="s">
        <v>9</v>
      </c>
      <c r="E9" s="317" t="s">
        <v>10</v>
      </c>
      <c r="F9" s="489" t="s">
        <v>11</v>
      </c>
      <c r="G9" s="489" t="s">
        <v>12</v>
      </c>
      <c r="H9" s="317" t="s">
        <v>13</v>
      </c>
      <c r="I9" s="317"/>
      <c r="J9" s="317" t="s">
        <v>15</v>
      </c>
      <c r="K9" s="317" t="s">
        <v>16</v>
      </c>
      <c r="L9" s="494" t="s">
        <v>17</v>
      </c>
      <c r="M9" s="494"/>
      <c r="N9" s="494"/>
      <c r="O9" s="317" t="s">
        <v>18</v>
      </c>
    </row>
    <row r="10" spans="1:15" ht="18" customHeight="1" x14ac:dyDescent="0.25">
      <c r="A10" s="490" t="s">
        <v>19</v>
      </c>
      <c r="B10" s="495" t="s">
        <v>20</v>
      </c>
      <c r="C10" s="496"/>
      <c r="D10" s="490" t="s">
        <v>21</v>
      </c>
      <c r="E10" s="490" t="s">
        <v>22</v>
      </c>
      <c r="F10" s="490"/>
      <c r="G10" s="490"/>
      <c r="H10" s="319" t="s">
        <v>23</v>
      </c>
      <c r="I10" s="319" t="s">
        <v>544</v>
      </c>
      <c r="J10" s="319" t="s">
        <v>24</v>
      </c>
      <c r="K10" s="319" t="s">
        <v>25</v>
      </c>
      <c r="L10" s="319" t="s">
        <v>26</v>
      </c>
      <c r="M10" s="319" t="s">
        <v>27</v>
      </c>
      <c r="N10" s="319" t="s">
        <v>28</v>
      </c>
      <c r="O10" s="481" t="s">
        <v>29</v>
      </c>
    </row>
    <row r="11" spans="1:15" ht="18" customHeight="1" x14ac:dyDescent="0.25">
      <c r="A11" s="491"/>
      <c r="B11" s="497"/>
      <c r="C11" s="498"/>
      <c r="D11" s="491"/>
      <c r="E11" s="491"/>
      <c r="F11" s="491"/>
      <c r="G11" s="491"/>
      <c r="H11" s="318" t="s">
        <v>30</v>
      </c>
      <c r="I11" s="318"/>
      <c r="J11" s="318" t="s">
        <v>31</v>
      </c>
      <c r="K11" s="318" t="s">
        <v>32</v>
      </c>
      <c r="L11" s="318" t="s">
        <v>33</v>
      </c>
      <c r="M11" s="318" t="s">
        <v>34</v>
      </c>
      <c r="N11" s="318" t="s">
        <v>35</v>
      </c>
      <c r="O11" s="482"/>
    </row>
    <row r="12" spans="1:15" ht="18" customHeight="1" x14ac:dyDescent="0.25">
      <c r="A12" s="263">
        <v>1</v>
      </c>
      <c r="B12" s="483">
        <v>2</v>
      </c>
      <c r="C12" s="484"/>
      <c r="D12" s="315">
        <v>3</v>
      </c>
      <c r="E12" s="315">
        <v>4</v>
      </c>
      <c r="F12" s="316">
        <v>5</v>
      </c>
      <c r="G12" s="316">
        <v>6</v>
      </c>
      <c r="H12" s="319">
        <v>7</v>
      </c>
      <c r="I12" s="319">
        <v>8</v>
      </c>
      <c r="J12" s="319">
        <v>9</v>
      </c>
      <c r="K12" s="319">
        <v>10</v>
      </c>
      <c r="L12" s="319">
        <v>11</v>
      </c>
      <c r="M12" s="319">
        <v>12</v>
      </c>
      <c r="N12" s="319">
        <v>13</v>
      </c>
      <c r="O12" s="315">
        <v>14</v>
      </c>
    </row>
    <row r="13" spans="1:15" ht="36" customHeight="1" x14ac:dyDescent="0.25">
      <c r="A13" s="266">
        <v>1</v>
      </c>
      <c r="B13" s="492" t="s">
        <v>99</v>
      </c>
      <c r="C13" s="493"/>
      <c r="D13" s="267" t="s">
        <v>233</v>
      </c>
      <c r="E13" s="268"/>
      <c r="F13" s="268"/>
      <c r="G13" s="266" t="s">
        <v>56</v>
      </c>
      <c r="H13" s="266">
        <v>1992</v>
      </c>
      <c r="I13" s="266" t="s">
        <v>101</v>
      </c>
      <c r="J13" s="269" t="s">
        <v>43</v>
      </c>
      <c r="K13" s="281">
        <v>1225000</v>
      </c>
      <c r="L13" s="266"/>
      <c r="M13" s="282" t="s">
        <v>27</v>
      </c>
      <c r="N13" s="268"/>
      <c r="O13" s="268"/>
    </row>
    <row r="14" spans="1:15" ht="18" customHeight="1" x14ac:dyDescent="0.25">
      <c r="A14" s="266">
        <f>A13+1</f>
        <v>2</v>
      </c>
      <c r="B14" s="492" t="s">
        <v>99</v>
      </c>
      <c r="C14" s="493"/>
      <c r="D14" s="267" t="s">
        <v>205</v>
      </c>
      <c r="E14" s="268"/>
      <c r="F14" s="268"/>
      <c r="G14" s="266" t="s">
        <v>56</v>
      </c>
      <c r="H14" s="266">
        <v>1992</v>
      </c>
      <c r="I14" s="266" t="s">
        <v>101</v>
      </c>
      <c r="J14" s="269" t="s">
        <v>54</v>
      </c>
      <c r="K14" s="281">
        <v>1225000</v>
      </c>
      <c r="L14" s="266"/>
      <c r="M14" s="282" t="s">
        <v>27</v>
      </c>
      <c r="N14" s="268"/>
      <c r="O14" s="268"/>
    </row>
    <row r="15" spans="1:15" ht="18" customHeight="1" x14ac:dyDescent="0.25">
      <c r="A15" s="266">
        <f t="shared" ref="A15:A23" si="0">A14+1</f>
        <v>3</v>
      </c>
      <c r="B15" s="492" t="s">
        <v>99</v>
      </c>
      <c r="C15" s="493"/>
      <c r="D15" s="267" t="s">
        <v>205</v>
      </c>
      <c r="E15" s="268"/>
      <c r="F15" s="268"/>
      <c r="G15" s="266" t="s">
        <v>56</v>
      </c>
      <c r="H15" s="266">
        <v>1994</v>
      </c>
      <c r="I15" s="266" t="s">
        <v>101</v>
      </c>
      <c r="J15" s="269" t="s">
        <v>125</v>
      </c>
      <c r="K15" s="281">
        <v>1225000</v>
      </c>
      <c r="L15" s="266"/>
      <c r="M15" s="282" t="s">
        <v>27</v>
      </c>
      <c r="N15" s="268"/>
      <c r="O15" s="268"/>
    </row>
    <row r="16" spans="1:15" ht="18" customHeight="1" x14ac:dyDescent="0.25">
      <c r="A16" s="266">
        <f t="shared" si="0"/>
        <v>4</v>
      </c>
      <c r="B16" s="492" t="s">
        <v>99</v>
      </c>
      <c r="C16" s="493"/>
      <c r="D16" s="267" t="s">
        <v>235</v>
      </c>
      <c r="E16" s="268"/>
      <c r="F16" s="268"/>
      <c r="G16" s="266" t="s">
        <v>56</v>
      </c>
      <c r="H16" s="266">
        <v>2009</v>
      </c>
      <c r="I16" s="266" t="s">
        <v>101</v>
      </c>
      <c r="J16" s="269" t="s">
        <v>110</v>
      </c>
      <c r="K16" s="281">
        <v>2500000</v>
      </c>
      <c r="L16" s="266" t="s">
        <v>26</v>
      </c>
      <c r="M16" s="268"/>
      <c r="N16" s="268"/>
      <c r="O16" s="268"/>
    </row>
    <row r="17" spans="1:15" ht="36" x14ac:dyDescent="0.25">
      <c r="A17" s="266">
        <f t="shared" si="0"/>
        <v>5</v>
      </c>
      <c r="B17" s="492" t="s">
        <v>99</v>
      </c>
      <c r="C17" s="493"/>
      <c r="D17" s="267" t="s">
        <v>216</v>
      </c>
      <c r="E17" s="268"/>
      <c r="F17" s="268"/>
      <c r="G17" s="266" t="s">
        <v>56</v>
      </c>
      <c r="H17" s="266">
        <v>2014</v>
      </c>
      <c r="I17" s="266" t="s">
        <v>101</v>
      </c>
      <c r="J17" s="269" t="s">
        <v>83</v>
      </c>
      <c r="K17" s="281">
        <v>3669674</v>
      </c>
      <c r="L17" s="266" t="s">
        <v>26</v>
      </c>
      <c r="M17" s="268"/>
      <c r="N17" s="268"/>
      <c r="O17" s="268"/>
    </row>
    <row r="18" spans="1:15" ht="33.75" customHeight="1" x14ac:dyDescent="0.25">
      <c r="A18" s="266">
        <f t="shared" si="0"/>
        <v>6</v>
      </c>
      <c r="B18" s="492" t="s">
        <v>154</v>
      </c>
      <c r="C18" s="493"/>
      <c r="D18" s="267" t="s">
        <v>298</v>
      </c>
      <c r="E18" s="268"/>
      <c r="F18" s="268"/>
      <c r="G18" s="266" t="s">
        <v>218</v>
      </c>
      <c r="H18" s="266">
        <v>2010</v>
      </c>
      <c r="I18" s="266" t="s">
        <v>155</v>
      </c>
      <c r="J18" s="269" t="s">
        <v>125</v>
      </c>
      <c r="K18" s="281">
        <v>900000</v>
      </c>
      <c r="L18" s="266" t="s">
        <v>26</v>
      </c>
      <c r="M18" s="268"/>
      <c r="N18" s="268"/>
      <c r="O18" s="268"/>
    </row>
    <row r="19" spans="1:15" ht="54" customHeight="1" x14ac:dyDescent="0.25">
      <c r="A19" s="266">
        <f t="shared" si="0"/>
        <v>7</v>
      </c>
      <c r="B19" s="492" t="s">
        <v>154</v>
      </c>
      <c r="C19" s="493"/>
      <c r="D19" s="267" t="s">
        <v>330</v>
      </c>
      <c r="E19" s="268"/>
      <c r="F19" s="268"/>
      <c r="G19" s="266" t="s">
        <v>42</v>
      </c>
      <c r="H19" s="266">
        <v>2011</v>
      </c>
      <c r="I19" s="266" t="s">
        <v>155</v>
      </c>
      <c r="J19" s="269" t="s">
        <v>74</v>
      </c>
      <c r="K19" s="281">
        <v>892500</v>
      </c>
      <c r="L19" s="266" t="s">
        <v>26</v>
      </c>
      <c r="M19" s="268"/>
      <c r="N19" s="268"/>
      <c r="O19" s="268"/>
    </row>
    <row r="20" spans="1:15" ht="33.75" customHeight="1" x14ac:dyDescent="0.25">
      <c r="A20" s="266">
        <f>A19+1</f>
        <v>8</v>
      </c>
      <c r="B20" s="487" t="s">
        <v>455</v>
      </c>
      <c r="C20" s="488"/>
      <c r="D20" s="271" t="s">
        <v>477</v>
      </c>
      <c r="E20" s="272"/>
      <c r="F20" s="272"/>
      <c r="G20" s="340" t="s">
        <v>50</v>
      </c>
      <c r="H20" s="273">
        <v>2019</v>
      </c>
      <c r="I20" s="273" t="s">
        <v>456</v>
      </c>
      <c r="J20" s="274" t="s">
        <v>54</v>
      </c>
      <c r="K20" s="341">
        <v>4630687</v>
      </c>
      <c r="L20" s="273" t="s">
        <v>26</v>
      </c>
      <c r="M20" s="342"/>
      <c r="N20" s="342"/>
      <c r="O20" s="342"/>
    </row>
    <row r="21" spans="1:15" ht="110.1" customHeight="1" x14ac:dyDescent="0.25">
      <c r="A21" s="266">
        <f t="shared" si="0"/>
        <v>9</v>
      </c>
      <c r="B21" s="492" t="s">
        <v>133</v>
      </c>
      <c r="C21" s="493"/>
      <c r="D21" s="267" t="s">
        <v>299</v>
      </c>
      <c r="E21" s="268"/>
      <c r="F21" s="268"/>
      <c r="G21" s="282" t="s">
        <v>50</v>
      </c>
      <c r="H21" s="266">
        <v>2013</v>
      </c>
      <c r="I21" s="266" t="s">
        <v>136</v>
      </c>
      <c r="J21" s="269" t="s">
        <v>149</v>
      </c>
      <c r="K21" s="281">
        <v>3922641.51</v>
      </c>
      <c r="L21" s="266" t="s">
        <v>26</v>
      </c>
      <c r="M21" s="268"/>
      <c r="N21" s="268"/>
      <c r="O21" s="268"/>
    </row>
    <row r="22" spans="1:15" ht="36" customHeight="1" x14ac:dyDescent="0.25">
      <c r="A22" s="266">
        <f t="shared" si="0"/>
        <v>10</v>
      </c>
      <c r="B22" s="492" t="s">
        <v>142</v>
      </c>
      <c r="C22" s="493"/>
      <c r="D22" s="267" t="s">
        <v>271</v>
      </c>
      <c r="E22" s="268"/>
      <c r="F22" s="268"/>
      <c r="G22" s="282" t="s">
        <v>42</v>
      </c>
      <c r="H22" s="266">
        <v>2009</v>
      </c>
      <c r="I22" s="266" t="s">
        <v>144</v>
      </c>
      <c r="J22" s="269" t="s">
        <v>89</v>
      </c>
      <c r="K22" s="281">
        <v>400000</v>
      </c>
      <c r="L22" s="266" t="s">
        <v>26</v>
      </c>
      <c r="M22" s="268"/>
      <c r="N22" s="268"/>
      <c r="O22" s="267"/>
    </row>
    <row r="23" spans="1:15" ht="54" x14ac:dyDescent="0.25">
      <c r="A23" s="266">
        <f t="shared" si="0"/>
        <v>11</v>
      </c>
      <c r="B23" s="492" t="s">
        <v>146</v>
      </c>
      <c r="C23" s="493"/>
      <c r="D23" s="267" t="s">
        <v>300</v>
      </c>
      <c r="E23" s="268"/>
      <c r="F23" s="268"/>
      <c r="G23" s="282" t="s">
        <v>42</v>
      </c>
      <c r="H23" s="266">
        <v>2017</v>
      </c>
      <c r="I23" s="266" t="s">
        <v>147</v>
      </c>
      <c r="J23" s="269" t="s">
        <v>110</v>
      </c>
      <c r="K23" s="281">
        <v>1066031</v>
      </c>
      <c r="L23" s="266" t="s">
        <v>26</v>
      </c>
      <c r="M23" s="268"/>
      <c r="N23" s="268"/>
      <c r="O23" s="268"/>
    </row>
    <row r="24" spans="1:15" ht="18" x14ac:dyDescent="0.25">
      <c r="A24" s="214"/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</row>
    <row r="25" spans="1:15" ht="18" x14ac:dyDescent="0.25">
      <c r="A25" s="214"/>
      <c r="B25" s="214"/>
      <c r="C25" s="583" t="s">
        <v>36</v>
      </c>
      <c r="D25" s="213"/>
      <c r="E25" s="213"/>
      <c r="F25" s="213"/>
      <c r="G25" s="213"/>
      <c r="H25" s="213"/>
      <c r="I25" s="213"/>
      <c r="J25" s="213"/>
      <c r="K25" s="213"/>
      <c r="L25" s="583" t="s">
        <v>578</v>
      </c>
      <c r="M25" s="213"/>
      <c r="N25" s="214"/>
      <c r="O25" s="214"/>
    </row>
    <row r="26" spans="1:15" ht="18" x14ac:dyDescent="0.25">
      <c r="A26" s="214"/>
      <c r="B26" s="214"/>
      <c r="C26" s="277"/>
      <c r="D26" s="214"/>
      <c r="E26" s="214"/>
      <c r="F26" s="214"/>
      <c r="G26" s="214"/>
      <c r="H26" s="214"/>
      <c r="I26" s="214"/>
      <c r="J26" s="214"/>
      <c r="K26" s="214"/>
      <c r="L26" s="277"/>
      <c r="M26" s="214"/>
      <c r="N26" s="214"/>
      <c r="O26" s="214"/>
    </row>
    <row r="27" spans="1:15" ht="18" x14ac:dyDescent="0.25">
      <c r="A27" s="214"/>
      <c r="B27" s="214"/>
      <c r="C27" s="5" t="s">
        <v>572</v>
      </c>
      <c r="D27" s="214"/>
      <c r="E27" s="214"/>
      <c r="F27" s="214"/>
      <c r="G27" s="214"/>
      <c r="H27" s="214"/>
      <c r="I27" s="214"/>
      <c r="J27" s="214"/>
      <c r="K27" s="214"/>
      <c r="L27" s="5" t="s">
        <v>580</v>
      </c>
      <c r="M27" s="214"/>
      <c r="N27" s="214"/>
      <c r="O27" s="214"/>
    </row>
    <row r="28" spans="1:15" ht="18" x14ac:dyDescent="0.25">
      <c r="A28" s="214"/>
      <c r="B28" s="214"/>
      <c r="C28" s="5"/>
      <c r="D28" s="214"/>
      <c r="E28" s="214"/>
      <c r="F28" s="214"/>
      <c r="G28" s="214"/>
      <c r="H28" s="214"/>
      <c r="I28" s="214"/>
      <c r="J28" s="214"/>
      <c r="K28" s="214"/>
      <c r="L28" s="5"/>
      <c r="M28" s="214"/>
      <c r="N28" s="214"/>
      <c r="O28" s="214"/>
    </row>
    <row r="29" spans="1:15" ht="18" x14ac:dyDescent="0.25">
      <c r="A29" s="214"/>
      <c r="B29" s="214"/>
      <c r="C29" s="5"/>
      <c r="D29" s="214"/>
      <c r="E29" s="214"/>
      <c r="F29" s="214"/>
      <c r="G29" s="214"/>
      <c r="H29" s="214"/>
      <c r="I29" s="214"/>
      <c r="J29" s="214"/>
      <c r="K29" s="214"/>
      <c r="L29" s="5"/>
      <c r="M29" s="214"/>
      <c r="N29" s="214"/>
      <c r="O29" s="214"/>
    </row>
    <row r="30" spans="1:15" ht="18" x14ac:dyDescent="0.25">
      <c r="A30" s="214"/>
      <c r="B30" s="214"/>
      <c r="C30" s="5"/>
      <c r="D30" s="214"/>
      <c r="E30" s="214"/>
      <c r="F30" s="214"/>
      <c r="G30" s="214"/>
      <c r="H30" s="214"/>
      <c r="I30" s="214"/>
      <c r="J30" s="214"/>
      <c r="K30" s="214"/>
      <c r="L30" s="5"/>
      <c r="M30" s="214"/>
      <c r="N30" s="214"/>
      <c r="O30" s="214"/>
    </row>
    <row r="31" spans="1:15" ht="18" x14ac:dyDescent="0.25">
      <c r="A31" s="214"/>
      <c r="B31" s="214"/>
      <c r="C31" s="6" t="s">
        <v>573</v>
      </c>
      <c r="D31" s="214"/>
      <c r="E31" s="214"/>
      <c r="F31" s="214"/>
      <c r="G31" s="214"/>
      <c r="H31" s="214"/>
      <c r="I31" s="214"/>
      <c r="J31" s="214"/>
      <c r="K31" s="214"/>
      <c r="L31" s="6" t="s">
        <v>576</v>
      </c>
      <c r="M31" s="214"/>
      <c r="N31" s="214"/>
      <c r="O31" s="214"/>
    </row>
    <row r="32" spans="1:15" ht="18" x14ac:dyDescent="0.25">
      <c r="A32" s="214"/>
      <c r="B32" s="214"/>
      <c r="C32" s="5" t="s">
        <v>39</v>
      </c>
      <c r="D32" s="214"/>
      <c r="E32" s="214"/>
      <c r="F32" s="214"/>
      <c r="G32" s="214"/>
      <c r="H32" s="214"/>
      <c r="I32" s="214"/>
      <c r="J32" s="214"/>
      <c r="K32" s="214"/>
      <c r="L32" s="23" t="s">
        <v>577</v>
      </c>
      <c r="M32" s="214"/>
      <c r="N32" s="214"/>
      <c r="O32" s="214"/>
    </row>
    <row r="33" spans="1:15" ht="18" x14ac:dyDescent="0.25">
      <c r="A33" s="214"/>
      <c r="B33" s="214"/>
      <c r="C33" s="23" t="s">
        <v>574</v>
      </c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</row>
    <row r="34" spans="1:15" x14ac:dyDescent="0.25">
      <c r="K34" s="24"/>
    </row>
    <row r="35" spans="1:15" x14ac:dyDescent="0.25">
      <c r="B35" s="21"/>
      <c r="K35" s="25"/>
    </row>
    <row r="36" spans="1:15" x14ac:dyDescent="0.25">
      <c r="B36" s="22"/>
    </row>
    <row r="37" spans="1:15" x14ac:dyDescent="0.25">
      <c r="B37" s="22"/>
    </row>
  </sheetData>
  <mergeCells count="25">
    <mergeCell ref="A3:B3"/>
    <mergeCell ref="A4:B4"/>
    <mergeCell ref="A5:B5"/>
    <mergeCell ref="A6:B6"/>
    <mergeCell ref="B9:C9"/>
    <mergeCell ref="A10:A11"/>
    <mergeCell ref="B10:C11"/>
    <mergeCell ref="D10:D11"/>
    <mergeCell ref="E10:E11"/>
    <mergeCell ref="F9:F11"/>
    <mergeCell ref="B22:C22"/>
    <mergeCell ref="B21:C21"/>
    <mergeCell ref="B23:C23"/>
    <mergeCell ref="B19:C19"/>
    <mergeCell ref="O10:O11"/>
    <mergeCell ref="B12:C12"/>
    <mergeCell ref="B13:C13"/>
    <mergeCell ref="B14:C14"/>
    <mergeCell ref="B15:C15"/>
    <mergeCell ref="G9:G11"/>
    <mergeCell ref="L9:N9"/>
    <mergeCell ref="B20:C20"/>
    <mergeCell ref="B16:C16"/>
    <mergeCell ref="B17:C17"/>
    <mergeCell ref="B18:C18"/>
  </mergeCells>
  <printOptions horizontalCentered="1"/>
  <pageMargins left="0.11811023622047245" right="0.35433070866141736" top="0.19685039370078741" bottom="0.15748031496062992" header="0" footer="0"/>
  <pageSetup paperSize="5" scale="65" orientation="landscape" horizontalDpi="4294967293" verticalDpi="180" r:id="rId1"/>
  <headerFooter alignWithMargins="0">
    <oddFooter>&amp;L&amp;9&amp;F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O45"/>
  <sheetViews>
    <sheetView view="pageBreakPreview" topLeftCell="A19" zoomScaleNormal="55" workbookViewId="0">
      <selection activeCell="O26" sqref="O26"/>
    </sheetView>
  </sheetViews>
  <sheetFormatPr defaultRowHeight="15.75" x14ac:dyDescent="0.25"/>
  <cols>
    <col min="1" max="1" width="5.875" customWidth="1"/>
    <col min="2" max="2" width="7" customWidth="1"/>
    <col min="3" max="4" width="17.75" customWidth="1"/>
    <col min="5" max="5" width="11.25" customWidth="1"/>
    <col min="6" max="6" width="11.5" customWidth="1"/>
    <col min="7" max="7" width="14.625" customWidth="1"/>
    <col min="8" max="8" width="18.5" customWidth="1"/>
    <col min="9" max="9" width="20.25" customWidth="1"/>
    <col min="10" max="10" width="13.625" customWidth="1"/>
    <col min="11" max="11" width="17.375" customWidth="1"/>
    <col min="13" max="13" width="14.875" customWidth="1"/>
    <col min="14" max="14" width="15.375" customWidth="1"/>
    <col min="15" max="15" width="14.625" customWidth="1"/>
    <col min="258" max="258" width="7" customWidth="1"/>
    <col min="259" max="259" width="17.75" customWidth="1"/>
    <col min="260" max="260" width="10.875" customWidth="1"/>
    <col min="261" max="261" width="11.25" customWidth="1"/>
    <col min="262" max="262" width="11.5" customWidth="1"/>
    <col min="263" max="263" width="11.625" customWidth="1"/>
    <col min="264" max="264" width="15.5" customWidth="1"/>
    <col min="265" max="265" width="18.75" customWidth="1"/>
    <col min="266" max="266" width="15.375" customWidth="1"/>
    <col min="267" max="267" width="15.125" customWidth="1"/>
    <col min="269" max="269" width="11" customWidth="1"/>
    <col min="270" max="270" width="10.625" customWidth="1"/>
    <col min="271" max="271" width="9.625" customWidth="1"/>
    <col min="514" max="514" width="7" customWidth="1"/>
    <col min="515" max="515" width="17.75" customWidth="1"/>
    <col min="516" max="516" width="10.875" customWidth="1"/>
    <col min="517" max="517" width="11.25" customWidth="1"/>
    <col min="518" max="518" width="11.5" customWidth="1"/>
    <col min="519" max="519" width="11.625" customWidth="1"/>
    <col min="520" max="520" width="15.5" customWidth="1"/>
    <col min="521" max="521" width="18.75" customWidth="1"/>
    <col min="522" max="522" width="15.375" customWidth="1"/>
    <col min="523" max="523" width="15.125" customWidth="1"/>
    <col min="525" max="525" width="11" customWidth="1"/>
    <col min="526" max="526" width="10.625" customWidth="1"/>
    <col min="527" max="527" width="9.625" customWidth="1"/>
    <col min="770" max="770" width="7" customWidth="1"/>
    <col min="771" max="771" width="17.75" customWidth="1"/>
    <col min="772" max="772" width="10.875" customWidth="1"/>
    <col min="773" max="773" width="11.25" customWidth="1"/>
    <col min="774" max="774" width="11.5" customWidth="1"/>
    <col min="775" max="775" width="11.625" customWidth="1"/>
    <col min="776" max="776" width="15.5" customWidth="1"/>
    <col min="777" max="777" width="18.75" customWidth="1"/>
    <col min="778" max="778" width="15.375" customWidth="1"/>
    <col min="779" max="779" width="15.125" customWidth="1"/>
    <col min="781" max="781" width="11" customWidth="1"/>
    <col min="782" max="782" width="10.625" customWidth="1"/>
    <col min="783" max="783" width="9.625" customWidth="1"/>
    <col min="1026" max="1026" width="7" customWidth="1"/>
    <col min="1027" max="1027" width="17.75" customWidth="1"/>
    <col min="1028" max="1028" width="10.875" customWidth="1"/>
    <col min="1029" max="1029" width="11.25" customWidth="1"/>
    <col min="1030" max="1030" width="11.5" customWidth="1"/>
    <col min="1031" max="1031" width="11.625" customWidth="1"/>
    <col min="1032" max="1032" width="15.5" customWidth="1"/>
    <col min="1033" max="1033" width="18.75" customWidth="1"/>
    <col min="1034" max="1034" width="15.375" customWidth="1"/>
    <col min="1035" max="1035" width="15.125" customWidth="1"/>
    <col min="1037" max="1037" width="11" customWidth="1"/>
    <col min="1038" max="1038" width="10.625" customWidth="1"/>
    <col min="1039" max="1039" width="9.625" customWidth="1"/>
    <col min="1282" max="1282" width="7" customWidth="1"/>
    <col min="1283" max="1283" width="17.75" customWidth="1"/>
    <col min="1284" max="1284" width="10.875" customWidth="1"/>
    <col min="1285" max="1285" width="11.25" customWidth="1"/>
    <col min="1286" max="1286" width="11.5" customWidth="1"/>
    <col min="1287" max="1287" width="11.625" customWidth="1"/>
    <col min="1288" max="1288" width="15.5" customWidth="1"/>
    <col min="1289" max="1289" width="18.75" customWidth="1"/>
    <col min="1290" max="1290" width="15.375" customWidth="1"/>
    <col min="1291" max="1291" width="15.125" customWidth="1"/>
    <col min="1293" max="1293" width="11" customWidth="1"/>
    <col min="1294" max="1294" width="10.625" customWidth="1"/>
    <col min="1295" max="1295" width="9.625" customWidth="1"/>
    <col min="1538" max="1538" width="7" customWidth="1"/>
    <col min="1539" max="1539" width="17.75" customWidth="1"/>
    <col min="1540" max="1540" width="10.875" customWidth="1"/>
    <col min="1541" max="1541" width="11.25" customWidth="1"/>
    <col min="1542" max="1542" width="11.5" customWidth="1"/>
    <col min="1543" max="1543" width="11.625" customWidth="1"/>
    <col min="1544" max="1544" width="15.5" customWidth="1"/>
    <col min="1545" max="1545" width="18.75" customWidth="1"/>
    <col min="1546" max="1546" width="15.375" customWidth="1"/>
    <col min="1547" max="1547" width="15.125" customWidth="1"/>
    <col min="1549" max="1549" width="11" customWidth="1"/>
    <col min="1550" max="1550" width="10.625" customWidth="1"/>
    <col min="1551" max="1551" width="9.625" customWidth="1"/>
    <col min="1794" max="1794" width="7" customWidth="1"/>
    <col min="1795" max="1795" width="17.75" customWidth="1"/>
    <col min="1796" max="1796" width="10.875" customWidth="1"/>
    <col min="1797" max="1797" width="11.25" customWidth="1"/>
    <col min="1798" max="1798" width="11.5" customWidth="1"/>
    <col min="1799" max="1799" width="11.625" customWidth="1"/>
    <col min="1800" max="1800" width="15.5" customWidth="1"/>
    <col min="1801" max="1801" width="18.75" customWidth="1"/>
    <col min="1802" max="1802" width="15.375" customWidth="1"/>
    <col min="1803" max="1803" width="15.125" customWidth="1"/>
    <col min="1805" max="1805" width="11" customWidth="1"/>
    <col min="1806" max="1806" width="10.625" customWidth="1"/>
    <col min="1807" max="1807" width="9.625" customWidth="1"/>
    <col min="2050" max="2050" width="7" customWidth="1"/>
    <col min="2051" max="2051" width="17.75" customWidth="1"/>
    <col min="2052" max="2052" width="10.875" customWidth="1"/>
    <col min="2053" max="2053" width="11.25" customWidth="1"/>
    <col min="2054" max="2054" width="11.5" customWidth="1"/>
    <col min="2055" max="2055" width="11.625" customWidth="1"/>
    <col min="2056" max="2056" width="15.5" customWidth="1"/>
    <col min="2057" max="2057" width="18.75" customWidth="1"/>
    <col min="2058" max="2058" width="15.375" customWidth="1"/>
    <col min="2059" max="2059" width="15.125" customWidth="1"/>
    <col min="2061" max="2061" width="11" customWidth="1"/>
    <col min="2062" max="2062" width="10.625" customWidth="1"/>
    <col min="2063" max="2063" width="9.625" customWidth="1"/>
    <col min="2306" max="2306" width="7" customWidth="1"/>
    <col min="2307" max="2307" width="17.75" customWidth="1"/>
    <col min="2308" max="2308" width="10.875" customWidth="1"/>
    <col min="2309" max="2309" width="11.25" customWidth="1"/>
    <col min="2310" max="2310" width="11.5" customWidth="1"/>
    <col min="2311" max="2311" width="11.625" customWidth="1"/>
    <col min="2312" max="2312" width="15.5" customWidth="1"/>
    <col min="2313" max="2313" width="18.75" customWidth="1"/>
    <col min="2314" max="2314" width="15.375" customWidth="1"/>
    <col min="2315" max="2315" width="15.125" customWidth="1"/>
    <col min="2317" max="2317" width="11" customWidth="1"/>
    <col min="2318" max="2318" width="10.625" customWidth="1"/>
    <col min="2319" max="2319" width="9.625" customWidth="1"/>
    <col min="2562" max="2562" width="7" customWidth="1"/>
    <col min="2563" max="2563" width="17.75" customWidth="1"/>
    <col min="2564" max="2564" width="10.875" customWidth="1"/>
    <col min="2565" max="2565" width="11.25" customWidth="1"/>
    <col min="2566" max="2566" width="11.5" customWidth="1"/>
    <col min="2567" max="2567" width="11.625" customWidth="1"/>
    <col min="2568" max="2568" width="15.5" customWidth="1"/>
    <col min="2569" max="2569" width="18.75" customWidth="1"/>
    <col min="2570" max="2570" width="15.375" customWidth="1"/>
    <col min="2571" max="2571" width="15.125" customWidth="1"/>
    <col min="2573" max="2573" width="11" customWidth="1"/>
    <col min="2574" max="2574" width="10.625" customWidth="1"/>
    <col min="2575" max="2575" width="9.625" customWidth="1"/>
    <col min="2818" max="2818" width="7" customWidth="1"/>
    <col min="2819" max="2819" width="17.75" customWidth="1"/>
    <col min="2820" max="2820" width="10.875" customWidth="1"/>
    <col min="2821" max="2821" width="11.25" customWidth="1"/>
    <col min="2822" max="2822" width="11.5" customWidth="1"/>
    <col min="2823" max="2823" width="11.625" customWidth="1"/>
    <col min="2824" max="2824" width="15.5" customWidth="1"/>
    <col min="2825" max="2825" width="18.75" customWidth="1"/>
    <col min="2826" max="2826" width="15.375" customWidth="1"/>
    <col min="2827" max="2827" width="15.125" customWidth="1"/>
    <col min="2829" max="2829" width="11" customWidth="1"/>
    <col min="2830" max="2830" width="10.625" customWidth="1"/>
    <col min="2831" max="2831" width="9.625" customWidth="1"/>
    <col min="3074" max="3074" width="7" customWidth="1"/>
    <col min="3075" max="3075" width="17.75" customWidth="1"/>
    <col min="3076" max="3076" width="10.875" customWidth="1"/>
    <col min="3077" max="3077" width="11.25" customWidth="1"/>
    <col min="3078" max="3078" width="11.5" customWidth="1"/>
    <col min="3079" max="3079" width="11.625" customWidth="1"/>
    <col min="3080" max="3080" width="15.5" customWidth="1"/>
    <col min="3081" max="3081" width="18.75" customWidth="1"/>
    <col min="3082" max="3082" width="15.375" customWidth="1"/>
    <col min="3083" max="3083" width="15.125" customWidth="1"/>
    <col min="3085" max="3085" width="11" customWidth="1"/>
    <col min="3086" max="3086" width="10.625" customWidth="1"/>
    <col min="3087" max="3087" width="9.625" customWidth="1"/>
    <col min="3330" max="3330" width="7" customWidth="1"/>
    <col min="3331" max="3331" width="17.75" customWidth="1"/>
    <col min="3332" max="3332" width="10.875" customWidth="1"/>
    <col min="3333" max="3333" width="11.25" customWidth="1"/>
    <col min="3334" max="3334" width="11.5" customWidth="1"/>
    <col min="3335" max="3335" width="11.625" customWidth="1"/>
    <col min="3336" max="3336" width="15.5" customWidth="1"/>
    <col min="3337" max="3337" width="18.75" customWidth="1"/>
    <col min="3338" max="3338" width="15.375" customWidth="1"/>
    <col min="3339" max="3339" width="15.125" customWidth="1"/>
    <col min="3341" max="3341" width="11" customWidth="1"/>
    <col min="3342" max="3342" width="10.625" customWidth="1"/>
    <col min="3343" max="3343" width="9.625" customWidth="1"/>
    <col min="3586" max="3586" width="7" customWidth="1"/>
    <col min="3587" max="3587" width="17.75" customWidth="1"/>
    <col min="3588" max="3588" width="10.875" customWidth="1"/>
    <col min="3589" max="3589" width="11.25" customWidth="1"/>
    <col min="3590" max="3590" width="11.5" customWidth="1"/>
    <col min="3591" max="3591" width="11.625" customWidth="1"/>
    <col min="3592" max="3592" width="15.5" customWidth="1"/>
    <col min="3593" max="3593" width="18.75" customWidth="1"/>
    <col min="3594" max="3594" width="15.375" customWidth="1"/>
    <col min="3595" max="3595" width="15.125" customWidth="1"/>
    <col min="3597" max="3597" width="11" customWidth="1"/>
    <col min="3598" max="3598" width="10.625" customWidth="1"/>
    <col min="3599" max="3599" width="9.625" customWidth="1"/>
    <col min="3842" max="3842" width="7" customWidth="1"/>
    <col min="3843" max="3843" width="17.75" customWidth="1"/>
    <col min="3844" max="3844" width="10.875" customWidth="1"/>
    <col min="3845" max="3845" width="11.25" customWidth="1"/>
    <col min="3846" max="3846" width="11.5" customWidth="1"/>
    <col min="3847" max="3847" width="11.625" customWidth="1"/>
    <col min="3848" max="3848" width="15.5" customWidth="1"/>
    <col min="3849" max="3849" width="18.75" customWidth="1"/>
    <col min="3850" max="3850" width="15.375" customWidth="1"/>
    <col min="3851" max="3851" width="15.125" customWidth="1"/>
    <col min="3853" max="3853" width="11" customWidth="1"/>
    <col min="3854" max="3854" width="10.625" customWidth="1"/>
    <col min="3855" max="3855" width="9.625" customWidth="1"/>
    <col min="4098" max="4098" width="7" customWidth="1"/>
    <col min="4099" max="4099" width="17.75" customWidth="1"/>
    <col min="4100" max="4100" width="10.875" customWidth="1"/>
    <col min="4101" max="4101" width="11.25" customWidth="1"/>
    <col min="4102" max="4102" width="11.5" customWidth="1"/>
    <col min="4103" max="4103" width="11.625" customWidth="1"/>
    <col min="4104" max="4104" width="15.5" customWidth="1"/>
    <col min="4105" max="4105" width="18.75" customWidth="1"/>
    <col min="4106" max="4106" width="15.375" customWidth="1"/>
    <col min="4107" max="4107" width="15.125" customWidth="1"/>
    <col min="4109" max="4109" width="11" customWidth="1"/>
    <col min="4110" max="4110" width="10.625" customWidth="1"/>
    <col min="4111" max="4111" width="9.625" customWidth="1"/>
    <col min="4354" max="4354" width="7" customWidth="1"/>
    <col min="4355" max="4355" width="17.75" customWidth="1"/>
    <col min="4356" max="4356" width="10.875" customWidth="1"/>
    <col min="4357" max="4357" width="11.25" customWidth="1"/>
    <col min="4358" max="4358" width="11.5" customWidth="1"/>
    <col min="4359" max="4359" width="11.625" customWidth="1"/>
    <col min="4360" max="4360" width="15.5" customWidth="1"/>
    <col min="4361" max="4361" width="18.75" customWidth="1"/>
    <col min="4362" max="4362" width="15.375" customWidth="1"/>
    <col min="4363" max="4363" width="15.125" customWidth="1"/>
    <col min="4365" max="4365" width="11" customWidth="1"/>
    <col min="4366" max="4366" width="10.625" customWidth="1"/>
    <col min="4367" max="4367" width="9.625" customWidth="1"/>
    <col min="4610" max="4610" width="7" customWidth="1"/>
    <col min="4611" max="4611" width="17.75" customWidth="1"/>
    <col min="4612" max="4612" width="10.875" customWidth="1"/>
    <col min="4613" max="4613" width="11.25" customWidth="1"/>
    <col min="4614" max="4614" width="11.5" customWidth="1"/>
    <col min="4615" max="4615" width="11.625" customWidth="1"/>
    <col min="4616" max="4616" width="15.5" customWidth="1"/>
    <col min="4617" max="4617" width="18.75" customWidth="1"/>
    <col min="4618" max="4618" width="15.375" customWidth="1"/>
    <col min="4619" max="4619" width="15.125" customWidth="1"/>
    <col min="4621" max="4621" width="11" customWidth="1"/>
    <col min="4622" max="4622" width="10.625" customWidth="1"/>
    <col min="4623" max="4623" width="9.625" customWidth="1"/>
    <col min="4866" max="4866" width="7" customWidth="1"/>
    <col min="4867" max="4867" width="17.75" customWidth="1"/>
    <col min="4868" max="4868" width="10.875" customWidth="1"/>
    <col min="4869" max="4869" width="11.25" customWidth="1"/>
    <col min="4870" max="4870" width="11.5" customWidth="1"/>
    <col min="4871" max="4871" width="11.625" customWidth="1"/>
    <col min="4872" max="4872" width="15.5" customWidth="1"/>
    <col min="4873" max="4873" width="18.75" customWidth="1"/>
    <col min="4874" max="4874" width="15.375" customWidth="1"/>
    <col min="4875" max="4875" width="15.125" customWidth="1"/>
    <col min="4877" max="4877" width="11" customWidth="1"/>
    <col min="4878" max="4878" width="10.625" customWidth="1"/>
    <col min="4879" max="4879" width="9.625" customWidth="1"/>
    <col min="5122" max="5122" width="7" customWidth="1"/>
    <col min="5123" max="5123" width="17.75" customWidth="1"/>
    <col min="5124" max="5124" width="10.875" customWidth="1"/>
    <col min="5125" max="5125" width="11.25" customWidth="1"/>
    <col min="5126" max="5126" width="11.5" customWidth="1"/>
    <col min="5127" max="5127" width="11.625" customWidth="1"/>
    <col min="5128" max="5128" width="15.5" customWidth="1"/>
    <col min="5129" max="5129" width="18.75" customWidth="1"/>
    <col min="5130" max="5130" width="15.375" customWidth="1"/>
    <col min="5131" max="5131" width="15.125" customWidth="1"/>
    <col min="5133" max="5133" width="11" customWidth="1"/>
    <col min="5134" max="5134" width="10.625" customWidth="1"/>
    <col min="5135" max="5135" width="9.625" customWidth="1"/>
    <col min="5378" max="5378" width="7" customWidth="1"/>
    <col min="5379" max="5379" width="17.75" customWidth="1"/>
    <col min="5380" max="5380" width="10.875" customWidth="1"/>
    <col min="5381" max="5381" width="11.25" customWidth="1"/>
    <col min="5382" max="5382" width="11.5" customWidth="1"/>
    <col min="5383" max="5383" width="11.625" customWidth="1"/>
    <col min="5384" max="5384" width="15.5" customWidth="1"/>
    <col min="5385" max="5385" width="18.75" customWidth="1"/>
    <col min="5386" max="5386" width="15.375" customWidth="1"/>
    <col min="5387" max="5387" width="15.125" customWidth="1"/>
    <col min="5389" max="5389" width="11" customWidth="1"/>
    <col min="5390" max="5390" width="10.625" customWidth="1"/>
    <col min="5391" max="5391" width="9.625" customWidth="1"/>
    <col min="5634" max="5634" width="7" customWidth="1"/>
    <col min="5635" max="5635" width="17.75" customWidth="1"/>
    <col min="5636" max="5636" width="10.875" customWidth="1"/>
    <col min="5637" max="5637" width="11.25" customWidth="1"/>
    <col min="5638" max="5638" width="11.5" customWidth="1"/>
    <col min="5639" max="5639" width="11.625" customWidth="1"/>
    <col min="5640" max="5640" width="15.5" customWidth="1"/>
    <col min="5641" max="5641" width="18.75" customWidth="1"/>
    <col min="5642" max="5642" width="15.375" customWidth="1"/>
    <col min="5643" max="5643" width="15.125" customWidth="1"/>
    <col min="5645" max="5645" width="11" customWidth="1"/>
    <col min="5646" max="5646" width="10.625" customWidth="1"/>
    <col min="5647" max="5647" width="9.625" customWidth="1"/>
    <col min="5890" max="5890" width="7" customWidth="1"/>
    <col min="5891" max="5891" width="17.75" customWidth="1"/>
    <col min="5892" max="5892" width="10.875" customWidth="1"/>
    <col min="5893" max="5893" width="11.25" customWidth="1"/>
    <col min="5894" max="5894" width="11.5" customWidth="1"/>
    <col min="5895" max="5895" width="11.625" customWidth="1"/>
    <col min="5896" max="5896" width="15.5" customWidth="1"/>
    <col min="5897" max="5897" width="18.75" customWidth="1"/>
    <col min="5898" max="5898" width="15.375" customWidth="1"/>
    <col min="5899" max="5899" width="15.125" customWidth="1"/>
    <col min="5901" max="5901" width="11" customWidth="1"/>
    <col min="5902" max="5902" width="10.625" customWidth="1"/>
    <col min="5903" max="5903" width="9.625" customWidth="1"/>
    <col min="6146" max="6146" width="7" customWidth="1"/>
    <col min="6147" max="6147" width="17.75" customWidth="1"/>
    <col min="6148" max="6148" width="10.875" customWidth="1"/>
    <col min="6149" max="6149" width="11.25" customWidth="1"/>
    <col min="6150" max="6150" width="11.5" customWidth="1"/>
    <col min="6151" max="6151" width="11.625" customWidth="1"/>
    <col min="6152" max="6152" width="15.5" customWidth="1"/>
    <col min="6153" max="6153" width="18.75" customWidth="1"/>
    <col min="6154" max="6154" width="15.375" customWidth="1"/>
    <col min="6155" max="6155" width="15.125" customWidth="1"/>
    <col min="6157" max="6157" width="11" customWidth="1"/>
    <col min="6158" max="6158" width="10.625" customWidth="1"/>
    <col min="6159" max="6159" width="9.625" customWidth="1"/>
    <col min="6402" max="6402" width="7" customWidth="1"/>
    <col min="6403" max="6403" width="17.75" customWidth="1"/>
    <col min="6404" max="6404" width="10.875" customWidth="1"/>
    <col min="6405" max="6405" width="11.25" customWidth="1"/>
    <col min="6406" max="6406" width="11.5" customWidth="1"/>
    <col min="6407" max="6407" width="11.625" customWidth="1"/>
    <col min="6408" max="6408" width="15.5" customWidth="1"/>
    <col min="6409" max="6409" width="18.75" customWidth="1"/>
    <col min="6410" max="6410" width="15.375" customWidth="1"/>
    <col min="6411" max="6411" width="15.125" customWidth="1"/>
    <col min="6413" max="6413" width="11" customWidth="1"/>
    <col min="6414" max="6414" width="10.625" customWidth="1"/>
    <col min="6415" max="6415" width="9.625" customWidth="1"/>
    <col min="6658" max="6658" width="7" customWidth="1"/>
    <col min="6659" max="6659" width="17.75" customWidth="1"/>
    <col min="6660" max="6660" width="10.875" customWidth="1"/>
    <col min="6661" max="6661" width="11.25" customWidth="1"/>
    <col min="6662" max="6662" width="11.5" customWidth="1"/>
    <col min="6663" max="6663" width="11.625" customWidth="1"/>
    <col min="6664" max="6664" width="15.5" customWidth="1"/>
    <col min="6665" max="6665" width="18.75" customWidth="1"/>
    <col min="6666" max="6666" width="15.375" customWidth="1"/>
    <col min="6667" max="6667" width="15.125" customWidth="1"/>
    <col min="6669" max="6669" width="11" customWidth="1"/>
    <col min="6670" max="6670" width="10.625" customWidth="1"/>
    <col min="6671" max="6671" width="9.625" customWidth="1"/>
    <col min="6914" max="6914" width="7" customWidth="1"/>
    <col min="6915" max="6915" width="17.75" customWidth="1"/>
    <col min="6916" max="6916" width="10.875" customWidth="1"/>
    <col min="6917" max="6917" width="11.25" customWidth="1"/>
    <col min="6918" max="6918" width="11.5" customWidth="1"/>
    <col min="6919" max="6919" width="11.625" customWidth="1"/>
    <col min="6920" max="6920" width="15.5" customWidth="1"/>
    <col min="6921" max="6921" width="18.75" customWidth="1"/>
    <col min="6922" max="6922" width="15.375" customWidth="1"/>
    <col min="6923" max="6923" width="15.125" customWidth="1"/>
    <col min="6925" max="6925" width="11" customWidth="1"/>
    <col min="6926" max="6926" width="10.625" customWidth="1"/>
    <col min="6927" max="6927" width="9.625" customWidth="1"/>
    <col min="7170" max="7170" width="7" customWidth="1"/>
    <col min="7171" max="7171" width="17.75" customWidth="1"/>
    <col min="7172" max="7172" width="10.875" customWidth="1"/>
    <col min="7173" max="7173" width="11.25" customWidth="1"/>
    <col min="7174" max="7174" width="11.5" customWidth="1"/>
    <col min="7175" max="7175" width="11.625" customWidth="1"/>
    <col min="7176" max="7176" width="15.5" customWidth="1"/>
    <col min="7177" max="7177" width="18.75" customWidth="1"/>
    <col min="7178" max="7178" width="15.375" customWidth="1"/>
    <col min="7179" max="7179" width="15.125" customWidth="1"/>
    <col min="7181" max="7181" width="11" customWidth="1"/>
    <col min="7182" max="7182" width="10.625" customWidth="1"/>
    <col min="7183" max="7183" width="9.625" customWidth="1"/>
    <col min="7426" max="7426" width="7" customWidth="1"/>
    <col min="7427" max="7427" width="17.75" customWidth="1"/>
    <col min="7428" max="7428" width="10.875" customWidth="1"/>
    <col min="7429" max="7429" width="11.25" customWidth="1"/>
    <col min="7430" max="7430" width="11.5" customWidth="1"/>
    <col min="7431" max="7431" width="11.625" customWidth="1"/>
    <col min="7432" max="7432" width="15.5" customWidth="1"/>
    <col min="7433" max="7433" width="18.75" customWidth="1"/>
    <col min="7434" max="7434" width="15.375" customWidth="1"/>
    <col min="7435" max="7435" width="15.125" customWidth="1"/>
    <col min="7437" max="7437" width="11" customWidth="1"/>
    <col min="7438" max="7438" width="10.625" customWidth="1"/>
    <col min="7439" max="7439" width="9.625" customWidth="1"/>
    <col min="7682" max="7682" width="7" customWidth="1"/>
    <col min="7683" max="7683" width="17.75" customWidth="1"/>
    <col min="7684" max="7684" width="10.875" customWidth="1"/>
    <col min="7685" max="7685" width="11.25" customWidth="1"/>
    <col min="7686" max="7686" width="11.5" customWidth="1"/>
    <col min="7687" max="7687" width="11.625" customWidth="1"/>
    <col min="7688" max="7688" width="15.5" customWidth="1"/>
    <col min="7689" max="7689" width="18.75" customWidth="1"/>
    <col min="7690" max="7690" width="15.375" customWidth="1"/>
    <col min="7691" max="7691" width="15.125" customWidth="1"/>
    <col min="7693" max="7693" width="11" customWidth="1"/>
    <col min="7694" max="7694" width="10.625" customWidth="1"/>
    <col min="7695" max="7695" width="9.625" customWidth="1"/>
    <col min="7938" max="7938" width="7" customWidth="1"/>
    <col min="7939" max="7939" width="17.75" customWidth="1"/>
    <col min="7940" max="7940" width="10.875" customWidth="1"/>
    <col min="7941" max="7941" width="11.25" customWidth="1"/>
    <col min="7942" max="7942" width="11.5" customWidth="1"/>
    <col min="7943" max="7943" width="11.625" customWidth="1"/>
    <col min="7944" max="7944" width="15.5" customWidth="1"/>
    <col min="7945" max="7945" width="18.75" customWidth="1"/>
    <col min="7946" max="7946" width="15.375" customWidth="1"/>
    <col min="7947" max="7947" width="15.125" customWidth="1"/>
    <col min="7949" max="7949" width="11" customWidth="1"/>
    <col min="7950" max="7950" width="10.625" customWidth="1"/>
    <col min="7951" max="7951" width="9.625" customWidth="1"/>
    <col min="8194" max="8194" width="7" customWidth="1"/>
    <col min="8195" max="8195" width="17.75" customWidth="1"/>
    <col min="8196" max="8196" width="10.875" customWidth="1"/>
    <col min="8197" max="8197" width="11.25" customWidth="1"/>
    <col min="8198" max="8198" width="11.5" customWidth="1"/>
    <col min="8199" max="8199" width="11.625" customWidth="1"/>
    <col min="8200" max="8200" width="15.5" customWidth="1"/>
    <col min="8201" max="8201" width="18.75" customWidth="1"/>
    <col min="8202" max="8202" width="15.375" customWidth="1"/>
    <col min="8203" max="8203" width="15.125" customWidth="1"/>
    <col min="8205" max="8205" width="11" customWidth="1"/>
    <col min="8206" max="8206" width="10.625" customWidth="1"/>
    <col min="8207" max="8207" width="9.625" customWidth="1"/>
    <col min="8450" max="8450" width="7" customWidth="1"/>
    <col min="8451" max="8451" width="17.75" customWidth="1"/>
    <col min="8452" max="8452" width="10.875" customWidth="1"/>
    <col min="8453" max="8453" width="11.25" customWidth="1"/>
    <col min="8454" max="8454" width="11.5" customWidth="1"/>
    <col min="8455" max="8455" width="11.625" customWidth="1"/>
    <col min="8456" max="8456" width="15.5" customWidth="1"/>
    <col min="8457" max="8457" width="18.75" customWidth="1"/>
    <col min="8458" max="8458" width="15.375" customWidth="1"/>
    <col min="8459" max="8459" width="15.125" customWidth="1"/>
    <col min="8461" max="8461" width="11" customWidth="1"/>
    <col min="8462" max="8462" width="10.625" customWidth="1"/>
    <col min="8463" max="8463" width="9.625" customWidth="1"/>
    <col min="8706" max="8706" width="7" customWidth="1"/>
    <col min="8707" max="8707" width="17.75" customWidth="1"/>
    <col min="8708" max="8708" width="10.875" customWidth="1"/>
    <col min="8709" max="8709" width="11.25" customWidth="1"/>
    <col min="8710" max="8710" width="11.5" customWidth="1"/>
    <col min="8711" max="8711" width="11.625" customWidth="1"/>
    <col min="8712" max="8712" width="15.5" customWidth="1"/>
    <col min="8713" max="8713" width="18.75" customWidth="1"/>
    <col min="8714" max="8714" width="15.375" customWidth="1"/>
    <col min="8715" max="8715" width="15.125" customWidth="1"/>
    <col min="8717" max="8717" width="11" customWidth="1"/>
    <col min="8718" max="8718" width="10.625" customWidth="1"/>
    <col min="8719" max="8719" width="9.625" customWidth="1"/>
    <col min="8962" max="8962" width="7" customWidth="1"/>
    <col min="8963" max="8963" width="17.75" customWidth="1"/>
    <col min="8964" max="8964" width="10.875" customWidth="1"/>
    <col min="8965" max="8965" width="11.25" customWidth="1"/>
    <col min="8966" max="8966" width="11.5" customWidth="1"/>
    <col min="8967" max="8967" width="11.625" customWidth="1"/>
    <col min="8968" max="8968" width="15.5" customWidth="1"/>
    <col min="8969" max="8969" width="18.75" customWidth="1"/>
    <col min="8970" max="8970" width="15.375" customWidth="1"/>
    <col min="8971" max="8971" width="15.125" customWidth="1"/>
    <col min="8973" max="8973" width="11" customWidth="1"/>
    <col min="8974" max="8974" width="10.625" customWidth="1"/>
    <col min="8975" max="8975" width="9.625" customWidth="1"/>
    <col min="9218" max="9218" width="7" customWidth="1"/>
    <col min="9219" max="9219" width="17.75" customWidth="1"/>
    <col min="9220" max="9220" width="10.875" customWidth="1"/>
    <col min="9221" max="9221" width="11.25" customWidth="1"/>
    <col min="9222" max="9222" width="11.5" customWidth="1"/>
    <col min="9223" max="9223" width="11.625" customWidth="1"/>
    <col min="9224" max="9224" width="15.5" customWidth="1"/>
    <col min="9225" max="9225" width="18.75" customWidth="1"/>
    <col min="9226" max="9226" width="15.375" customWidth="1"/>
    <col min="9227" max="9227" width="15.125" customWidth="1"/>
    <col min="9229" max="9229" width="11" customWidth="1"/>
    <col min="9230" max="9230" width="10.625" customWidth="1"/>
    <col min="9231" max="9231" width="9.625" customWidth="1"/>
    <col min="9474" max="9474" width="7" customWidth="1"/>
    <col min="9475" max="9475" width="17.75" customWidth="1"/>
    <col min="9476" max="9476" width="10.875" customWidth="1"/>
    <col min="9477" max="9477" width="11.25" customWidth="1"/>
    <col min="9478" max="9478" width="11.5" customWidth="1"/>
    <col min="9479" max="9479" width="11.625" customWidth="1"/>
    <col min="9480" max="9480" width="15.5" customWidth="1"/>
    <col min="9481" max="9481" width="18.75" customWidth="1"/>
    <col min="9482" max="9482" width="15.375" customWidth="1"/>
    <col min="9483" max="9483" width="15.125" customWidth="1"/>
    <col min="9485" max="9485" width="11" customWidth="1"/>
    <col min="9486" max="9486" width="10.625" customWidth="1"/>
    <col min="9487" max="9487" width="9.625" customWidth="1"/>
    <col min="9730" max="9730" width="7" customWidth="1"/>
    <col min="9731" max="9731" width="17.75" customWidth="1"/>
    <col min="9732" max="9732" width="10.875" customWidth="1"/>
    <col min="9733" max="9733" width="11.25" customWidth="1"/>
    <col min="9734" max="9734" width="11.5" customWidth="1"/>
    <col min="9735" max="9735" width="11.625" customWidth="1"/>
    <col min="9736" max="9736" width="15.5" customWidth="1"/>
    <col min="9737" max="9737" width="18.75" customWidth="1"/>
    <col min="9738" max="9738" width="15.375" customWidth="1"/>
    <col min="9739" max="9739" width="15.125" customWidth="1"/>
    <col min="9741" max="9741" width="11" customWidth="1"/>
    <col min="9742" max="9742" width="10.625" customWidth="1"/>
    <col min="9743" max="9743" width="9.625" customWidth="1"/>
    <col min="9986" max="9986" width="7" customWidth="1"/>
    <col min="9987" max="9987" width="17.75" customWidth="1"/>
    <col min="9988" max="9988" width="10.875" customWidth="1"/>
    <col min="9989" max="9989" width="11.25" customWidth="1"/>
    <col min="9990" max="9990" width="11.5" customWidth="1"/>
    <col min="9991" max="9991" width="11.625" customWidth="1"/>
    <col min="9992" max="9992" width="15.5" customWidth="1"/>
    <col min="9993" max="9993" width="18.75" customWidth="1"/>
    <col min="9994" max="9994" width="15.375" customWidth="1"/>
    <col min="9995" max="9995" width="15.125" customWidth="1"/>
    <col min="9997" max="9997" width="11" customWidth="1"/>
    <col min="9998" max="9998" width="10.625" customWidth="1"/>
    <col min="9999" max="9999" width="9.625" customWidth="1"/>
    <col min="10242" max="10242" width="7" customWidth="1"/>
    <col min="10243" max="10243" width="17.75" customWidth="1"/>
    <col min="10244" max="10244" width="10.875" customWidth="1"/>
    <col min="10245" max="10245" width="11.25" customWidth="1"/>
    <col min="10246" max="10246" width="11.5" customWidth="1"/>
    <col min="10247" max="10247" width="11.625" customWidth="1"/>
    <col min="10248" max="10248" width="15.5" customWidth="1"/>
    <col min="10249" max="10249" width="18.75" customWidth="1"/>
    <col min="10250" max="10250" width="15.375" customWidth="1"/>
    <col min="10251" max="10251" width="15.125" customWidth="1"/>
    <col min="10253" max="10253" width="11" customWidth="1"/>
    <col min="10254" max="10254" width="10.625" customWidth="1"/>
    <col min="10255" max="10255" width="9.625" customWidth="1"/>
    <col min="10498" max="10498" width="7" customWidth="1"/>
    <col min="10499" max="10499" width="17.75" customWidth="1"/>
    <col min="10500" max="10500" width="10.875" customWidth="1"/>
    <col min="10501" max="10501" width="11.25" customWidth="1"/>
    <col min="10502" max="10502" width="11.5" customWidth="1"/>
    <col min="10503" max="10503" width="11.625" customWidth="1"/>
    <col min="10504" max="10504" width="15.5" customWidth="1"/>
    <col min="10505" max="10505" width="18.75" customWidth="1"/>
    <col min="10506" max="10506" width="15.375" customWidth="1"/>
    <col min="10507" max="10507" width="15.125" customWidth="1"/>
    <col min="10509" max="10509" width="11" customWidth="1"/>
    <col min="10510" max="10510" width="10.625" customWidth="1"/>
    <col min="10511" max="10511" width="9.625" customWidth="1"/>
    <col min="10754" max="10754" width="7" customWidth="1"/>
    <col min="10755" max="10755" width="17.75" customWidth="1"/>
    <col min="10756" max="10756" width="10.875" customWidth="1"/>
    <col min="10757" max="10757" width="11.25" customWidth="1"/>
    <col min="10758" max="10758" width="11.5" customWidth="1"/>
    <col min="10759" max="10759" width="11.625" customWidth="1"/>
    <col min="10760" max="10760" width="15.5" customWidth="1"/>
    <col min="10761" max="10761" width="18.75" customWidth="1"/>
    <col min="10762" max="10762" width="15.375" customWidth="1"/>
    <col min="10763" max="10763" width="15.125" customWidth="1"/>
    <col min="10765" max="10765" width="11" customWidth="1"/>
    <col min="10766" max="10766" width="10.625" customWidth="1"/>
    <col min="10767" max="10767" width="9.625" customWidth="1"/>
    <col min="11010" max="11010" width="7" customWidth="1"/>
    <col min="11011" max="11011" width="17.75" customWidth="1"/>
    <col min="11012" max="11012" width="10.875" customWidth="1"/>
    <col min="11013" max="11013" width="11.25" customWidth="1"/>
    <col min="11014" max="11014" width="11.5" customWidth="1"/>
    <col min="11015" max="11015" width="11.625" customWidth="1"/>
    <col min="11016" max="11016" width="15.5" customWidth="1"/>
    <col min="11017" max="11017" width="18.75" customWidth="1"/>
    <col min="11018" max="11018" width="15.375" customWidth="1"/>
    <col min="11019" max="11019" width="15.125" customWidth="1"/>
    <col min="11021" max="11021" width="11" customWidth="1"/>
    <col min="11022" max="11022" width="10.625" customWidth="1"/>
    <col min="11023" max="11023" width="9.625" customWidth="1"/>
    <col min="11266" max="11266" width="7" customWidth="1"/>
    <col min="11267" max="11267" width="17.75" customWidth="1"/>
    <col min="11268" max="11268" width="10.875" customWidth="1"/>
    <col min="11269" max="11269" width="11.25" customWidth="1"/>
    <col min="11270" max="11270" width="11.5" customWidth="1"/>
    <col min="11271" max="11271" width="11.625" customWidth="1"/>
    <col min="11272" max="11272" width="15.5" customWidth="1"/>
    <col min="11273" max="11273" width="18.75" customWidth="1"/>
    <col min="11274" max="11274" width="15.375" customWidth="1"/>
    <col min="11275" max="11275" width="15.125" customWidth="1"/>
    <col min="11277" max="11277" width="11" customWidth="1"/>
    <col min="11278" max="11278" width="10.625" customWidth="1"/>
    <col min="11279" max="11279" width="9.625" customWidth="1"/>
    <col min="11522" max="11522" width="7" customWidth="1"/>
    <col min="11523" max="11523" width="17.75" customWidth="1"/>
    <col min="11524" max="11524" width="10.875" customWidth="1"/>
    <col min="11525" max="11525" width="11.25" customWidth="1"/>
    <col min="11526" max="11526" width="11.5" customWidth="1"/>
    <col min="11527" max="11527" width="11.625" customWidth="1"/>
    <col min="11528" max="11528" width="15.5" customWidth="1"/>
    <col min="11529" max="11529" width="18.75" customWidth="1"/>
    <col min="11530" max="11530" width="15.375" customWidth="1"/>
    <col min="11531" max="11531" width="15.125" customWidth="1"/>
    <col min="11533" max="11533" width="11" customWidth="1"/>
    <col min="11534" max="11534" width="10.625" customWidth="1"/>
    <col min="11535" max="11535" width="9.625" customWidth="1"/>
    <col min="11778" max="11778" width="7" customWidth="1"/>
    <col min="11779" max="11779" width="17.75" customWidth="1"/>
    <col min="11780" max="11780" width="10.875" customWidth="1"/>
    <col min="11781" max="11781" width="11.25" customWidth="1"/>
    <col min="11782" max="11782" width="11.5" customWidth="1"/>
    <col min="11783" max="11783" width="11.625" customWidth="1"/>
    <col min="11784" max="11784" width="15.5" customWidth="1"/>
    <col min="11785" max="11785" width="18.75" customWidth="1"/>
    <col min="11786" max="11786" width="15.375" customWidth="1"/>
    <col min="11787" max="11787" width="15.125" customWidth="1"/>
    <col min="11789" max="11789" width="11" customWidth="1"/>
    <col min="11790" max="11790" width="10.625" customWidth="1"/>
    <col min="11791" max="11791" width="9.625" customWidth="1"/>
    <col min="12034" max="12034" width="7" customWidth="1"/>
    <col min="12035" max="12035" width="17.75" customWidth="1"/>
    <col min="12036" max="12036" width="10.875" customWidth="1"/>
    <col min="12037" max="12037" width="11.25" customWidth="1"/>
    <col min="12038" max="12038" width="11.5" customWidth="1"/>
    <col min="12039" max="12039" width="11.625" customWidth="1"/>
    <col min="12040" max="12040" width="15.5" customWidth="1"/>
    <col min="12041" max="12041" width="18.75" customWidth="1"/>
    <col min="12042" max="12042" width="15.375" customWidth="1"/>
    <col min="12043" max="12043" width="15.125" customWidth="1"/>
    <col min="12045" max="12045" width="11" customWidth="1"/>
    <col min="12046" max="12046" width="10.625" customWidth="1"/>
    <col min="12047" max="12047" width="9.625" customWidth="1"/>
    <col min="12290" max="12290" width="7" customWidth="1"/>
    <col min="12291" max="12291" width="17.75" customWidth="1"/>
    <col min="12292" max="12292" width="10.875" customWidth="1"/>
    <col min="12293" max="12293" width="11.25" customWidth="1"/>
    <col min="12294" max="12294" width="11.5" customWidth="1"/>
    <col min="12295" max="12295" width="11.625" customWidth="1"/>
    <col min="12296" max="12296" width="15.5" customWidth="1"/>
    <col min="12297" max="12297" width="18.75" customWidth="1"/>
    <col min="12298" max="12298" width="15.375" customWidth="1"/>
    <col min="12299" max="12299" width="15.125" customWidth="1"/>
    <col min="12301" max="12301" width="11" customWidth="1"/>
    <col min="12302" max="12302" width="10.625" customWidth="1"/>
    <col min="12303" max="12303" width="9.625" customWidth="1"/>
    <col min="12546" max="12546" width="7" customWidth="1"/>
    <col min="12547" max="12547" width="17.75" customWidth="1"/>
    <col min="12548" max="12548" width="10.875" customWidth="1"/>
    <col min="12549" max="12549" width="11.25" customWidth="1"/>
    <col min="12550" max="12550" width="11.5" customWidth="1"/>
    <col min="12551" max="12551" width="11.625" customWidth="1"/>
    <col min="12552" max="12552" width="15.5" customWidth="1"/>
    <col min="12553" max="12553" width="18.75" customWidth="1"/>
    <col min="12554" max="12554" width="15.375" customWidth="1"/>
    <col min="12555" max="12555" width="15.125" customWidth="1"/>
    <col min="12557" max="12557" width="11" customWidth="1"/>
    <col min="12558" max="12558" width="10.625" customWidth="1"/>
    <col min="12559" max="12559" width="9.625" customWidth="1"/>
    <col min="12802" max="12802" width="7" customWidth="1"/>
    <col min="12803" max="12803" width="17.75" customWidth="1"/>
    <col min="12804" max="12804" width="10.875" customWidth="1"/>
    <col min="12805" max="12805" width="11.25" customWidth="1"/>
    <col min="12806" max="12806" width="11.5" customWidth="1"/>
    <col min="12807" max="12807" width="11.625" customWidth="1"/>
    <col min="12808" max="12808" width="15.5" customWidth="1"/>
    <col min="12809" max="12809" width="18.75" customWidth="1"/>
    <col min="12810" max="12810" width="15.375" customWidth="1"/>
    <col min="12811" max="12811" width="15.125" customWidth="1"/>
    <col min="12813" max="12813" width="11" customWidth="1"/>
    <col min="12814" max="12814" width="10.625" customWidth="1"/>
    <col min="12815" max="12815" width="9.625" customWidth="1"/>
    <col min="13058" max="13058" width="7" customWidth="1"/>
    <col min="13059" max="13059" width="17.75" customWidth="1"/>
    <col min="13060" max="13060" width="10.875" customWidth="1"/>
    <col min="13061" max="13061" width="11.25" customWidth="1"/>
    <col min="13062" max="13062" width="11.5" customWidth="1"/>
    <col min="13063" max="13063" width="11.625" customWidth="1"/>
    <col min="13064" max="13064" width="15.5" customWidth="1"/>
    <col min="13065" max="13065" width="18.75" customWidth="1"/>
    <col min="13066" max="13066" width="15.375" customWidth="1"/>
    <col min="13067" max="13067" width="15.125" customWidth="1"/>
    <col min="13069" max="13069" width="11" customWidth="1"/>
    <col min="13070" max="13070" width="10.625" customWidth="1"/>
    <col min="13071" max="13071" width="9.625" customWidth="1"/>
    <col min="13314" max="13314" width="7" customWidth="1"/>
    <col min="13315" max="13315" width="17.75" customWidth="1"/>
    <col min="13316" max="13316" width="10.875" customWidth="1"/>
    <col min="13317" max="13317" width="11.25" customWidth="1"/>
    <col min="13318" max="13318" width="11.5" customWidth="1"/>
    <col min="13319" max="13319" width="11.625" customWidth="1"/>
    <col min="13320" max="13320" width="15.5" customWidth="1"/>
    <col min="13321" max="13321" width="18.75" customWidth="1"/>
    <col min="13322" max="13322" width="15.375" customWidth="1"/>
    <col min="13323" max="13323" width="15.125" customWidth="1"/>
    <col min="13325" max="13325" width="11" customWidth="1"/>
    <col min="13326" max="13326" width="10.625" customWidth="1"/>
    <col min="13327" max="13327" width="9.625" customWidth="1"/>
    <col min="13570" max="13570" width="7" customWidth="1"/>
    <col min="13571" max="13571" width="17.75" customWidth="1"/>
    <col min="13572" max="13572" width="10.875" customWidth="1"/>
    <col min="13573" max="13573" width="11.25" customWidth="1"/>
    <col min="13574" max="13574" width="11.5" customWidth="1"/>
    <col min="13575" max="13575" width="11.625" customWidth="1"/>
    <col min="13576" max="13576" width="15.5" customWidth="1"/>
    <col min="13577" max="13577" width="18.75" customWidth="1"/>
    <col min="13578" max="13578" width="15.375" customWidth="1"/>
    <col min="13579" max="13579" width="15.125" customWidth="1"/>
    <col min="13581" max="13581" width="11" customWidth="1"/>
    <col min="13582" max="13582" width="10.625" customWidth="1"/>
    <col min="13583" max="13583" width="9.625" customWidth="1"/>
    <col min="13826" max="13826" width="7" customWidth="1"/>
    <col min="13827" max="13827" width="17.75" customWidth="1"/>
    <col min="13828" max="13828" width="10.875" customWidth="1"/>
    <col min="13829" max="13829" width="11.25" customWidth="1"/>
    <col min="13830" max="13830" width="11.5" customWidth="1"/>
    <col min="13831" max="13831" width="11.625" customWidth="1"/>
    <col min="13832" max="13832" width="15.5" customWidth="1"/>
    <col min="13833" max="13833" width="18.75" customWidth="1"/>
    <col min="13834" max="13834" width="15.375" customWidth="1"/>
    <col min="13835" max="13835" width="15.125" customWidth="1"/>
    <col min="13837" max="13837" width="11" customWidth="1"/>
    <col min="13838" max="13838" width="10.625" customWidth="1"/>
    <col min="13839" max="13839" width="9.625" customWidth="1"/>
    <col min="14082" max="14082" width="7" customWidth="1"/>
    <col min="14083" max="14083" width="17.75" customWidth="1"/>
    <col min="14084" max="14084" width="10.875" customWidth="1"/>
    <col min="14085" max="14085" width="11.25" customWidth="1"/>
    <col min="14086" max="14086" width="11.5" customWidth="1"/>
    <col min="14087" max="14087" width="11.625" customWidth="1"/>
    <col min="14088" max="14088" width="15.5" customWidth="1"/>
    <col min="14089" max="14089" width="18.75" customWidth="1"/>
    <col min="14090" max="14090" width="15.375" customWidth="1"/>
    <col min="14091" max="14091" width="15.125" customWidth="1"/>
    <col min="14093" max="14093" width="11" customWidth="1"/>
    <col min="14094" max="14094" width="10.625" customWidth="1"/>
    <col min="14095" max="14095" width="9.625" customWidth="1"/>
    <col min="14338" max="14338" width="7" customWidth="1"/>
    <col min="14339" max="14339" width="17.75" customWidth="1"/>
    <col min="14340" max="14340" width="10.875" customWidth="1"/>
    <col min="14341" max="14341" width="11.25" customWidth="1"/>
    <col min="14342" max="14342" width="11.5" customWidth="1"/>
    <col min="14343" max="14343" width="11.625" customWidth="1"/>
    <col min="14344" max="14344" width="15.5" customWidth="1"/>
    <col min="14345" max="14345" width="18.75" customWidth="1"/>
    <col min="14346" max="14346" width="15.375" customWidth="1"/>
    <col min="14347" max="14347" width="15.125" customWidth="1"/>
    <col min="14349" max="14349" width="11" customWidth="1"/>
    <col min="14350" max="14350" width="10.625" customWidth="1"/>
    <col min="14351" max="14351" width="9.625" customWidth="1"/>
    <col min="14594" max="14594" width="7" customWidth="1"/>
    <col min="14595" max="14595" width="17.75" customWidth="1"/>
    <col min="14596" max="14596" width="10.875" customWidth="1"/>
    <col min="14597" max="14597" width="11.25" customWidth="1"/>
    <col min="14598" max="14598" width="11.5" customWidth="1"/>
    <col min="14599" max="14599" width="11.625" customWidth="1"/>
    <col min="14600" max="14600" width="15.5" customWidth="1"/>
    <col min="14601" max="14601" width="18.75" customWidth="1"/>
    <col min="14602" max="14602" width="15.375" customWidth="1"/>
    <col min="14603" max="14603" width="15.125" customWidth="1"/>
    <col min="14605" max="14605" width="11" customWidth="1"/>
    <col min="14606" max="14606" width="10.625" customWidth="1"/>
    <col min="14607" max="14607" width="9.625" customWidth="1"/>
    <col min="14850" max="14850" width="7" customWidth="1"/>
    <col min="14851" max="14851" width="17.75" customWidth="1"/>
    <col min="14852" max="14852" width="10.875" customWidth="1"/>
    <col min="14853" max="14853" width="11.25" customWidth="1"/>
    <col min="14854" max="14854" width="11.5" customWidth="1"/>
    <col min="14855" max="14855" width="11.625" customWidth="1"/>
    <col min="14856" max="14856" width="15.5" customWidth="1"/>
    <col min="14857" max="14857" width="18.75" customWidth="1"/>
    <col min="14858" max="14858" width="15.375" customWidth="1"/>
    <col min="14859" max="14859" width="15.125" customWidth="1"/>
    <col min="14861" max="14861" width="11" customWidth="1"/>
    <col min="14862" max="14862" width="10.625" customWidth="1"/>
    <col min="14863" max="14863" width="9.625" customWidth="1"/>
    <col min="15106" max="15106" width="7" customWidth="1"/>
    <col min="15107" max="15107" width="17.75" customWidth="1"/>
    <col min="15108" max="15108" width="10.875" customWidth="1"/>
    <col min="15109" max="15109" width="11.25" customWidth="1"/>
    <col min="15110" max="15110" width="11.5" customWidth="1"/>
    <col min="15111" max="15111" width="11.625" customWidth="1"/>
    <col min="15112" max="15112" width="15.5" customWidth="1"/>
    <col min="15113" max="15113" width="18.75" customWidth="1"/>
    <col min="15114" max="15114" width="15.375" customWidth="1"/>
    <col min="15115" max="15115" width="15.125" customWidth="1"/>
    <col min="15117" max="15117" width="11" customWidth="1"/>
    <col min="15118" max="15118" width="10.625" customWidth="1"/>
    <col min="15119" max="15119" width="9.625" customWidth="1"/>
    <col min="15362" max="15362" width="7" customWidth="1"/>
    <col min="15363" max="15363" width="17.75" customWidth="1"/>
    <col min="15364" max="15364" width="10.875" customWidth="1"/>
    <col min="15365" max="15365" width="11.25" customWidth="1"/>
    <col min="15366" max="15366" width="11.5" customWidth="1"/>
    <col min="15367" max="15367" width="11.625" customWidth="1"/>
    <col min="15368" max="15368" width="15.5" customWidth="1"/>
    <col min="15369" max="15369" width="18.75" customWidth="1"/>
    <col min="15370" max="15370" width="15.375" customWidth="1"/>
    <col min="15371" max="15371" width="15.125" customWidth="1"/>
    <col min="15373" max="15373" width="11" customWidth="1"/>
    <col min="15374" max="15374" width="10.625" customWidth="1"/>
    <col min="15375" max="15375" width="9.625" customWidth="1"/>
    <col min="15618" max="15618" width="7" customWidth="1"/>
    <col min="15619" max="15619" width="17.75" customWidth="1"/>
    <col min="15620" max="15620" width="10.875" customWidth="1"/>
    <col min="15621" max="15621" width="11.25" customWidth="1"/>
    <col min="15622" max="15622" width="11.5" customWidth="1"/>
    <col min="15623" max="15623" width="11.625" customWidth="1"/>
    <col min="15624" max="15624" width="15.5" customWidth="1"/>
    <col min="15625" max="15625" width="18.75" customWidth="1"/>
    <col min="15626" max="15626" width="15.375" customWidth="1"/>
    <col min="15627" max="15627" width="15.125" customWidth="1"/>
    <col min="15629" max="15629" width="11" customWidth="1"/>
    <col min="15630" max="15630" width="10.625" customWidth="1"/>
    <col min="15631" max="15631" width="9.625" customWidth="1"/>
    <col min="15874" max="15874" width="7" customWidth="1"/>
    <col min="15875" max="15875" width="17.75" customWidth="1"/>
    <col min="15876" max="15876" width="10.875" customWidth="1"/>
    <col min="15877" max="15877" width="11.25" customWidth="1"/>
    <col min="15878" max="15878" width="11.5" customWidth="1"/>
    <col min="15879" max="15879" width="11.625" customWidth="1"/>
    <col min="15880" max="15880" width="15.5" customWidth="1"/>
    <col min="15881" max="15881" width="18.75" customWidth="1"/>
    <col min="15882" max="15882" width="15.375" customWidth="1"/>
    <col min="15883" max="15883" width="15.125" customWidth="1"/>
    <col min="15885" max="15885" width="11" customWidth="1"/>
    <col min="15886" max="15886" width="10.625" customWidth="1"/>
    <col min="15887" max="15887" width="9.625" customWidth="1"/>
    <col min="16130" max="16130" width="7" customWidth="1"/>
    <col min="16131" max="16131" width="17.75" customWidth="1"/>
    <col min="16132" max="16132" width="10.875" customWidth="1"/>
    <col min="16133" max="16133" width="11.25" customWidth="1"/>
    <col min="16134" max="16134" width="11.5" customWidth="1"/>
    <col min="16135" max="16135" width="11.625" customWidth="1"/>
    <col min="16136" max="16136" width="15.5" customWidth="1"/>
    <col min="16137" max="16137" width="18.75" customWidth="1"/>
    <col min="16138" max="16138" width="15.375" customWidth="1"/>
    <col min="16139" max="16139" width="15.125" customWidth="1"/>
    <col min="16141" max="16141" width="11" customWidth="1"/>
    <col min="16142" max="16142" width="10.625" customWidth="1"/>
    <col min="16143" max="16143" width="9.625" customWidth="1"/>
  </cols>
  <sheetData>
    <row r="1" spans="1:15" ht="20.25" x14ac:dyDescent="0.3">
      <c r="A1" s="279"/>
      <c r="B1" s="279"/>
      <c r="C1" s="279"/>
      <c r="D1" s="279"/>
      <c r="E1" s="279"/>
      <c r="F1" s="279"/>
      <c r="G1" s="280" t="s">
        <v>0</v>
      </c>
      <c r="H1" s="279"/>
      <c r="I1" s="279"/>
      <c r="J1" s="214"/>
      <c r="K1" s="214"/>
      <c r="L1" s="214"/>
      <c r="M1" s="214"/>
      <c r="N1" s="214" t="s">
        <v>1</v>
      </c>
      <c r="O1" s="214"/>
    </row>
    <row r="2" spans="1:15" ht="18" x14ac:dyDescent="0.25">
      <c r="A2" s="512" t="s">
        <v>2</v>
      </c>
      <c r="B2" s="512"/>
      <c r="C2" s="331" t="s">
        <v>38</v>
      </c>
      <c r="D2" s="214"/>
      <c r="E2" s="214"/>
      <c r="F2" s="214"/>
      <c r="G2" s="331"/>
      <c r="H2" s="214"/>
      <c r="I2" s="214"/>
      <c r="J2" s="214"/>
      <c r="K2" s="214"/>
      <c r="L2" s="214"/>
      <c r="M2" s="214"/>
      <c r="N2" s="214"/>
      <c r="O2" s="214"/>
    </row>
    <row r="3" spans="1:15" ht="18" x14ac:dyDescent="0.25">
      <c r="A3" s="512" t="s">
        <v>3</v>
      </c>
      <c r="B3" s="512"/>
      <c r="C3" s="331" t="s">
        <v>40</v>
      </c>
      <c r="D3" s="214"/>
      <c r="E3" s="214"/>
      <c r="F3" s="214"/>
      <c r="G3" s="331"/>
      <c r="H3" s="214"/>
      <c r="I3" s="214"/>
      <c r="J3" s="214"/>
      <c r="K3" s="214"/>
      <c r="L3" s="214"/>
      <c r="M3" s="214"/>
      <c r="N3" s="214"/>
      <c r="O3" s="214"/>
    </row>
    <row r="4" spans="1:15" ht="18" x14ac:dyDescent="0.25">
      <c r="A4" s="512" t="s">
        <v>4</v>
      </c>
      <c r="B4" s="512"/>
      <c r="C4" s="331" t="s">
        <v>41</v>
      </c>
      <c r="D4" s="214"/>
      <c r="E4" s="214"/>
      <c r="F4" s="214"/>
      <c r="G4" s="331"/>
      <c r="H4" s="214"/>
      <c r="I4" s="214"/>
      <c r="J4" s="214"/>
      <c r="K4" s="214"/>
      <c r="L4" s="214"/>
      <c r="M4" s="214"/>
      <c r="N4" s="214"/>
      <c r="O4" s="214"/>
    </row>
    <row r="5" spans="1:15" ht="18" x14ac:dyDescent="0.25">
      <c r="A5" s="512" t="s">
        <v>5</v>
      </c>
      <c r="B5" s="512"/>
      <c r="C5" s="331" t="s">
        <v>196</v>
      </c>
      <c r="D5" s="214"/>
      <c r="E5" s="214"/>
      <c r="F5" s="214"/>
      <c r="G5" s="331"/>
      <c r="H5" s="214"/>
      <c r="I5" s="214"/>
      <c r="J5" s="214"/>
      <c r="K5" s="214"/>
      <c r="L5" s="214"/>
      <c r="M5" s="214"/>
      <c r="N5" s="214"/>
      <c r="O5" s="214"/>
    </row>
    <row r="6" spans="1:15" ht="18" x14ac:dyDescent="0.25">
      <c r="A6" s="331"/>
      <c r="B6" s="331"/>
      <c r="C6" s="331"/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</row>
    <row r="7" spans="1:15" ht="18" x14ac:dyDescent="0.25">
      <c r="A7" s="331" t="s">
        <v>6</v>
      </c>
      <c r="B7" s="331"/>
      <c r="C7" s="331"/>
      <c r="D7" s="214"/>
      <c r="E7" s="214"/>
      <c r="F7" s="214"/>
      <c r="G7" s="214"/>
      <c r="H7" s="214"/>
      <c r="I7" s="214"/>
      <c r="J7" s="214"/>
      <c r="K7" s="214"/>
      <c r="L7" s="214"/>
      <c r="M7" s="214"/>
      <c r="N7" s="214"/>
      <c r="O7" s="214"/>
    </row>
    <row r="8" spans="1:15" ht="18" customHeight="1" x14ac:dyDescent="0.25">
      <c r="A8" s="317" t="s">
        <v>7</v>
      </c>
      <c r="B8" s="500" t="s">
        <v>8</v>
      </c>
      <c r="C8" s="500"/>
      <c r="D8" s="317" t="s">
        <v>9</v>
      </c>
      <c r="E8" s="317" t="s">
        <v>10</v>
      </c>
      <c r="F8" s="489" t="s">
        <v>11</v>
      </c>
      <c r="G8" s="489" t="s">
        <v>12</v>
      </c>
      <c r="H8" s="317" t="s">
        <v>13</v>
      </c>
      <c r="I8" s="317"/>
      <c r="J8" s="317" t="s">
        <v>15</v>
      </c>
      <c r="K8" s="317" t="s">
        <v>16</v>
      </c>
      <c r="L8" s="494" t="s">
        <v>17</v>
      </c>
      <c r="M8" s="494"/>
      <c r="N8" s="494"/>
      <c r="O8" s="317" t="s">
        <v>18</v>
      </c>
    </row>
    <row r="9" spans="1:15" ht="18" customHeight="1" x14ac:dyDescent="0.25">
      <c r="A9" s="490" t="s">
        <v>19</v>
      </c>
      <c r="B9" s="495" t="s">
        <v>20</v>
      </c>
      <c r="C9" s="496"/>
      <c r="D9" s="490" t="s">
        <v>21</v>
      </c>
      <c r="E9" s="490" t="s">
        <v>22</v>
      </c>
      <c r="F9" s="490"/>
      <c r="G9" s="490"/>
      <c r="H9" s="319" t="s">
        <v>23</v>
      </c>
      <c r="I9" s="319" t="s">
        <v>544</v>
      </c>
      <c r="J9" s="319" t="s">
        <v>24</v>
      </c>
      <c r="K9" s="319" t="s">
        <v>25</v>
      </c>
      <c r="L9" s="319" t="s">
        <v>26</v>
      </c>
      <c r="M9" s="319" t="s">
        <v>27</v>
      </c>
      <c r="N9" s="319" t="s">
        <v>28</v>
      </c>
      <c r="O9" s="481" t="s">
        <v>29</v>
      </c>
    </row>
    <row r="10" spans="1:15" ht="18" customHeight="1" x14ac:dyDescent="0.25">
      <c r="A10" s="491"/>
      <c r="B10" s="497"/>
      <c r="C10" s="498"/>
      <c r="D10" s="491"/>
      <c r="E10" s="491"/>
      <c r="F10" s="491"/>
      <c r="G10" s="491"/>
      <c r="H10" s="318" t="s">
        <v>30</v>
      </c>
      <c r="I10" s="318"/>
      <c r="J10" s="318" t="s">
        <v>31</v>
      </c>
      <c r="K10" s="318" t="s">
        <v>32</v>
      </c>
      <c r="L10" s="318" t="s">
        <v>33</v>
      </c>
      <c r="M10" s="318" t="s">
        <v>34</v>
      </c>
      <c r="N10" s="318" t="s">
        <v>35</v>
      </c>
      <c r="O10" s="482"/>
    </row>
    <row r="11" spans="1:15" ht="18" customHeight="1" x14ac:dyDescent="0.25">
      <c r="A11" s="263">
        <v>1</v>
      </c>
      <c r="B11" s="483">
        <v>2</v>
      </c>
      <c r="C11" s="484"/>
      <c r="D11" s="315">
        <v>3</v>
      </c>
      <c r="E11" s="315">
        <v>4</v>
      </c>
      <c r="F11" s="316">
        <v>5</v>
      </c>
      <c r="G11" s="316">
        <v>6</v>
      </c>
      <c r="H11" s="319">
        <v>7</v>
      </c>
      <c r="I11" s="319">
        <v>8</v>
      </c>
      <c r="J11" s="319">
        <v>9</v>
      </c>
      <c r="K11" s="319">
        <v>10</v>
      </c>
      <c r="L11" s="319">
        <v>11</v>
      </c>
      <c r="M11" s="319">
        <v>12</v>
      </c>
      <c r="N11" s="319">
        <v>13</v>
      </c>
      <c r="O11" s="315">
        <v>14</v>
      </c>
    </row>
    <row r="12" spans="1:15" ht="36" customHeight="1" x14ac:dyDescent="0.25">
      <c r="A12" s="266">
        <v>1</v>
      </c>
      <c r="B12" s="492" t="s">
        <v>154</v>
      </c>
      <c r="C12" s="493"/>
      <c r="D12" s="267" t="s">
        <v>284</v>
      </c>
      <c r="E12" s="335"/>
      <c r="F12" s="335"/>
      <c r="G12" s="282" t="s">
        <v>285</v>
      </c>
      <c r="H12" s="266">
        <v>2020</v>
      </c>
      <c r="I12" s="266" t="s">
        <v>286</v>
      </c>
      <c r="J12" s="269" t="s">
        <v>43</v>
      </c>
      <c r="K12" s="281">
        <v>84403000</v>
      </c>
      <c r="L12" s="266" t="s">
        <v>26</v>
      </c>
      <c r="M12" s="335"/>
      <c r="N12" s="335"/>
      <c r="O12" s="335"/>
    </row>
    <row r="13" spans="1:15" ht="36" customHeight="1" x14ac:dyDescent="0.25">
      <c r="A13" s="266">
        <f>A12+1</f>
        <v>2</v>
      </c>
      <c r="B13" s="492" t="s">
        <v>52</v>
      </c>
      <c r="C13" s="493"/>
      <c r="D13" s="267" t="s">
        <v>185</v>
      </c>
      <c r="E13" s="335"/>
      <c r="F13" s="335"/>
      <c r="G13" s="266" t="s">
        <v>50</v>
      </c>
      <c r="H13" s="282" t="s">
        <v>186</v>
      </c>
      <c r="I13" s="266" t="s">
        <v>53</v>
      </c>
      <c r="J13" s="269" t="s">
        <v>137</v>
      </c>
      <c r="K13" s="343">
        <f>5000000/2</f>
        <v>2500000</v>
      </c>
      <c r="L13" s="266" t="s">
        <v>26</v>
      </c>
      <c r="M13" s="335"/>
      <c r="N13" s="335"/>
      <c r="O13" s="335"/>
    </row>
    <row r="14" spans="1:15" ht="36" customHeight="1" x14ac:dyDescent="0.25">
      <c r="A14" s="266">
        <f t="shared" ref="A14:A31" si="0">A13+1</f>
        <v>3</v>
      </c>
      <c r="B14" s="492" t="s">
        <v>52</v>
      </c>
      <c r="C14" s="493"/>
      <c r="D14" s="267" t="s">
        <v>187</v>
      </c>
      <c r="E14" s="335"/>
      <c r="F14" s="335"/>
      <c r="G14" s="266"/>
      <c r="H14" s="266">
        <v>2020</v>
      </c>
      <c r="I14" s="266" t="s">
        <v>53</v>
      </c>
      <c r="J14" s="269" t="s">
        <v>89</v>
      </c>
      <c r="K14" s="343">
        <f>32663710/4</f>
        <v>8165927.5</v>
      </c>
      <c r="L14" s="266" t="s">
        <v>26</v>
      </c>
      <c r="M14" s="335"/>
      <c r="N14" s="335"/>
      <c r="O14" s="335"/>
    </row>
    <row r="15" spans="1:15" ht="36" customHeight="1" x14ac:dyDescent="0.25">
      <c r="A15" s="266">
        <f t="shared" si="0"/>
        <v>4</v>
      </c>
      <c r="B15" s="492" t="s">
        <v>65</v>
      </c>
      <c r="C15" s="493"/>
      <c r="D15" s="267" t="s">
        <v>73</v>
      </c>
      <c r="E15" s="268"/>
      <c r="F15" s="268"/>
      <c r="G15" s="266"/>
      <c r="H15" s="266">
        <v>2020</v>
      </c>
      <c r="I15" s="266" t="s">
        <v>66</v>
      </c>
      <c r="J15" s="269" t="s">
        <v>58</v>
      </c>
      <c r="K15" s="281">
        <f>16532240/3</f>
        <v>5510746.666666667</v>
      </c>
      <c r="L15" s="266" t="s">
        <v>26</v>
      </c>
      <c r="M15" s="268"/>
      <c r="N15" s="268"/>
      <c r="O15" s="267"/>
    </row>
    <row r="16" spans="1:15" ht="36" customHeight="1" x14ac:dyDescent="0.25">
      <c r="A16" s="266">
        <f t="shared" si="0"/>
        <v>5</v>
      </c>
      <c r="B16" s="492" t="s">
        <v>192</v>
      </c>
      <c r="C16" s="493"/>
      <c r="D16" s="338" t="s">
        <v>193</v>
      </c>
      <c r="E16" s="335"/>
      <c r="F16" s="335"/>
      <c r="G16" s="266"/>
      <c r="H16" s="266">
        <v>2020</v>
      </c>
      <c r="I16" s="266" t="s">
        <v>194</v>
      </c>
      <c r="J16" s="269" t="s">
        <v>195</v>
      </c>
      <c r="K16" s="281">
        <v>7013680</v>
      </c>
      <c r="L16" s="266" t="s">
        <v>26</v>
      </c>
      <c r="M16" s="335"/>
      <c r="N16" s="335"/>
      <c r="O16" s="335"/>
    </row>
    <row r="17" spans="1:15" ht="18" customHeight="1" x14ac:dyDescent="0.25">
      <c r="A17" s="266">
        <f t="shared" si="0"/>
        <v>6</v>
      </c>
      <c r="B17" s="492" t="s">
        <v>182</v>
      </c>
      <c r="C17" s="493"/>
      <c r="D17" s="267" t="s">
        <v>183</v>
      </c>
      <c r="E17" s="335"/>
      <c r="F17" s="335"/>
      <c r="G17" s="282"/>
      <c r="H17" s="266">
        <v>2020</v>
      </c>
      <c r="I17" s="266" t="s">
        <v>184</v>
      </c>
      <c r="J17" s="269" t="s">
        <v>43</v>
      </c>
      <c r="K17" s="281">
        <v>4125800</v>
      </c>
      <c r="L17" s="266" t="s">
        <v>26</v>
      </c>
      <c r="M17" s="335"/>
      <c r="N17" s="335"/>
      <c r="O17" s="335"/>
    </row>
    <row r="18" spans="1:15" ht="18" customHeight="1" x14ac:dyDescent="0.25">
      <c r="A18" s="266">
        <f t="shared" si="0"/>
        <v>7</v>
      </c>
      <c r="B18" s="492" t="s">
        <v>122</v>
      </c>
      <c r="C18" s="493"/>
      <c r="D18" s="267" t="s">
        <v>422</v>
      </c>
      <c r="E18" s="335"/>
      <c r="F18" s="335"/>
      <c r="G18" s="282" t="s">
        <v>267</v>
      </c>
      <c r="H18" s="266">
        <v>2014</v>
      </c>
      <c r="I18" s="266" t="s">
        <v>124</v>
      </c>
      <c r="J18" s="269" t="s">
        <v>110</v>
      </c>
      <c r="K18" s="281">
        <v>743915</v>
      </c>
      <c r="L18" s="266" t="s">
        <v>26</v>
      </c>
      <c r="M18" s="335"/>
      <c r="N18" s="335"/>
      <c r="O18" s="335"/>
    </row>
    <row r="19" spans="1:15" ht="18" customHeight="1" x14ac:dyDescent="0.25">
      <c r="A19" s="266">
        <f t="shared" si="0"/>
        <v>8</v>
      </c>
      <c r="B19" s="492" t="s">
        <v>122</v>
      </c>
      <c r="C19" s="493"/>
      <c r="D19" s="267" t="s">
        <v>422</v>
      </c>
      <c r="E19" s="335"/>
      <c r="F19" s="335"/>
      <c r="G19" s="282" t="s">
        <v>267</v>
      </c>
      <c r="H19" s="266">
        <v>2014</v>
      </c>
      <c r="I19" s="266" t="s">
        <v>124</v>
      </c>
      <c r="J19" s="269" t="s">
        <v>137</v>
      </c>
      <c r="K19" s="281">
        <v>743915</v>
      </c>
      <c r="L19" s="266" t="s">
        <v>26</v>
      </c>
      <c r="M19" s="335"/>
      <c r="N19" s="335"/>
      <c r="O19" s="335"/>
    </row>
    <row r="20" spans="1:15" ht="18" customHeight="1" x14ac:dyDescent="0.25">
      <c r="A20" s="266">
        <f t="shared" si="0"/>
        <v>9</v>
      </c>
      <c r="B20" s="492" t="s">
        <v>122</v>
      </c>
      <c r="C20" s="493"/>
      <c r="D20" s="267" t="s">
        <v>422</v>
      </c>
      <c r="E20" s="335"/>
      <c r="F20" s="335"/>
      <c r="G20" s="282" t="s">
        <v>267</v>
      </c>
      <c r="H20" s="266">
        <v>2014</v>
      </c>
      <c r="I20" s="266" t="s">
        <v>124</v>
      </c>
      <c r="J20" s="269"/>
      <c r="K20" s="281">
        <v>743915</v>
      </c>
      <c r="L20" s="266" t="s">
        <v>26</v>
      </c>
      <c r="M20" s="335"/>
      <c r="N20" s="335"/>
      <c r="O20" s="335"/>
    </row>
    <row r="21" spans="1:15" ht="36" customHeight="1" x14ac:dyDescent="0.25">
      <c r="A21" s="266">
        <f t="shared" si="0"/>
        <v>10</v>
      </c>
      <c r="B21" s="492" t="s">
        <v>61</v>
      </c>
      <c r="C21" s="493"/>
      <c r="D21" s="267" t="s">
        <v>116</v>
      </c>
      <c r="E21" s="335"/>
      <c r="F21" s="335"/>
      <c r="G21" s="282" t="s">
        <v>50</v>
      </c>
      <c r="H21" s="266">
        <v>2013</v>
      </c>
      <c r="I21" s="266" t="s">
        <v>62</v>
      </c>
      <c r="J21" s="269" t="s">
        <v>303</v>
      </c>
      <c r="K21" s="281">
        <v>486971.68</v>
      </c>
      <c r="L21" s="266" t="s">
        <v>26</v>
      </c>
      <c r="M21" s="335"/>
      <c r="N21" s="335"/>
      <c r="O21" s="335"/>
    </row>
    <row r="22" spans="1:15" ht="18" customHeight="1" x14ac:dyDescent="0.25">
      <c r="A22" s="266">
        <f t="shared" si="0"/>
        <v>11</v>
      </c>
      <c r="B22" s="492" t="s">
        <v>61</v>
      </c>
      <c r="C22" s="493"/>
      <c r="D22" s="267" t="s">
        <v>119</v>
      </c>
      <c r="E22" s="335"/>
      <c r="F22" s="335"/>
      <c r="G22" s="282" t="s">
        <v>50</v>
      </c>
      <c r="H22" s="266">
        <v>2014</v>
      </c>
      <c r="I22" s="266" t="s">
        <v>62</v>
      </c>
      <c r="J22" s="269" t="s">
        <v>257</v>
      </c>
      <c r="K22" s="281">
        <v>794179</v>
      </c>
      <c r="L22" s="266" t="s">
        <v>26</v>
      </c>
      <c r="M22" s="335"/>
      <c r="N22" s="335"/>
      <c r="O22" s="335"/>
    </row>
    <row r="23" spans="1:15" ht="18" customHeight="1" x14ac:dyDescent="0.25">
      <c r="A23" s="266">
        <f t="shared" si="0"/>
        <v>12</v>
      </c>
      <c r="B23" s="492" t="s">
        <v>61</v>
      </c>
      <c r="C23" s="493"/>
      <c r="D23" s="267" t="s">
        <v>119</v>
      </c>
      <c r="E23" s="335"/>
      <c r="F23" s="335"/>
      <c r="G23" s="282" t="s">
        <v>50</v>
      </c>
      <c r="H23" s="266">
        <v>2014</v>
      </c>
      <c r="I23" s="266" t="s">
        <v>62</v>
      </c>
      <c r="J23" s="269" t="s">
        <v>250</v>
      </c>
      <c r="K23" s="281">
        <v>794179</v>
      </c>
      <c r="L23" s="266" t="s">
        <v>26</v>
      </c>
      <c r="M23" s="335"/>
      <c r="N23" s="335"/>
      <c r="O23" s="335"/>
    </row>
    <row r="24" spans="1:15" ht="18" customHeight="1" x14ac:dyDescent="0.25">
      <c r="A24" s="266">
        <f t="shared" si="0"/>
        <v>13</v>
      </c>
      <c r="B24" s="492" t="s">
        <v>61</v>
      </c>
      <c r="C24" s="493"/>
      <c r="D24" s="267" t="s">
        <v>119</v>
      </c>
      <c r="E24" s="335"/>
      <c r="F24" s="335"/>
      <c r="G24" s="282" t="s">
        <v>50</v>
      </c>
      <c r="H24" s="266">
        <v>2014</v>
      </c>
      <c r="I24" s="266" t="s">
        <v>62</v>
      </c>
      <c r="J24" s="269" t="s">
        <v>162</v>
      </c>
      <c r="K24" s="281">
        <v>794179</v>
      </c>
      <c r="L24" s="266" t="s">
        <v>26</v>
      </c>
      <c r="M24" s="335"/>
      <c r="N24" s="335"/>
      <c r="O24" s="335"/>
    </row>
    <row r="25" spans="1:15" ht="18" customHeight="1" x14ac:dyDescent="0.25">
      <c r="A25" s="266">
        <f t="shared" si="0"/>
        <v>14</v>
      </c>
      <c r="B25" s="492" t="s">
        <v>61</v>
      </c>
      <c r="C25" s="493"/>
      <c r="D25" s="267" t="s">
        <v>119</v>
      </c>
      <c r="E25" s="335"/>
      <c r="F25" s="335"/>
      <c r="G25" s="282" t="s">
        <v>50</v>
      </c>
      <c r="H25" s="266">
        <v>2014</v>
      </c>
      <c r="I25" s="266" t="s">
        <v>62</v>
      </c>
      <c r="J25" s="269" t="s">
        <v>427</v>
      </c>
      <c r="K25" s="281">
        <v>794179</v>
      </c>
      <c r="L25" s="266" t="s">
        <v>26</v>
      </c>
      <c r="M25" s="335"/>
      <c r="N25" s="335"/>
      <c r="O25" s="335"/>
    </row>
    <row r="26" spans="1:15" ht="50.25" customHeight="1" x14ac:dyDescent="0.25">
      <c r="A26" s="374">
        <f t="shared" si="0"/>
        <v>15</v>
      </c>
      <c r="B26" s="509" t="s">
        <v>61</v>
      </c>
      <c r="C26" s="510"/>
      <c r="D26" s="375" t="s">
        <v>119</v>
      </c>
      <c r="E26" s="379"/>
      <c r="F26" s="379"/>
      <c r="G26" s="381" t="s">
        <v>50</v>
      </c>
      <c r="H26" s="374">
        <v>2014</v>
      </c>
      <c r="I26" s="374" t="s">
        <v>62</v>
      </c>
      <c r="J26" s="377" t="s">
        <v>428</v>
      </c>
      <c r="K26" s="382">
        <v>794179</v>
      </c>
      <c r="L26" s="374" t="s">
        <v>26</v>
      </c>
      <c r="M26" s="379"/>
      <c r="N26" s="379"/>
      <c r="O26" s="414" t="s">
        <v>565</v>
      </c>
    </row>
    <row r="27" spans="1:15" ht="18" customHeight="1" x14ac:dyDescent="0.25">
      <c r="A27" s="266">
        <f t="shared" si="0"/>
        <v>16</v>
      </c>
      <c r="B27" s="492" t="s">
        <v>61</v>
      </c>
      <c r="C27" s="493"/>
      <c r="D27" s="267" t="s">
        <v>119</v>
      </c>
      <c r="E27" s="335"/>
      <c r="F27" s="335"/>
      <c r="G27" s="282" t="s">
        <v>50</v>
      </c>
      <c r="H27" s="266">
        <v>2014</v>
      </c>
      <c r="I27" s="266" t="s">
        <v>62</v>
      </c>
      <c r="J27" s="269"/>
      <c r="K27" s="281">
        <v>794179</v>
      </c>
      <c r="L27" s="266" t="s">
        <v>26</v>
      </c>
      <c r="M27" s="335"/>
      <c r="N27" s="335"/>
      <c r="O27" s="335"/>
    </row>
    <row r="28" spans="1:15" ht="36" customHeight="1" x14ac:dyDescent="0.25">
      <c r="A28" s="266">
        <f t="shared" si="0"/>
        <v>17</v>
      </c>
      <c r="B28" s="492" t="s">
        <v>146</v>
      </c>
      <c r="C28" s="493"/>
      <c r="D28" s="267" t="s">
        <v>430</v>
      </c>
      <c r="E28" s="268"/>
      <c r="F28" s="268"/>
      <c r="G28" s="266" t="s">
        <v>50</v>
      </c>
      <c r="H28" s="266">
        <v>2011</v>
      </c>
      <c r="I28" s="266" t="s">
        <v>147</v>
      </c>
      <c r="J28" s="269" t="s">
        <v>125</v>
      </c>
      <c r="K28" s="270">
        <v>1755000</v>
      </c>
      <c r="L28" s="266" t="s">
        <v>26</v>
      </c>
      <c r="M28" s="268"/>
      <c r="N28" s="268"/>
      <c r="O28" s="268"/>
    </row>
    <row r="29" spans="1:15" ht="54" customHeight="1" x14ac:dyDescent="0.25">
      <c r="A29" s="266">
        <f t="shared" si="0"/>
        <v>18</v>
      </c>
      <c r="B29" s="492" t="s">
        <v>146</v>
      </c>
      <c r="C29" s="493"/>
      <c r="D29" s="267" t="s">
        <v>429</v>
      </c>
      <c r="E29" s="268"/>
      <c r="F29" s="268"/>
      <c r="G29" s="266" t="s">
        <v>42</v>
      </c>
      <c r="H29" s="266">
        <v>2017</v>
      </c>
      <c r="I29" s="266" t="s">
        <v>147</v>
      </c>
      <c r="J29" s="269" t="s">
        <v>166</v>
      </c>
      <c r="K29" s="270">
        <v>1066031</v>
      </c>
      <c r="L29" s="266" t="s">
        <v>26</v>
      </c>
      <c r="M29" s="268"/>
      <c r="N29" s="268"/>
      <c r="O29" s="268"/>
    </row>
    <row r="30" spans="1:15" ht="36" customHeight="1" x14ac:dyDescent="0.25">
      <c r="A30" s="266">
        <f t="shared" si="0"/>
        <v>19</v>
      </c>
      <c r="B30" s="492" t="s">
        <v>188</v>
      </c>
      <c r="C30" s="493"/>
      <c r="D30" s="267" t="s">
        <v>189</v>
      </c>
      <c r="E30" s="335"/>
      <c r="F30" s="335"/>
      <c r="G30" s="266"/>
      <c r="H30" s="266">
        <v>2020</v>
      </c>
      <c r="I30" s="266" t="s">
        <v>190</v>
      </c>
      <c r="J30" s="269" t="s">
        <v>191</v>
      </c>
      <c r="K30" s="281">
        <v>9468480</v>
      </c>
      <c r="L30" s="266" t="s">
        <v>26</v>
      </c>
      <c r="M30" s="335"/>
      <c r="N30" s="335"/>
      <c r="O30" s="335"/>
    </row>
    <row r="31" spans="1:15" ht="36" customHeight="1" x14ac:dyDescent="0.25">
      <c r="A31" s="417">
        <f t="shared" si="0"/>
        <v>20</v>
      </c>
      <c r="B31" s="515" t="s">
        <v>478</v>
      </c>
      <c r="C31" s="515"/>
      <c r="D31" s="418" t="s">
        <v>479</v>
      </c>
      <c r="E31" s="419"/>
      <c r="F31" s="419"/>
      <c r="G31" s="420" t="s">
        <v>50</v>
      </c>
      <c r="H31" s="417">
        <v>2019</v>
      </c>
      <c r="I31" s="417" t="s">
        <v>480</v>
      </c>
      <c r="J31" s="421" t="s">
        <v>54</v>
      </c>
      <c r="K31" s="422">
        <v>15090000</v>
      </c>
      <c r="L31" s="417" t="s">
        <v>26</v>
      </c>
      <c r="M31" s="417"/>
      <c r="N31" s="419"/>
      <c r="O31" s="418" t="s">
        <v>562</v>
      </c>
    </row>
    <row r="32" spans="1:15" ht="36" customHeight="1" x14ac:dyDescent="0.25">
      <c r="A32" s="425">
        <v>21</v>
      </c>
      <c r="B32" s="513" t="s">
        <v>563</v>
      </c>
      <c r="C32" s="514"/>
      <c r="D32" s="423" t="s">
        <v>564</v>
      </c>
      <c r="E32" s="272"/>
      <c r="F32" s="272"/>
      <c r="G32" s="340" t="s">
        <v>56</v>
      </c>
      <c r="H32" s="273">
        <v>2014</v>
      </c>
      <c r="I32" s="273" t="s">
        <v>105</v>
      </c>
      <c r="J32" s="424" t="s">
        <v>111</v>
      </c>
      <c r="K32" s="341"/>
      <c r="L32" s="273" t="s">
        <v>26</v>
      </c>
      <c r="M32" s="273"/>
      <c r="N32" s="272"/>
      <c r="O32" s="271"/>
    </row>
    <row r="33" spans="1:15" ht="18" x14ac:dyDescent="0.25">
      <c r="A33" s="214"/>
      <c r="B33" s="213"/>
      <c r="C33" s="583" t="s">
        <v>36</v>
      </c>
      <c r="D33" s="213"/>
      <c r="E33" s="213"/>
      <c r="F33" s="213"/>
      <c r="G33" s="213"/>
      <c r="H33" s="213"/>
      <c r="I33" s="213"/>
      <c r="J33" s="213"/>
      <c r="K33" s="213"/>
      <c r="L33" s="583" t="s">
        <v>582</v>
      </c>
      <c r="M33" s="213"/>
      <c r="N33" s="214"/>
      <c r="O33" s="214"/>
    </row>
    <row r="34" spans="1:15" ht="18" x14ac:dyDescent="0.25">
      <c r="A34" s="214"/>
      <c r="B34" s="214"/>
      <c r="C34" s="277"/>
      <c r="D34" s="214"/>
      <c r="E34" s="214"/>
      <c r="F34" s="214"/>
      <c r="G34" s="214"/>
      <c r="H34" s="214"/>
      <c r="I34" s="214"/>
      <c r="J34" s="214"/>
      <c r="K34" s="214"/>
      <c r="L34" s="277"/>
      <c r="M34" s="214"/>
      <c r="N34" s="214"/>
      <c r="O34" s="214"/>
    </row>
    <row r="35" spans="1:15" ht="18" x14ac:dyDescent="0.25">
      <c r="A35" s="214"/>
      <c r="B35" s="214"/>
      <c r="C35" s="5" t="s">
        <v>572</v>
      </c>
      <c r="D35" s="214"/>
      <c r="E35" s="214"/>
      <c r="F35" s="214"/>
      <c r="G35" s="214"/>
      <c r="H35" s="214"/>
      <c r="I35" s="214"/>
      <c r="J35" s="214"/>
      <c r="K35" s="214"/>
      <c r="L35" s="5" t="s">
        <v>37</v>
      </c>
      <c r="M35" s="214"/>
      <c r="N35" s="214"/>
      <c r="O35" s="214"/>
    </row>
    <row r="36" spans="1:15" ht="18" x14ac:dyDescent="0.25">
      <c r="A36" s="214"/>
      <c r="B36" s="214"/>
      <c r="C36" s="5"/>
      <c r="D36" s="214"/>
      <c r="E36" s="214"/>
      <c r="F36" s="214"/>
      <c r="G36" s="214"/>
      <c r="H36" s="214"/>
      <c r="I36" s="214"/>
      <c r="J36" s="214"/>
      <c r="K36" s="214"/>
      <c r="L36" s="5"/>
      <c r="M36" s="214"/>
      <c r="N36" s="214"/>
      <c r="O36" s="214"/>
    </row>
    <row r="37" spans="1:15" ht="18" x14ac:dyDescent="0.25">
      <c r="A37" s="214"/>
      <c r="B37" s="214"/>
      <c r="C37" s="5"/>
      <c r="D37" s="214"/>
      <c r="E37" s="214"/>
      <c r="F37" s="214"/>
      <c r="G37" s="214"/>
      <c r="H37" s="214"/>
      <c r="I37" s="214"/>
      <c r="J37" s="214"/>
      <c r="K37" s="214"/>
      <c r="L37" s="5"/>
      <c r="M37" s="214"/>
      <c r="N37" s="214"/>
      <c r="O37" s="214"/>
    </row>
    <row r="38" spans="1:15" ht="18" x14ac:dyDescent="0.25">
      <c r="A38" s="214"/>
      <c r="B38" s="214"/>
      <c r="C38" s="5"/>
      <c r="D38" s="214"/>
      <c r="E38" s="214"/>
      <c r="F38" s="214"/>
      <c r="G38" s="214"/>
      <c r="H38" s="214"/>
      <c r="I38" s="214"/>
      <c r="J38" s="214"/>
      <c r="K38" s="214"/>
      <c r="L38" s="5"/>
      <c r="M38" s="214"/>
      <c r="N38" s="214"/>
      <c r="O38" s="214"/>
    </row>
    <row r="39" spans="1:15" ht="18" x14ac:dyDescent="0.25">
      <c r="A39" s="214"/>
      <c r="B39" s="214"/>
      <c r="C39" s="6" t="s">
        <v>573</v>
      </c>
      <c r="D39" s="214"/>
      <c r="E39" s="214"/>
      <c r="F39" s="214"/>
      <c r="G39" s="214"/>
      <c r="H39" s="214"/>
      <c r="I39" s="214"/>
      <c r="J39" s="214"/>
      <c r="K39" s="214"/>
      <c r="L39" s="6" t="s">
        <v>576</v>
      </c>
      <c r="M39" s="214"/>
      <c r="N39" s="214"/>
      <c r="O39" s="214"/>
    </row>
    <row r="40" spans="1:15" ht="18" x14ac:dyDescent="0.25">
      <c r="A40" s="214"/>
      <c r="B40" s="214"/>
      <c r="C40" s="5" t="s">
        <v>39</v>
      </c>
      <c r="D40" s="214"/>
      <c r="E40" s="214"/>
      <c r="F40" s="214"/>
      <c r="G40" s="214"/>
      <c r="H40" s="214"/>
      <c r="I40" s="214"/>
      <c r="J40" s="214"/>
      <c r="K40" s="214"/>
      <c r="L40" s="23" t="str">
        <f>'RUANG KASUBBAG KEUANGAN'!L30</f>
        <v>NIP. 19721124 200604 2 005</v>
      </c>
      <c r="M40" s="214"/>
      <c r="N40" s="214"/>
      <c r="O40" s="214"/>
    </row>
    <row r="41" spans="1:15" ht="18" x14ac:dyDescent="0.25">
      <c r="A41" s="214"/>
      <c r="B41" s="214"/>
      <c r="C41" s="23" t="s">
        <v>574</v>
      </c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</row>
    <row r="42" spans="1:15" x14ac:dyDescent="0.25">
      <c r="K42" s="24"/>
    </row>
    <row r="44" spans="1:15" x14ac:dyDescent="0.25">
      <c r="B44" s="22"/>
    </row>
    <row r="45" spans="1:15" x14ac:dyDescent="0.25">
      <c r="B45" s="22"/>
    </row>
  </sheetData>
  <mergeCells count="35">
    <mergeCell ref="B25:C25"/>
    <mergeCell ref="B26:C26"/>
    <mergeCell ref="B21:C21"/>
    <mergeCell ref="A2:B2"/>
    <mergeCell ref="A3:B3"/>
    <mergeCell ref="A4:B4"/>
    <mergeCell ref="A5:B5"/>
    <mergeCell ref="B8:C8"/>
    <mergeCell ref="A9:A10"/>
    <mergeCell ref="B9:C10"/>
    <mergeCell ref="D9:D10"/>
    <mergeCell ref="E9:E10"/>
    <mergeCell ref="B32:C32"/>
    <mergeCell ref="B31:C31"/>
    <mergeCell ref="B30:C30"/>
    <mergeCell ref="B18:C18"/>
    <mergeCell ref="B22:C22"/>
    <mergeCell ref="B19:C19"/>
    <mergeCell ref="B23:C23"/>
    <mergeCell ref="B20:C20"/>
    <mergeCell ref="B28:C28"/>
    <mergeCell ref="B29:C29"/>
    <mergeCell ref="B27:C27"/>
    <mergeCell ref="B24:C24"/>
    <mergeCell ref="O9:O10"/>
    <mergeCell ref="B11:C11"/>
    <mergeCell ref="B17:C17"/>
    <mergeCell ref="B13:C13"/>
    <mergeCell ref="B14:C14"/>
    <mergeCell ref="B15:C15"/>
    <mergeCell ref="G8:G10"/>
    <mergeCell ref="L8:N8"/>
    <mergeCell ref="B12:C12"/>
    <mergeCell ref="B16:C16"/>
    <mergeCell ref="F8:F10"/>
  </mergeCells>
  <printOptions horizontalCentered="1"/>
  <pageMargins left="0.11811023622047245" right="0.35433070866141736" top="0.19685039370078741" bottom="0.15748031496062992" header="0" footer="0"/>
  <pageSetup paperSize="5" scale="65" orientation="landscape" horizontalDpi="4294967293" verticalDpi="180" r:id="rId1"/>
  <headerFooter alignWithMargins="0">
    <oddFooter>&amp;L&amp;9&amp;F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O40"/>
  <sheetViews>
    <sheetView view="pageBreakPreview" zoomScale="80" zoomScaleNormal="55" zoomScaleSheetLayoutView="80" workbookViewId="0">
      <selection activeCell="V18" sqref="V18"/>
    </sheetView>
  </sheetViews>
  <sheetFormatPr defaultRowHeight="15.75" x14ac:dyDescent="0.25"/>
  <cols>
    <col min="1" max="1" width="7.125" customWidth="1"/>
    <col min="2" max="2" width="8" customWidth="1"/>
    <col min="3" max="3" width="11.125" customWidth="1"/>
    <col min="4" max="4" width="14.25" customWidth="1"/>
    <col min="5" max="5" width="9.875" customWidth="1"/>
    <col min="6" max="6" width="8.875" customWidth="1"/>
    <col min="7" max="7" width="10.375" customWidth="1"/>
    <col min="8" max="8" width="18.625" customWidth="1"/>
    <col min="9" max="9" width="20.75" customWidth="1"/>
    <col min="10" max="10" width="13.375" customWidth="1"/>
    <col min="11" max="11" width="16.875" customWidth="1"/>
    <col min="13" max="13" width="14.875" customWidth="1"/>
    <col min="14" max="14" width="14.125" customWidth="1"/>
    <col min="15" max="15" width="14.375" customWidth="1"/>
    <col min="258" max="258" width="7" customWidth="1"/>
    <col min="259" max="259" width="17.75" customWidth="1"/>
    <col min="260" max="260" width="10.875" customWidth="1"/>
    <col min="261" max="261" width="11.25" customWidth="1"/>
    <col min="262" max="262" width="11.5" customWidth="1"/>
    <col min="263" max="263" width="11.625" customWidth="1"/>
    <col min="264" max="264" width="15.5" customWidth="1"/>
    <col min="265" max="265" width="18.75" customWidth="1"/>
    <col min="266" max="266" width="15.375" customWidth="1"/>
    <col min="267" max="267" width="15.125" customWidth="1"/>
    <col min="269" max="269" width="11" customWidth="1"/>
    <col min="270" max="270" width="10.625" customWidth="1"/>
    <col min="271" max="271" width="9.625" customWidth="1"/>
    <col min="514" max="514" width="7" customWidth="1"/>
    <col min="515" max="515" width="17.75" customWidth="1"/>
    <col min="516" max="516" width="10.875" customWidth="1"/>
    <col min="517" max="517" width="11.25" customWidth="1"/>
    <col min="518" max="518" width="11.5" customWidth="1"/>
    <col min="519" max="519" width="11.625" customWidth="1"/>
    <col min="520" max="520" width="15.5" customWidth="1"/>
    <col min="521" max="521" width="18.75" customWidth="1"/>
    <col min="522" max="522" width="15.375" customWidth="1"/>
    <col min="523" max="523" width="15.125" customWidth="1"/>
    <col min="525" max="525" width="11" customWidth="1"/>
    <col min="526" max="526" width="10.625" customWidth="1"/>
    <col min="527" max="527" width="9.625" customWidth="1"/>
    <col min="770" max="770" width="7" customWidth="1"/>
    <col min="771" max="771" width="17.75" customWidth="1"/>
    <col min="772" max="772" width="10.875" customWidth="1"/>
    <col min="773" max="773" width="11.25" customWidth="1"/>
    <col min="774" max="774" width="11.5" customWidth="1"/>
    <col min="775" max="775" width="11.625" customWidth="1"/>
    <col min="776" max="776" width="15.5" customWidth="1"/>
    <col min="777" max="777" width="18.75" customWidth="1"/>
    <col min="778" max="778" width="15.375" customWidth="1"/>
    <col min="779" max="779" width="15.125" customWidth="1"/>
    <col min="781" max="781" width="11" customWidth="1"/>
    <col min="782" max="782" width="10.625" customWidth="1"/>
    <col min="783" max="783" width="9.625" customWidth="1"/>
    <col min="1026" max="1026" width="7" customWidth="1"/>
    <col min="1027" max="1027" width="17.75" customWidth="1"/>
    <col min="1028" max="1028" width="10.875" customWidth="1"/>
    <col min="1029" max="1029" width="11.25" customWidth="1"/>
    <col min="1030" max="1030" width="11.5" customWidth="1"/>
    <col min="1031" max="1031" width="11.625" customWidth="1"/>
    <col min="1032" max="1032" width="15.5" customWidth="1"/>
    <col min="1033" max="1033" width="18.75" customWidth="1"/>
    <col min="1034" max="1034" width="15.375" customWidth="1"/>
    <col min="1035" max="1035" width="15.125" customWidth="1"/>
    <col min="1037" max="1037" width="11" customWidth="1"/>
    <col min="1038" max="1038" width="10.625" customWidth="1"/>
    <col min="1039" max="1039" width="9.625" customWidth="1"/>
    <col min="1282" max="1282" width="7" customWidth="1"/>
    <col min="1283" max="1283" width="17.75" customWidth="1"/>
    <col min="1284" max="1284" width="10.875" customWidth="1"/>
    <col min="1285" max="1285" width="11.25" customWidth="1"/>
    <col min="1286" max="1286" width="11.5" customWidth="1"/>
    <col min="1287" max="1287" width="11.625" customWidth="1"/>
    <col min="1288" max="1288" width="15.5" customWidth="1"/>
    <col min="1289" max="1289" width="18.75" customWidth="1"/>
    <col min="1290" max="1290" width="15.375" customWidth="1"/>
    <col min="1291" max="1291" width="15.125" customWidth="1"/>
    <col min="1293" max="1293" width="11" customWidth="1"/>
    <col min="1294" max="1294" width="10.625" customWidth="1"/>
    <col min="1295" max="1295" width="9.625" customWidth="1"/>
    <col min="1538" max="1538" width="7" customWidth="1"/>
    <col min="1539" max="1539" width="17.75" customWidth="1"/>
    <col min="1540" max="1540" width="10.875" customWidth="1"/>
    <col min="1541" max="1541" width="11.25" customWidth="1"/>
    <col min="1542" max="1542" width="11.5" customWidth="1"/>
    <col min="1543" max="1543" width="11.625" customWidth="1"/>
    <col min="1544" max="1544" width="15.5" customWidth="1"/>
    <col min="1545" max="1545" width="18.75" customWidth="1"/>
    <col min="1546" max="1546" width="15.375" customWidth="1"/>
    <col min="1547" max="1547" width="15.125" customWidth="1"/>
    <col min="1549" max="1549" width="11" customWidth="1"/>
    <col min="1550" max="1550" width="10.625" customWidth="1"/>
    <col min="1551" max="1551" width="9.625" customWidth="1"/>
    <col min="1794" max="1794" width="7" customWidth="1"/>
    <col min="1795" max="1795" width="17.75" customWidth="1"/>
    <col min="1796" max="1796" width="10.875" customWidth="1"/>
    <col min="1797" max="1797" width="11.25" customWidth="1"/>
    <col min="1798" max="1798" width="11.5" customWidth="1"/>
    <col min="1799" max="1799" width="11.625" customWidth="1"/>
    <col min="1800" max="1800" width="15.5" customWidth="1"/>
    <col min="1801" max="1801" width="18.75" customWidth="1"/>
    <col min="1802" max="1802" width="15.375" customWidth="1"/>
    <col min="1803" max="1803" width="15.125" customWidth="1"/>
    <col min="1805" max="1805" width="11" customWidth="1"/>
    <col min="1806" max="1806" width="10.625" customWidth="1"/>
    <col min="1807" max="1807" width="9.625" customWidth="1"/>
    <col min="2050" max="2050" width="7" customWidth="1"/>
    <col min="2051" max="2051" width="17.75" customWidth="1"/>
    <col min="2052" max="2052" width="10.875" customWidth="1"/>
    <col min="2053" max="2053" width="11.25" customWidth="1"/>
    <col min="2054" max="2054" width="11.5" customWidth="1"/>
    <col min="2055" max="2055" width="11.625" customWidth="1"/>
    <col min="2056" max="2056" width="15.5" customWidth="1"/>
    <col min="2057" max="2057" width="18.75" customWidth="1"/>
    <col min="2058" max="2058" width="15.375" customWidth="1"/>
    <col min="2059" max="2059" width="15.125" customWidth="1"/>
    <col min="2061" max="2061" width="11" customWidth="1"/>
    <col min="2062" max="2062" width="10.625" customWidth="1"/>
    <col min="2063" max="2063" width="9.625" customWidth="1"/>
    <col min="2306" max="2306" width="7" customWidth="1"/>
    <col min="2307" max="2307" width="17.75" customWidth="1"/>
    <col min="2308" max="2308" width="10.875" customWidth="1"/>
    <col min="2309" max="2309" width="11.25" customWidth="1"/>
    <col min="2310" max="2310" width="11.5" customWidth="1"/>
    <col min="2311" max="2311" width="11.625" customWidth="1"/>
    <col min="2312" max="2312" width="15.5" customWidth="1"/>
    <col min="2313" max="2313" width="18.75" customWidth="1"/>
    <col min="2314" max="2314" width="15.375" customWidth="1"/>
    <col min="2315" max="2315" width="15.125" customWidth="1"/>
    <col min="2317" max="2317" width="11" customWidth="1"/>
    <col min="2318" max="2318" width="10.625" customWidth="1"/>
    <col min="2319" max="2319" width="9.625" customWidth="1"/>
    <col min="2562" max="2562" width="7" customWidth="1"/>
    <col min="2563" max="2563" width="17.75" customWidth="1"/>
    <col min="2564" max="2564" width="10.875" customWidth="1"/>
    <col min="2565" max="2565" width="11.25" customWidth="1"/>
    <col min="2566" max="2566" width="11.5" customWidth="1"/>
    <col min="2567" max="2567" width="11.625" customWidth="1"/>
    <col min="2568" max="2568" width="15.5" customWidth="1"/>
    <col min="2569" max="2569" width="18.75" customWidth="1"/>
    <col min="2570" max="2570" width="15.375" customWidth="1"/>
    <col min="2571" max="2571" width="15.125" customWidth="1"/>
    <col min="2573" max="2573" width="11" customWidth="1"/>
    <col min="2574" max="2574" width="10.625" customWidth="1"/>
    <col min="2575" max="2575" width="9.625" customWidth="1"/>
    <col min="2818" max="2818" width="7" customWidth="1"/>
    <col min="2819" max="2819" width="17.75" customWidth="1"/>
    <col min="2820" max="2820" width="10.875" customWidth="1"/>
    <col min="2821" max="2821" width="11.25" customWidth="1"/>
    <col min="2822" max="2822" width="11.5" customWidth="1"/>
    <col min="2823" max="2823" width="11.625" customWidth="1"/>
    <col min="2824" max="2824" width="15.5" customWidth="1"/>
    <col min="2825" max="2825" width="18.75" customWidth="1"/>
    <col min="2826" max="2826" width="15.375" customWidth="1"/>
    <col min="2827" max="2827" width="15.125" customWidth="1"/>
    <col min="2829" max="2829" width="11" customWidth="1"/>
    <col min="2830" max="2830" width="10.625" customWidth="1"/>
    <col min="2831" max="2831" width="9.625" customWidth="1"/>
    <col min="3074" max="3074" width="7" customWidth="1"/>
    <col min="3075" max="3075" width="17.75" customWidth="1"/>
    <col min="3076" max="3076" width="10.875" customWidth="1"/>
    <col min="3077" max="3077" width="11.25" customWidth="1"/>
    <col min="3078" max="3078" width="11.5" customWidth="1"/>
    <col min="3079" max="3079" width="11.625" customWidth="1"/>
    <col min="3080" max="3080" width="15.5" customWidth="1"/>
    <col min="3081" max="3081" width="18.75" customWidth="1"/>
    <col min="3082" max="3082" width="15.375" customWidth="1"/>
    <col min="3083" max="3083" width="15.125" customWidth="1"/>
    <col min="3085" max="3085" width="11" customWidth="1"/>
    <col min="3086" max="3086" width="10.625" customWidth="1"/>
    <col min="3087" max="3087" width="9.625" customWidth="1"/>
    <col min="3330" max="3330" width="7" customWidth="1"/>
    <col min="3331" max="3331" width="17.75" customWidth="1"/>
    <col min="3332" max="3332" width="10.875" customWidth="1"/>
    <col min="3333" max="3333" width="11.25" customWidth="1"/>
    <col min="3334" max="3334" width="11.5" customWidth="1"/>
    <col min="3335" max="3335" width="11.625" customWidth="1"/>
    <col min="3336" max="3336" width="15.5" customWidth="1"/>
    <col min="3337" max="3337" width="18.75" customWidth="1"/>
    <col min="3338" max="3338" width="15.375" customWidth="1"/>
    <col min="3339" max="3339" width="15.125" customWidth="1"/>
    <col min="3341" max="3341" width="11" customWidth="1"/>
    <col min="3342" max="3342" width="10.625" customWidth="1"/>
    <col min="3343" max="3343" width="9.625" customWidth="1"/>
    <col min="3586" max="3586" width="7" customWidth="1"/>
    <col min="3587" max="3587" width="17.75" customWidth="1"/>
    <col min="3588" max="3588" width="10.875" customWidth="1"/>
    <col min="3589" max="3589" width="11.25" customWidth="1"/>
    <col min="3590" max="3590" width="11.5" customWidth="1"/>
    <col min="3591" max="3591" width="11.625" customWidth="1"/>
    <col min="3592" max="3592" width="15.5" customWidth="1"/>
    <col min="3593" max="3593" width="18.75" customWidth="1"/>
    <col min="3594" max="3594" width="15.375" customWidth="1"/>
    <col min="3595" max="3595" width="15.125" customWidth="1"/>
    <col min="3597" max="3597" width="11" customWidth="1"/>
    <col min="3598" max="3598" width="10.625" customWidth="1"/>
    <col min="3599" max="3599" width="9.625" customWidth="1"/>
    <col min="3842" max="3842" width="7" customWidth="1"/>
    <col min="3843" max="3843" width="17.75" customWidth="1"/>
    <col min="3844" max="3844" width="10.875" customWidth="1"/>
    <col min="3845" max="3845" width="11.25" customWidth="1"/>
    <col min="3846" max="3846" width="11.5" customWidth="1"/>
    <col min="3847" max="3847" width="11.625" customWidth="1"/>
    <col min="3848" max="3848" width="15.5" customWidth="1"/>
    <col min="3849" max="3849" width="18.75" customWidth="1"/>
    <col min="3850" max="3850" width="15.375" customWidth="1"/>
    <col min="3851" max="3851" width="15.125" customWidth="1"/>
    <col min="3853" max="3853" width="11" customWidth="1"/>
    <col min="3854" max="3854" width="10.625" customWidth="1"/>
    <col min="3855" max="3855" width="9.625" customWidth="1"/>
    <col min="4098" max="4098" width="7" customWidth="1"/>
    <col min="4099" max="4099" width="17.75" customWidth="1"/>
    <col min="4100" max="4100" width="10.875" customWidth="1"/>
    <col min="4101" max="4101" width="11.25" customWidth="1"/>
    <col min="4102" max="4102" width="11.5" customWidth="1"/>
    <col min="4103" max="4103" width="11.625" customWidth="1"/>
    <col min="4104" max="4104" width="15.5" customWidth="1"/>
    <col min="4105" max="4105" width="18.75" customWidth="1"/>
    <col min="4106" max="4106" width="15.375" customWidth="1"/>
    <col min="4107" max="4107" width="15.125" customWidth="1"/>
    <col min="4109" max="4109" width="11" customWidth="1"/>
    <col min="4110" max="4110" width="10.625" customWidth="1"/>
    <col min="4111" max="4111" width="9.625" customWidth="1"/>
    <col min="4354" max="4354" width="7" customWidth="1"/>
    <col min="4355" max="4355" width="17.75" customWidth="1"/>
    <col min="4356" max="4356" width="10.875" customWidth="1"/>
    <col min="4357" max="4357" width="11.25" customWidth="1"/>
    <col min="4358" max="4358" width="11.5" customWidth="1"/>
    <col min="4359" max="4359" width="11.625" customWidth="1"/>
    <col min="4360" max="4360" width="15.5" customWidth="1"/>
    <col min="4361" max="4361" width="18.75" customWidth="1"/>
    <col min="4362" max="4362" width="15.375" customWidth="1"/>
    <col min="4363" max="4363" width="15.125" customWidth="1"/>
    <col min="4365" max="4365" width="11" customWidth="1"/>
    <col min="4366" max="4366" width="10.625" customWidth="1"/>
    <col min="4367" max="4367" width="9.625" customWidth="1"/>
    <col min="4610" max="4610" width="7" customWidth="1"/>
    <col min="4611" max="4611" width="17.75" customWidth="1"/>
    <col min="4612" max="4612" width="10.875" customWidth="1"/>
    <col min="4613" max="4613" width="11.25" customWidth="1"/>
    <col min="4614" max="4614" width="11.5" customWidth="1"/>
    <col min="4615" max="4615" width="11.625" customWidth="1"/>
    <col min="4616" max="4616" width="15.5" customWidth="1"/>
    <col min="4617" max="4617" width="18.75" customWidth="1"/>
    <col min="4618" max="4618" width="15.375" customWidth="1"/>
    <col min="4619" max="4619" width="15.125" customWidth="1"/>
    <col min="4621" max="4621" width="11" customWidth="1"/>
    <col min="4622" max="4622" width="10.625" customWidth="1"/>
    <col min="4623" max="4623" width="9.625" customWidth="1"/>
    <col min="4866" max="4866" width="7" customWidth="1"/>
    <col min="4867" max="4867" width="17.75" customWidth="1"/>
    <col min="4868" max="4868" width="10.875" customWidth="1"/>
    <col min="4869" max="4869" width="11.25" customWidth="1"/>
    <col min="4870" max="4870" width="11.5" customWidth="1"/>
    <col min="4871" max="4871" width="11.625" customWidth="1"/>
    <col min="4872" max="4872" width="15.5" customWidth="1"/>
    <col min="4873" max="4873" width="18.75" customWidth="1"/>
    <col min="4874" max="4874" width="15.375" customWidth="1"/>
    <col min="4875" max="4875" width="15.125" customWidth="1"/>
    <col min="4877" max="4877" width="11" customWidth="1"/>
    <col min="4878" max="4878" width="10.625" customWidth="1"/>
    <col min="4879" max="4879" width="9.625" customWidth="1"/>
    <col min="5122" max="5122" width="7" customWidth="1"/>
    <col min="5123" max="5123" width="17.75" customWidth="1"/>
    <col min="5124" max="5124" width="10.875" customWidth="1"/>
    <col min="5125" max="5125" width="11.25" customWidth="1"/>
    <col min="5126" max="5126" width="11.5" customWidth="1"/>
    <col min="5127" max="5127" width="11.625" customWidth="1"/>
    <col min="5128" max="5128" width="15.5" customWidth="1"/>
    <col min="5129" max="5129" width="18.75" customWidth="1"/>
    <col min="5130" max="5130" width="15.375" customWidth="1"/>
    <col min="5131" max="5131" width="15.125" customWidth="1"/>
    <col min="5133" max="5133" width="11" customWidth="1"/>
    <col min="5134" max="5134" width="10.625" customWidth="1"/>
    <col min="5135" max="5135" width="9.625" customWidth="1"/>
    <col min="5378" max="5378" width="7" customWidth="1"/>
    <col min="5379" max="5379" width="17.75" customWidth="1"/>
    <col min="5380" max="5380" width="10.875" customWidth="1"/>
    <col min="5381" max="5381" width="11.25" customWidth="1"/>
    <col min="5382" max="5382" width="11.5" customWidth="1"/>
    <col min="5383" max="5383" width="11.625" customWidth="1"/>
    <col min="5384" max="5384" width="15.5" customWidth="1"/>
    <col min="5385" max="5385" width="18.75" customWidth="1"/>
    <col min="5386" max="5386" width="15.375" customWidth="1"/>
    <col min="5387" max="5387" width="15.125" customWidth="1"/>
    <col min="5389" max="5389" width="11" customWidth="1"/>
    <col min="5390" max="5390" width="10.625" customWidth="1"/>
    <col min="5391" max="5391" width="9.625" customWidth="1"/>
    <col min="5634" max="5634" width="7" customWidth="1"/>
    <col min="5635" max="5635" width="17.75" customWidth="1"/>
    <col min="5636" max="5636" width="10.875" customWidth="1"/>
    <col min="5637" max="5637" width="11.25" customWidth="1"/>
    <col min="5638" max="5638" width="11.5" customWidth="1"/>
    <col min="5639" max="5639" width="11.625" customWidth="1"/>
    <col min="5640" max="5640" width="15.5" customWidth="1"/>
    <col min="5641" max="5641" width="18.75" customWidth="1"/>
    <col min="5642" max="5642" width="15.375" customWidth="1"/>
    <col min="5643" max="5643" width="15.125" customWidth="1"/>
    <col min="5645" max="5645" width="11" customWidth="1"/>
    <col min="5646" max="5646" width="10.625" customWidth="1"/>
    <col min="5647" max="5647" width="9.625" customWidth="1"/>
    <col min="5890" max="5890" width="7" customWidth="1"/>
    <col min="5891" max="5891" width="17.75" customWidth="1"/>
    <col min="5892" max="5892" width="10.875" customWidth="1"/>
    <col min="5893" max="5893" width="11.25" customWidth="1"/>
    <col min="5894" max="5894" width="11.5" customWidth="1"/>
    <col min="5895" max="5895" width="11.625" customWidth="1"/>
    <col min="5896" max="5896" width="15.5" customWidth="1"/>
    <col min="5897" max="5897" width="18.75" customWidth="1"/>
    <col min="5898" max="5898" width="15.375" customWidth="1"/>
    <col min="5899" max="5899" width="15.125" customWidth="1"/>
    <col min="5901" max="5901" width="11" customWidth="1"/>
    <col min="5902" max="5902" width="10.625" customWidth="1"/>
    <col min="5903" max="5903" width="9.625" customWidth="1"/>
    <col min="6146" max="6146" width="7" customWidth="1"/>
    <col min="6147" max="6147" width="17.75" customWidth="1"/>
    <col min="6148" max="6148" width="10.875" customWidth="1"/>
    <col min="6149" max="6149" width="11.25" customWidth="1"/>
    <col min="6150" max="6150" width="11.5" customWidth="1"/>
    <col min="6151" max="6151" width="11.625" customWidth="1"/>
    <col min="6152" max="6152" width="15.5" customWidth="1"/>
    <col min="6153" max="6153" width="18.75" customWidth="1"/>
    <col min="6154" max="6154" width="15.375" customWidth="1"/>
    <col min="6155" max="6155" width="15.125" customWidth="1"/>
    <col min="6157" max="6157" width="11" customWidth="1"/>
    <col min="6158" max="6158" width="10.625" customWidth="1"/>
    <col min="6159" max="6159" width="9.625" customWidth="1"/>
    <col min="6402" max="6402" width="7" customWidth="1"/>
    <col min="6403" max="6403" width="17.75" customWidth="1"/>
    <col min="6404" max="6404" width="10.875" customWidth="1"/>
    <col min="6405" max="6405" width="11.25" customWidth="1"/>
    <col min="6406" max="6406" width="11.5" customWidth="1"/>
    <col min="6407" max="6407" width="11.625" customWidth="1"/>
    <col min="6408" max="6408" width="15.5" customWidth="1"/>
    <col min="6409" max="6409" width="18.75" customWidth="1"/>
    <col min="6410" max="6410" width="15.375" customWidth="1"/>
    <col min="6411" max="6411" width="15.125" customWidth="1"/>
    <col min="6413" max="6413" width="11" customWidth="1"/>
    <col min="6414" max="6414" width="10.625" customWidth="1"/>
    <col min="6415" max="6415" width="9.625" customWidth="1"/>
    <col min="6658" max="6658" width="7" customWidth="1"/>
    <col min="6659" max="6659" width="17.75" customWidth="1"/>
    <col min="6660" max="6660" width="10.875" customWidth="1"/>
    <col min="6661" max="6661" width="11.25" customWidth="1"/>
    <col min="6662" max="6662" width="11.5" customWidth="1"/>
    <col min="6663" max="6663" width="11.625" customWidth="1"/>
    <col min="6664" max="6664" width="15.5" customWidth="1"/>
    <col min="6665" max="6665" width="18.75" customWidth="1"/>
    <col min="6666" max="6666" width="15.375" customWidth="1"/>
    <col min="6667" max="6667" width="15.125" customWidth="1"/>
    <col min="6669" max="6669" width="11" customWidth="1"/>
    <col min="6670" max="6670" width="10.625" customWidth="1"/>
    <col min="6671" max="6671" width="9.625" customWidth="1"/>
    <col min="6914" max="6914" width="7" customWidth="1"/>
    <col min="6915" max="6915" width="17.75" customWidth="1"/>
    <col min="6916" max="6916" width="10.875" customWidth="1"/>
    <col min="6917" max="6917" width="11.25" customWidth="1"/>
    <col min="6918" max="6918" width="11.5" customWidth="1"/>
    <col min="6919" max="6919" width="11.625" customWidth="1"/>
    <col min="6920" max="6920" width="15.5" customWidth="1"/>
    <col min="6921" max="6921" width="18.75" customWidth="1"/>
    <col min="6922" max="6922" width="15.375" customWidth="1"/>
    <col min="6923" max="6923" width="15.125" customWidth="1"/>
    <col min="6925" max="6925" width="11" customWidth="1"/>
    <col min="6926" max="6926" width="10.625" customWidth="1"/>
    <col min="6927" max="6927" width="9.625" customWidth="1"/>
    <col min="7170" max="7170" width="7" customWidth="1"/>
    <col min="7171" max="7171" width="17.75" customWidth="1"/>
    <col min="7172" max="7172" width="10.875" customWidth="1"/>
    <col min="7173" max="7173" width="11.25" customWidth="1"/>
    <col min="7174" max="7174" width="11.5" customWidth="1"/>
    <col min="7175" max="7175" width="11.625" customWidth="1"/>
    <col min="7176" max="7176" width="15.5" customWidth="1"/>
    <col min="7177" max="7177" width="18.75" customWidth="1"/>
    <col min="7178" max="7178" width="15.375" customWidth="1"/>
    <col min="7179" max="7179" width="15.125" customWidth="1"/>
    <col min="7181" max="7181" width="11" customWidth="1"/>
    <col min="7182" max="7182" width="10.625" customWidth="1"/>
    <col min="7183" max="7183" width="9.625" customWidth="1"/>
    <col min="7426" max="7426" width="7" customWidth="1"/>
    <col min="7427" max="7427" width="17.75" customWidth="1"/>
    <col min="7428" max="7428" width="10.875" customWidth="1"/>
    <col min="7429" max="7429" width="11.25" customWidth="1"/>
    <col min="7430" max="7430" width="11.5" customWidth="1"/>
    <col min="7431" max="7431" width="11.625" customWidth="1"/>
    <col min="7432" max="7432" width="15.5" customWidth="1"/>
    <col min="7433" max="7433" width="18.75" customWidth="1"/>
    <col min="7434" max="7434" width="15.375" customWidth="1"/>
    <col min="7435" max="7435" width="15.125" customWidth="1"/>
    <col min="7437" max="7437" width="11" customWidth="1"/>
    <col min="7438" max="7438" width="10.625" customWidth="1"/>
    <col min="7439" max="7439" width="9.625" customWidth="1"/>
    <col min="7682" max="7682" width="7" customWidth="1"/>
    <col min="7683" max="7683" width="17.75" customWidth="1"/>
    <col min="7684" max="7684" width="10.875" customWidth="1"/>
    <col min="7685" max="7685" width="11.25" customWidth="1"/>
    <col min="7686" max="7686" width="11.5" customWidth="1"/>
    <col min="7687" max="7687" width="11.625" customWidth="1"/>
    <col min="7688" max="7688" width="15.5" customWidth="1"/>
    <col min="7689" max="7689" width="18.75" customWidth="1"/>
    <col min="7690" max="7690" width="15.375" customWidth="1"/>
    <col min="7691" max="7691" width="15.125" customWidth="1"/>
    <col min="7693" max="7693" width="11" customWidth="1"/>
    <col min="7694" max="7694" width="10.625" customWidth="1"/>
    <col min="7695" max="7695" width="9.625" customWidth="1"/>
    <col min="7938" max="7938" width="7" customWidth="1"/>
    <col min="7939" max="7939" width="17.75" customWidth="1"/>
    <col min="7940" max="7940" width="10.875" customWidth="1"/>
    <col min="7941" max="7941" width="11.25" customWidth="1"/>
    <col min="7942" max="7942" width="11.5" customWidth="1"/>
    <col min="7943" max="7943" width="11.625" customWidth="1"/>
    <col min="7944" max="7944" width="15.5" customWidth="1"/>
    <col min="7945" max="7945" width="18.75" customWidth="1"/>
    <col min="7946" max="7946" width="15.375" customWidth="1"/>
    <col min="7947" max="7947" width="15.125" customWidth="1"/>
    <col min="7949" max="7949" width="11" customWidth="1"/>
    <col min="7950" max="7950" width="10.625" customWidth="1"/>
    <col min="7951" max="7951" width="9.625" customWidth="1"/>
    <col min="8194" max="8194" width="7" customWidth="1"/>
    <col min="8195" max="8195" width="17.75" customWidth="1"/>
    <col min="8196" max="8196" width="10.875" customWidth="1"/>
    <col min="8197" max="8197" width="11.25" customWidth="1"/>
    <col min="8198" max="8198" width="11.5" customWidth="1"/>
    <col min="8199" max="8199" width="11.625" customWidth="1"/>
    <col min="8200" max="8200" width="15.5" customWidth="1"/>
    <col min="8201" max="8201" width="18.75" customWidth="1"/>
    <col min="8202" max="8202" width="15.375" customWidth="1"/>
    <col min="8203" max="8203" width="15.125" customWidth="1"/>
    <col min="8205" max="8205" width="11" customWidth="1"/>
    <col min="8206" max="8206" width="10.625" customWidth="1"/>
    <col min="8207" max="8207" width="9.625" customWidth="1"/>
    <col min="8450" max="8450" width="7" customWidth="1"/>
    <col min="8451" max="8451" width="17.75" customWidth="1"/>
    <col min="8452" max="8452" width="10.875" customWidth="1"/>
    <col min="8453" max="8453" width="11.25" customWidth="1"/>
    <col min="8454" max="8454" width="11.5" customWidth="1"/>
    <col min="8455" max="8455" width="11.625" customWidth="1"/>
    <col min="8456" max="8456" width="15.5" customWidth="1"/>
    <col min="8457" max="8457" width="18.75" customWidth="1"/>
    <col min="8458" max="8458" width="15.375" customWidth="1"/>
    <col min="8459" max="8459" width="15.125" customWidth="1"/>
    <col min="8461" max="8461" width="11" customWidth="1"/>
    <col min="8462" max="8462" width="10.625" customWidth="1"/>
    <col min="8463" max="8463" width="9.625" customWidth="1"/>
    <col min="8706" max="8706" width="7" customWidth="1"/>
    <col min="8707" max="8707" width="17.75" customWidth="1"/>
    <col min="8708" max="8708" width="10.875" customWidth="1"/>
    <col min="8709" max="8709" width="11.25" customWidth="1"/>
    <col min="8710" max="8710" width="11.5" customWidth="1"/>
    <col min="8711" max="8711" width="11.625" customWidth="1"/>
    <col min="8712" max="8712" width="15.5" customWidth="1"/>
    <col min="8713" max="8713" width="18.75" customWidth="1"/>
    <col min="8714" max="8714" width="15.375" customWidth="1"/>
    <col min="8715" max="8715" width="15.125" customWidth="1"/>
    <col min="8717" max="8717" width="11" customWidth="1"/>
    <col min="8718" max="8718" width="10.625" customWidth="1"/>
    <col min="8719" max="8719" width="9.625" customWidth="1"/>
    <col min="8962" max="8962" width="7" customWidth="1"/>
    <col min="8963" max="8963" width="17.75" customWidth="1"/>
    <col min="8964" max="8964" width="10.875" customWidth="1"/>
    <col min="8965" max="8965" width="11.25" customWidth="1"/>
    <col min="8966" max="8966" width="11.5" customWidth="1"/>
    <col min="8967" max="8967" width="11.625" customWidth="1"/>
    <col min="8968" max="8968" width="15.5" customWidth="1"/>
    <col min="8969" max="8969" width="18.75" customWidth="1"/>
    <col min="8970" max="8970" width="15.375" customWidth="1"/>
    <col min="8971" max="8971" width="15.125" customWidth="1"/>
    <col min="8973" max="8973" width="11" customWidth="1"/>
    <col min="8974" max="8974" width="10.625" customWidth="1"/>
    <col min="8975" max="8975" width="9.625" customWidth="1"/>
    <col min="9218" max="9218" width="7" customWidth="1"/>
    <col min="9219" max="9219" width="17.75" customWidth="1"/>
    <col min="9220" max="9220" width="10.875" customWidth="1"/>
    <col min="9221" max="9221" width="11.25" customWidth="1"/>
    <col min="9222" max="9222" width="11.5" customWidth="1"/>
    <col min="9223" max="9223" width="11.625" customWidth="1"/>
    <col min="9224" max="9224" width="15.5" customWidth="1"/>
    <col min="9225" max="9225" width="18.75" customWidth="1"/>
    <col min="9226" max="9226" width="15.375" customWidth="1"/>
    <col min="9227" max="9227" width="15.125" customWidth="1"/>
    <col min="9229" max="9229" width="11" customWidth="1"/>
    <col min="9230" max="9230" width="10.625" customWidth="1"/>
    <col min="9231" max="9231" width="9.625" customWidth="1"/>
    <col min="9474" max="9474" width="7" customWidth="1"/>
    <col min="9475" max="9475" width="17.75" customWidth="1"/>
    <col min="9476" max="9476" width="10.875" customWidth="1"/>
    <col min="9477" max="9477" width="11.25" customWidth="1"/>
    <col min="9478" max="9478" width="11.5" customWidth="1"/>
    <col min="9479" max="9479" width="11.625" customWidth="1"/>
    <col min="9480" max="9480" width="15.5" customWidth="1"/>
    <col min="9481" max="9481" width="18.75" customWidth="1"/>
    <col min="9482" max="9482" width="15.375" customWidth="1"/>
    <col min="9483" max="9483" width="15.125" customWidth="1"/>
    <col min="9485" max="9485" width="11" customWidth="1"/>
    <col min="9486" max="9486" width="10.625" customWidth="1"/>
    <col min="9487" max="9487" width="9.625" customWidth="1"/>
    <col min="9730" max="9730" width="7" customWidth="1"/>
    <col min="9731" max="9731" width="17.75" customWidth="1"/>
    <col min="9732" max="9732" width="10.875" customWidth="1"/>
    <col min="9733" max="9733" width="11.25" customWidth="1"/>
    <col min="9734" max="9734" width="11.5" customWidth="1"/>
    <col min="9735" max="9735" width="11.625" customWidth="1"/>
    <col min="9736" max="9736" width="15.5" customWidth="1"/>
    <col min="9737" max="9737" width="18.75" customWidth="1"/>
    <col min="9738" max="9738" width="15.375" customWidth="1"/>
    <col min="9739" max="9739" width="15.125" customWidth="1"/>
    <col min="9741" max="9741" width="11" customWidth="1"/>
    <col min="9742" max="9742" width="10.625" customWidth="1"/>
    <col min="9743" max="9743" width="9.625" customWidth="1"/>
    <col min="9986" max="9986" width="7" customWidth="1"/>
    <col min="9987" max="9987" width="17.75" customWidth="1"/>
    <col min="9988" max="9988" width="10.875" customWidth="1"/>
    <col min="9989" max="9989" width="11.25" customWidth="1"/>
    <col min="9990" max="9990" width="11.5" customWidth="1"/>
    <col min="9991" max="9991" width="11.625" customWidth="1"/>
    <col min="9992" max="9992" width="15.5" customWidth="1"/>
    <col min="9993" max="9993" width="18.75" customWidth="1"/>
    <col min="9994" max="9994" width="15.375" customWidth="1"/>
    <col min="9995" max="9995" width="15.125" customWidth="1"/>
    <col min="9997" max="9997" width="11" customWidth="1"/>
    <col min="9998" max="9998" width="10.625" customWidth="1"/>
    <col min="9999" max="9999" width="9.625" customWidth="1"/>
    <col min="10242" max="10242" width="7" customWidth="1"/>
    <col min="10243" max="10243" width="17.75" customWidth="1"/>
    <col min="10244" max="10244" width="10.875" customWidth="1"/>
    <col min="10245" max="10245" width="11.25" customWidth="1"/>
    <col min="10246" max="10246" width="11.5" customWidth="1"/>
    <col min="10247" max="10247" width="11.625" customWidth="1"/>
    <col min="10248" max="10248" width="15.5" customWidth="1"/>
    <col min="10249" max="10249" width="18.75" customWidth="1"/>
    <col min="10250" max="10250" width="15.375" customWidth="1"/>
    <col min="10251" max="10251" width="15.125" customWidth="1"/>
    <col min="10253" max="10253" width="11" customWidth="1"/>
    <col min="10254" max="10254" width="10.625" customWidth="1"/>
    <col min="10255" max="10255" width="9.625" customWidth="1"/>
    <col min="10498" max="10498" width="7" customWidth="1"/>
    <col min="10499" max="10499" width="17.75" customWidth="1"/>
    <col min="10500" max="10500" width="10.875" customWidth="1"/>
    <col min="10501" max="10501" width="11.25" customWidth="1"/>
    <col min="10502" max="10502" width="11.5" customWidth="1"/>
    <col min="10503" max="10503" width="11.625" customWidth="1"/>
    <col min="10504" max="10504" width="15.5" customWidth="1"/>
    <col min="10505" max="10505" width="18.75" customWidth="1"/>
    <col min="10506" max="10506" width="15.375" customWidth="1"/>
    <col min="10507" max="10507" width="15.125" customWidth="1"/>
    <col min="10509" max="10509" width="11" customWidth="1"/>
    <col min="10510" max="10510" width="10.625" customWidth="1"/>
    <col min="10511" max="10511" width="9.625" customWidth="1"/>
    <col min="10754" max="10754" width="7" customWidth="1"/>
    <col min="10755" max="10755" width="17.75" customWidth="1"/>
    <col min="10756" max="10756" width="10.875" customWidth="1"/>
    <col min="10757" max="10757" width="11.25" customWidth="1"/>
    <col min="10758" max="10758" width="11.5" customWidth="1"/>
    <col min="10759" max="10759" width="11.625" customWidth="1"/>
    <col min="10760" max="10760" width="15.5" customWidth="1"/>
    <col min="10761" max="10761" width="18.75" customWidth="1"/>
    <col min="10762" max="10762" width="15.375" customWidth="1"/>
    <col min="10763" max="10763" width="15.125" customWidth="1"/>
    <col min="10765" max="10765" width="11" customWidth="1"/>
    <col min="10766" max="10766" width="10.625" customWidth="1"/>
    <col min="10767" max="10767" width="9.625" customWidth="1"/>
    <col min="11010" max="11010" width="7" customWidth="1"/>
    <col min="11011" max="11011" width="17.75" customWidth="1"/>
    <col min="11012" max="11012" width="10.875" customWidth="1"/>
    <col min="11013" max="11013" width="11.25" customWidth="1"/>
    <col min="11014" max="11014" width="11.5" customWidth="1"/>
    <col min="11015" max="11015" width="11.625" customWidth="1"/>
    <col min="11016" max="11016" width="15.5" customWidth="1"/>
    <col min="11017" max="11017" width="18.75" customWidth="1"/>
    <col min="11018" max="11018" width="15.375" customWidth="1"/>
    <col min="11019" max="11019" width="15.125" customWidth="1"/>
    <col min="11021" max="11021" width="11" customWidth="1"/>
    <col min="11022" max="11022" width="10.625" customWidth="1"/>
    <col min="11023" max="11023" width="9.625" customWidth="1"/>
    <col min="11266" max="11266" width="7" customWidth="1"/>
    <col min="11267" max="11267" width="17.75" customWidth="1"/>
    <col min="11268" max="11268" width="10.875" customWidth="1"/>
    <col min="11269" max="11269" width="11.25" customWidth="1"/>
    <col min="11270" max="11270" width="11.5" customWidth="1"/>
    <col min="11271" max="11271" width="11.625" customWidth="1"/>
    <col min="11272" max="11272" width="15.5" customWidth="1"/>
    <col min="11273" max="11273" width="18.75" customWidth="1"/>
    <col min="11274" max="11274" width="15.375" customWidth="1"/>
    <col min="11275" max="11275" width="15.125" customWidth="1"/>
    <col min="11277" max="11277" width="11" customWidth="1"/>
    <col min="11278" max="11278" width="10.625" customWidth="1"/>
    <col min="11279" max="11279" width="9.625" customWidth="1"/>
    <col min="11522" max="11522" width="7" customWidth="1"/>
    <col min="11523" max="11523" width="17.75" customWidth="1"/>
    <col min="11524" max="11524" width="10.875" customWidth="1"/>
    <col min="11525" max="11525" width="11.25" customWidth="1"/>
    <col min="11526" max="11526" width="11.5" customWidth="1"/>
    <col min="11527" max="11527" width="11.625" customWidth="1"/>
    <col min="11528" max="11528" width="15.5" customWidth="1"/>
    <col min="11529" max="11529" width="18.75" customWidth="1"/>
    <col min="11530" max="11530" width="15.375" customWidth="1"/>
    <col min="11531" max="11531" width="15.125" customWidth="1"/>
    <col min="11533" max="11533" width="11" customWidth="1"/>
    <col min="11534" max="11534" width="10.625" customWidth="1"/>
    <col min="11535" max="11535" width="9.625" customWidth="1"/>
    <col min="11778" max="11778" width="7" customWidth="1"/>
    <col min="11779" max="11779" width="17.75" customWidth="1"/>
    <col min="11780" max="11780" width="10.875" customWidth="1"/>
    <col min="11781" max="11781" width="11.25" customWidth="1"/>
    <col min="11782" max="11782" width="11.5" customWidth="1"/>
    <col min="11783" max="11783" width="11.625" customWidth="1"/>
    <col min="11784" max="11784" width="15.5" customWidth="1"/>
    <col min="11785" max="11785" width="18.75" customWidth="1"/>
    <col min="11786" max="11786" width="15.375" customWidth="1"/>
    <col min="11787" max="11787" width="15.125" customWidth="1"/>
    <col min="11789" max="11789" width="11" customWidth="1"/>
    <col min="11790" max="11790" width="10.625" customWidth="1"/>
    <col min="11791" max="11791" width="9.625" customWidth="1"/>
    <col min="12034" max="12034" width="7" customWidth="1"/>
    <col min="12035" max="12035" width="17.75" customWidth="1"/>
    <col min="12036" max="12036" width="10.875" customWidth="1"/>
    <col min="12037" max="12037" width="11.25" customWidth="1"/>
    <col min="12038" max="12038" width="11.5" customWidth="1"/>
    <col min="12039" max="12039" width="11.625" customWidth="1"/>
    <col min="12040" max="12040" width="15.5" customWidth="1"/>
    <col min="12041" max="12041" width="18.75" customWidth="1"/>
    <col min="12042" max="12042" width="15.375" customWidth="1"/>
    <col min="12043" max="12043" width="15.125" customWidth="1"/>
    <col min="12045" max="12045" width="11" customWidth="1"/>
    <col min="12046" max="12046" width="10.625" customWidth="1"/>
    <col min="12047" max="12047" width="9.625" customWidth="1"/>
    <col min="12290" max="12290" width="7" customWidth="1"/>
    <col min="12291" max="12291" width="17.75" customWidth="1"/>
    <col min="12292" max="12292" width="10.875" customWidth="1"/>
    <col min="12293" max="12293" width="11.25" customWidth="1"/>
    <col min="12294" max="12294" width="11.5" customWidth="1"/>
    <col min="12295" max="12295" width="11.625" customWidth="1"/>
    <col min="12296" max="12296" width="15.5" customWidth="1"/>
    <col min="12297" max="12297" width="18.75" customWidth="1"/>
    <col min="12298" max="12298" width="15.375" customWidth="1"/>
    <col min="12299" max="12299" width="15.125" customWidth="1"/>
    <col min="12301" max="12301" width="11" customWidth="1"/>
    <col min="12302" max="12302" width="10.625" customWidth="1"/>
    <col min="12303" max="12303" width="9.625" customWidth="1"/>
    <col min="12546" max="12546" width="7" customWidth="1"/>
    <col min="12547" max="12547" width="17.75" customWidth="1"/>
    <col min="12548" max="12548" width="10.875" customWidth="1"/>
    <col min="12549" max="12549" width="11.25" customWidth="1"/>
    <col min="12550" max="12550" width="11.5" customWidth="1"/>
    <col min="12551" max="12551" width="11.625" customWidth="1"/>
    <col min="12552" max="12552" width="15.5" customWidth="1"/>
    <col min="12553" max="12553" width="18.75" customWidth="1"/>
    <col min="12554" max="12554" width="15.375" customWidth="1"/>
    <col min="12555" max="12555" width="15.125" customWidth="1"/>
    <col min="12557" max="12557" width="11" customWidth="1"/>
    <col min="12558" max="12558" width="10.625" customWidth="1"/>
    <col min="12559" max="12559" width="9.625" customWidth="1"/>
    <col min="12802" max="12802" width="7" customWidth="1"/>
    <col min="12803" max="12803" width="17.75" customWidth="1"/>
    <col min="12804" max="12804" width="10.875" customWidth="1"/>
    <col min="12805" max="12805" width="11.25" customWidth="1"/>
    <col min="12806" max="12806" width="11.5" customWidth="1"/>
    <col min="12807" max="12807" width="11.625" customWidth="1"/>
    <col min="12808" max="12808" width="15.5" customWidth="1"/>
    <col min="12809" max="12809" width="18.75" customWidth="1"/>
    <col min="12810" max="12810" width="15.375" customWidth="1"/>
    <col min="12811" max="12811" width="15.125" customWidth="1"/>
    <col min="12813" max="12813" width="11" customWidth="1"/>
    <col min="12814" max="12814" width="10.625" customWidth="1"/>
    <col min="12815" max="12815" width="9.625" customWidth="1"/>
    <col min="13058" max="13058" width="7" customWidth="1"/>
    <col min="13059" max="13059" width="17.75" customWidth="1"/>
    <col min="13060" max="13060" width="10.875" customWidth="1"/>
    <col min="13061" max="13061" width="11.25" customWidth="1"/>
    <col min="13062" max="13062" width="11.5" customWidth="1"/>
    <col min="13063" max="13063" width="11.625" customWidth="1"/>
    <col min="13064" max="13064" width="15.5" customWidth="1"/>
    <col min="13065" max="13065" width="18.75" customWidth="1"/>
    <col min="13066" max="13066" width="15.375" customWidth="1"/>
    <col min="13067" max="13067" width="15.125" customWidth="1"/>
    <col min="13069" max="13069" width="11" customWidth="1"/>
    <col min="13070" max="13070" width="10.625" customWidth="1"/>
    <col min="13071" max="13071" width="9.625" customWidth="1"/>
    <col min="13314" max="13314" width="7" customWidth="1"/>
    <col min="13315" max="13315" width="17.75" customWidth="1"/>
    <col min="13316" max="13316" width="10.875" customWidth="1"/>
    <col min="13317" max="13317" width="11.25" customWidth="1"/>
    <col min="13318" max="13318" width="11.5" customWidth="1"/>
    <col min="13319" max="13319" width="11.625" customWidth="1"/>
    <col min="13320" max="13320" width="15.5" customWidth="1"/>
    <col min="13321" max="13321" width="18.75" customWidth="1"/>
    <col min="13322" max="13322" width="15.375" customWidth="1"/>
    <col min="13323" max="13323" width="15.125" customWidth="1"/>
    <col min="13325" max="13325" width="11" customWidth="1"/>
    <col min="13326" max="13326" width="10.625" customWidth="1"/>
    <col min="13327" max="13327" width="9.625" customWidth="1"/>
    <col min="13570" max="13570" width="7" customWidth="1"/>
    <col min="13571" max="13571" width="17.75" customWidth="1"/>
    <col min="13572" max="13572" width="10.875" customWidth="1"/>
    <col min="13573" max="13573" width="11.25" customWidth="1"/>
    <col min="13574" max="13574" width="11.5" customWidth="1"/>
    <col min="13575" max="13575" width="11.625" customWidth="1"/>
    <col min="13576" max="13576" width="15.5" customWidth="1"/>
    <col min="13577" max="13577" width="18.75" customWidth="1"/>
    <col min="13578" max="13578" width="15.375" customWidth="1"/>
    <col min="13579" max="13579" width="15.125" customWidth="1"/>
    <col min="13581" max="13581" width="11" customWidth="1"/>
    <col min="13582" max="13582" width="10.625" customWidth="1"/>
    <col min="13583" max="13583" width="9.625" customWidth="1"/>
    <col min="13826" max="13826" width="7" customWidth="1"/>
    <col min="13827" max="13827" width="17.75" customWidth="1"/>
    <col min="13828" max="13828" width="10.875" customWidth="1"/>
    <col min="13829" max="13829" width="11.25" customWidth="1"/>
    <col min="13830" max="13830" width="11.5" customWidth="1"/>
    <col min="13831" max="13831" width="11.625" customWidth="1"/>
    <col min="13832" max="13832" width="15.5" customWidth="1"/>
    <col min="13833" max="13833" width="18.75" customWidth="1"/>
    <col min="13834" max="13834" width="15.375" customWidth="1"/>
    <col min="13835" max="13835" width="15.125" customWidth="1"/>
    <col min="13837" max="13837" width="11" customWidth="1"/>
    <col min="13838" max="13838" width="10.625" customWidth="1"/>
    <col min="13839" max="13839" width="9.625" customWidth="1"/>
    <col min="14082" max="14082" width="7" customWidth="1"/>
    <col min="14083" max="14083" width="17.75" customWidth="1"/>
    <col min="14084" max="14084" width="10.875" customWidth="1"/>
    <col min="14085" max="14085" width="11.25" customWidth="1"/>
    <col min="14086" max="14086" width="11.5" customWidth="1"/>
    <col min="14087" max="14087" width="11.625" customWidth="1"/>
    <col min="14088" max="14088" width="15.5" customWidth="1"/>
    <col min="14089" max="14089" width="18.75" customWidth="1"/>
    <col min="14090" max="14090" width="15.375" customWidth="1"/>
    <col min="14091" max="14091" width="15.125" customWidth="1"/>
    <col min="14093" max="14093" width="11" customWidth="1"/>
    <col min="14094" max="14094" width="10.625" customWidth="1"/>
    <col min="14095" max="14095" width="9.625" customWidth="1"/>
    <col min="14338" max="14338" width="7" customWidth="1"/>
    <col min="14339" max="14339" width="17.75" customWidth="1"/>
    <col min="14340" max="14340" width="10.875" customWidth="1"/>
    <col min="14341" max="14341" width="11.25" customWidth="1"/>
    <col min="14342" max="14342" width="11.5" customWidth="1"/>
    <col min="14343" max="14343" width="11.625" customWidth="1"/>
    <col min="14344" max="14344" width="15.5" customWidth="1"/>
    <col min="14345" max="14345" width="18.75" customWidth="1"/>
    <col min="14346" max="14346" width="15.375" customWidth="1"/>
    <col min="14347" max="14347" width="15.125" customWidth="1"/>
    <col min="14349" max="14349" width="11" customWidth="1"/>
    <col min="14350" max="14350" width="10.625" customWidth="1"/>
    <col min="14351" max="14351" width="9.625" customWidth="1"/>
    <col min="14594" max="14594" width="7" customWidth="1"/>
    <col min="14595" max="14595" width="17.75" customWidth="1"/>
    <col min="14596" max="14596" width="10.875" customWidth="1"/>
    <col min="14597" max="14597" width="11.25" customWidth="1"/>
    <col min="14598" max="14598" width="11.5" customWidth="1"/>
    <col min="14599" max="14599" width="11.625" customWidth="1"/>
    <col min="14600" max="14600" width="15.5" customWidth="1"/>
    <col min="14601" max="14601" width="18.75" customWidth="1"/>
    <col min="14602" max="14602" width="15.375" customWidth="1"/>
    <col min="14603" max="14603" width="15.125" customWidth="1"/>
    <col min="14605" max="14605" width="11" customWidth="1"/>
    <col min="14606" max="14606" width="10.625" customWidth="1"/>
    <col min="14607" max="14607" width="9.625" customWidth="1"/>
    <col min="14850" max="14850" width="7" customWidth="1"/>
    <col min="14851" max="14851" width="17.75" customWidth="1"/>
    <col min="14852" max="14852" width="10.875" customWidth="1"/>
    <col min="14853" max="14853" width="11.25" customWidth="1"/>
    <col min="14854" max="14854" width="11.5" customWidth="1"/>
    <col min="14855" max="14855" width="11.625" customWidth="1"/>
    <col min="14856" max="14856" width="15.5" customWidth="1"/>
    <col min="14857" max="14857" width="18.75" customWidth="1"/>
    <col min="14858" max="14858" width="15.375" customWidth="1"/>
    <col min="14859" max="14859" width="15.125" customWidth="1"/>
    <col min="14861" max="14861" width="11" customWidth="1"/>
    <col min="14862" max="14862" width="10.625" customWidth="1"/>
    <col min="14863" max="14863" width="9.625" customWidth="1"/>
    <col min="15106" max="15106" width="7" customWidth="1"/>
    <col min="15107" max="15107" width="17.75" customWidth="1"/>
    <col min="15108" max="15108" width="10.875" customWidth="1"/>
    <col min="15109" max="15109" width="11.25" customWidth="1"/>
    <col min="15110" max="15110" width="11.5" customWidth="1"/>
    <col min="15111" max="15111" width="11.625" customWidth="1"/>
    <col min="15112" max="15112" width="15.5" customWidth="1"/>
    <col min="15113" max="15113" width="18.75" customWidth="1"/>
    <col min="15114" max="15114" width="15.375" customWidth="1"/>
    <col min="15115" max="15115" width="15.125" customWidth="1"/>
    <col min="15117" max="15117" width="11" customWidth="1"/>
    <col min="15118" max="15118" width="10.625" customWidth="1"/>
    <col min="15119" max="15119" width="9.625" customWidth="1"/>
    <col min="15362" max="15362" width="7" customWidth="1"/>
    <col min="15363" max="15363" width="17.75" customWidth="1"/>
    <col min="15364" max="15364" width="10.875" customWidth="1"/>
    <col min="15365" max="15365" width="11.25" customWidth="1"/>
    <col min="15366" max="15366" width="11.5" customWidth="1"/>
    <col min="15367" max="15367" width="11.625" customWidth="1"/>
    <col min="15368" max="15368" width="15.5" customWidth="1"/>
    <col min="15369" max="15369" width="18.75" customWidth="1"/>
    <col min="15370" max="15370" width="15.375" customWidth="1"/>
    <col min="15371" max="15371" width="15.125" customWidth="1"/>
    <col min="15373" max="15373" width="11" customWidth="1"/>
    <col min="15374" max="15374" width="10.625" customWidth="1"/>
    <col min="15375" max="15375" width="9.625" customWidth="1"/>
    <col min="15618" max="15618" width="7" customWidth="1"/>
    <col min="15619" max="15619" width="17.75" customWidth="1"/>
    <col min="15620" max="15620" width="10.875" customWidth="1"/>
    <col min="15621" max="15621" width="11.25" customWidth="1"/>
    <col min="15622" max="15622" width="11.5" customWidth="1"/>
    <col min="15623" max="15623" width="11.625" customWidth="1"/>
    <col min="15624" max="15624" width="15.5" customWidth="1"/>
    <col min="15625" max="15625" width="18.75" customWidth="1"/>
    <col min="15626" max="15626" width="15.375" customWidth="1"/>
    <col min="15627" max="15627" width="15.125" customWidth="1"/>
    <col min="15629" max="15629" width="11" customWidth="1"/>
    <col min="15630" max="15630" width="10.625" customWidth="1"/>
    <col min="15631" max="15631" width="9.625" customWidth="1"/>
    <col min="15874" max="15874" width="7" customWidth="1"/>
    <col min="15875" max="15875" width="17.75" customWidth="1"/>
    <col min="15876" max="15876" width="10.875" customWidth="1"/>
    <col min="15877" max="15877" width="11.25" customWidth="1"/>
    <col min="15878" max="15878" width="11.5" customWidth="1"/>
    <col min="15879" max="15879" width="11.625" customWidth="1"/>
    <col min="15880" max="15880" width="15.5" customWidth="1"/>
    <col min="15881" max="15881" width="18.75" customWidth="1"/>
    <col min="15882" max="15882" width="15.375" customWidth="1"/>
    <col min="15883" max="15883" width="15.125" customWidth="1"/>
    <col min="15885" max="15885" width="11" customWidth="1"/>
    <col min="15886" max="15886" width="10.625" customWidth="1"/>
    <col min="15887" max="15887" width="9.625" customWidth="1"/>
    <col min="16130" max="16130" width="7" customWidth="1"/>
    <col min="16131" max="16131" width="17.75" customWidth="1"/>
    <col min="16132" max="16132" width="10.875" customWidth="1"/>
    <col min="16133" max="16133" width="11.25" customWidth="1"/>
    <col min="16134" max="16134" width="11.5" customWidth="1"/>
    <col min="16135" max="16135" width="11.625" customWidth="1"/>
    <col min="16136" max="16136" width="15.5" customWidth="1"/>
    <col min="16137" max="16137" width="18.75" customWidth="1"/>
    <col min="16138" max="16138" width="15.375" customWidth="1"/>
    <col min="16139" max="16139" width="15.125" customWidth="1"/>
    <col min="16141" max="16141" width="11" customWidth="1"/>
    <col min="16142" max="16142" width="10.625" customWidth="1"/>
    <col min="16143" max="16143" width="9.625" customWidth="1"/>
  </cols>
  <sheetData>
    <row r="1" spans="1:15" ht="20.25" x14ac:dyDescent="0.3">
      <c r="A1" s="214"/>
      <c r="B1" s="214"/>
      <c r="C1" s="214"/>
      <c r="D1" s="214"/>
      <c r="E1" s="214"/>
      <c r="F1" s="214"/>
      <c r="G1" s="280" t="s">
        <v>0</v>
      </c>
      <c r="H1" s="214"/>
      <c r="I1" s="214"/>
      <c r="J1" s="214"/>
      <c r="K1" s="214"/>
      <c r="L1" s="214"/>
      <c r="M1" s="214"/>
      <c r="N1" s="214" t="s">
        <v>1</v>
      </c>
      <c r="O1" s="214"/>
    </row>
    <row r="2" spans="1:15" ht="18" x14ac:dyDescent="0.25">
      <c r="A2" s="214"/>
      <c r="B2" s="214"/>
      <c r="C2" s="214"/>
      <c r="D2" s="214"/>
      <c r="E2" s="214"/>
      <c r="F2" s="214"/>
      <c r="G2" s="331"/>
      <c r="H2" s="214"/>
      <c r="I2" s="214"/>
      <c r="J2" s="214"/>
      <c r="K2" s="214"/>
      <c r="L2" s="214"/>
      <c r="M2" s="214"/>
      <c r="N2" s="214"/>
      <c r="O2" s="214"/>
    </row>
    <row r="3" spans="1:15" ht="18" x14ac:dyDescent="0.25">
      <c r="A3" s="339" t="s">
        <v>2</v>
      </c>
      <c r="B3" s="339"/>
      <c r="C3" s="331" t="s">
        <v>38</v>
      </c>
      <c r="D3" s="214"/>
      <c r="E3" s="214"/>
      <c r="F3" s="214"/>
      <c r="G3" s="331"/>
      <c r="H3" s="214"/>
      <c r="I3" s="214"/>
      <c r="J3" s="214"/>
      <c r="K3" s="214"/>
      <c r="L3" s="214"/>
      <c r="M3" s="214"/>
      <c r="N3" s="214"/>
      <c r="O3" s="214"/>
    </row>
    <row r="4" spans="1:15" ht="18" x14ac:dyDescent="0.25">
      <c r="A4" s="339" t="s">
        <v>3</v>
      </c>
      <c r="B4" s="339"/>
      <c r="C4" s="331" t="s">
        <v>40</v>
      </c>
      <c r="D4" s="214"/>
      <c r="E4" s="214"/>
      <c r="F4" s="214"/>
      <c r="G4" s="331"/>
      <c r="H4" s="214"/>
      <c r="I4" s="214"/>
      <c r="J4" s="214"/>
      <c r="K4" s="214"/>
      <c r="L4" s="214"/>
      <c r="M4" s="214"/>
      <c r="N4" s="214"/>
      <c r="O4" s="214"/>
    </row>
    <row r="5" spans="1:15" ht="18" x14ac:dyDescent="0.25">
      <c r="A5" s="339" t="s">
        <v>4</v>
      </c>
      <c r="B5" s="339"/>
      <c r="C5" s="331" t="s">
        <v>41</v>
      </c>
      <c r="D5" s="214"/>
      <c r="E5" s="214"/>
      <c r="F5" s="214"/>
      <c r="G5" s="331"/>
      <c r="H5" s="214"/>
      <c r="I5" s="214"/>
      <c r="J5" s="214"/>
      <c r="K5" s="214"/>
      <c r="L5" s="214"/>
      <c r="M5" s="214"/>
      <c r="N5" s="214"/>
      <c r="O5" s="214"/>
    </row>
    <row r="6" spans="1:15" ht="18" x14ac:dyDescent="0.25">
      <c r="A6" s="339" t="s">
        <v>5</v>
      </c>
      <c r="B6" s="339"/>
      <c r="C6" s="331" t="s">
        <v>201</v>
      </c>
      <c r="D6" s="214"/>
      <c r="E6" s="214"/>
      <c r="F6" s="214"/>
      <c r="G6" s="331"/>
      <c r="H6" s="214"/>
      <c r="I6" s="214"/>
      <c r="J6" s="214"/>
      <c r="K6" s="214"/>
      <c r="L6" s="214"/>
      <c r="M6" s="214"/>
      <c r="N6" s="214"/>
      <c r="O6" s="214"/>
    </row>
    <row r="7" spans="1:15" ht="18" x14ac:dyDescent="0.25">
      <c r="A7" s="331"/>
      <c r="B7" s="331"/>
      <c r="C7" s="331"/>
      <c r="D7" s="214"/>
      <c r="E7" s="214"/>
      <c r="F7" s="214"/>
      <c r="G7" s="214"/>
      <c r="H7" s="214"/>
      <c r="I7" s="214"/>
      <c r="J7" s="214"/>
      <c r="K7" s="214"/>
      <c r="L7" s="214"/>
      <c r="M7" s="214"/>
      <c r="N7" s="214"/>
      <c r="O7" s="214"/>
    </row>
    <row r="8" spans="1:15" ht="18" x14ac:dyDescent="0.25">
      <c r="A8" s="331" t="s">
        <v>6</v>
      </c>
      <c r="B8" s="331"/>
      <c r="C8" s="331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</row>
    <row r="9" spans="1:15" ht="24.75" customHeight="1" x14ac:dyDescent="0.25">
      <c r="A9" s="321" t="s">
        <v>7</v>
      </c>
      <c r="B9" s="516" t="s">
        <v>8</v>
      </c>
      <c r="C9" s="517"/>
      <c r="D9" s="321" t="s">
        <v>9</v>
      </c>
      <c r="E9" s="321" t="s">
        <v>10</v>
      </c>
      <c r="F9" s="326"/>
      <c r="G9" s="326"/>
      <c r="H9" s="321" t="s">
        <v>13</v>
      </c>
      <c r="I9" s="321" t="s">
        <v>544</v>
      </c>
      <c r="J9" s="321" t="s">
        <v>15</v>
      </c>
      <c r="K9" s="321" t="s">
        <v>16</v>
      </c>
      <c r="L9" s="518" t="s">
        <v>17</v>
      </c>
      <c r="M9" s="519"/>
      <c r="N9" s="520"/>
      <c r="O9" s="321" t="s">
        <v>18</v>
      </c>
    </row>
    <row r="10" spans="1:15" ht="18" x14ac:dyDescent="0.25">
      <c r="A10" s="322" t="s">
        <v>19</v>
      </c>
      <c r="B10" s="495" t="s">
        <v>20</v>
      </c>
      <c r="C10" s="496"/>
      <c r="D10" s="322" t="s">
        <v>21</v>
      </c>
      <c r="E10" s="322" t="s">
        <v>22</v>
      </c>
      <c r="F10" s="322" t="s">
        <v>11</v>
      </c>
      <c r="G10" s="322" t="s">
        <v>12</v>
      </c>
      <c r="H10" s="329" t="s">
        <v>23</v>
      </c>
      <c r="I10" s="329"/>
      <c r="J10" s="329" t="s">
        <v>24</v>
      </c>
      <c r="K10" s="329" t="s">
        <v>25</v>
      </c>
      <c r="L10" s="329" t="s">
        <v>26</v>
      </c>
      <c r="M10" s="329" t="s">
        <v>27</v>
      </c>
      <c r="N10" s="329" t="s">
        <v>28</v>
      </c>
      <c r="O10" s="327" t="s">
        <v>29</v>
      </c>
    </row>
    <row r="11" spans="1:15" ht="18" x14ac:dyDescent="0.25">
      <c r="A11" s="323"/>
      <c r="B11" s="324"/>
      <c r="C11" s="325"/>
      <c r="D11" s="323"/>
      <c r="E11" s="323"/>
      <c r="F11" s="323"/>
      <c r="G11" s="323"/>
      <c r="H11" s="330" t="s">
        <v>30</v>
      </c>
      <c r="I11" s="330"/>
      <c r="J11" s="330" t="s">
        <v>31</v>
      </c>
      <c r="K11" s="330" t="s">
        <v>32</v>
      </c>
      <c r="L11" s="330" t="s">
        <v>33</v>
      </c>
      <c r="M11" s="330" t="s">
        <v>34</v>
      </c>
      <c r="N11" s="330" t="s">
        <v>35</v>
      </c>
      <c r="O11" s="328"/>
    </row>
    <row r="12" spans="1:15" ht="18" x14ac:dyDescent="0.25">
      <c r="A12" s="263">
        <v>1</v>
      </c>
      <c r="B12" s="483">
        <v>2</v>
      </c>
      <c r="C12" s="484"/>
      <c r="D12" s="327">
        <v>3</v>
      </c>
      <c r="E12" s="327">
        <v>4</v>
      </c>
      <c r="F12" s="322">
        <v>5</v>
      </c>
      <c r="G12" s="322">
        <v>6</v>
      </c>
      <c r="H12" s="329">
        <v>7</v>
      </c>
      <c r="I12" s="329">
        <v>8</v>
      </c>
      <c r="J12" s="329">
        <v>9</v>
      </c>
      <c r="K12" s="329">
        <v>10</v>
      </c>
      <c r="L12" s="329">
        <v>11</v>
      </c>
      <c r="M12" s="329">
        <v>12</v>
      </c>
      <c r="N12" s="329">
        <v>13</v>
      </c>
      <c r="O12" s="327">
        <v>14</v>
      </c>
    </row>
    <row r="13" spans="1:15" ht="36" customHeight="1" x14ac:dyDescent="0.25">
      <c r="A13" s="266">
        <v>1</v>
      </c>
      <c r="B13" s="492" t="s">
        <v>208</v>
      </c>
      <c r="C13" s="521"/>
      <c r="D13" s="584" t="s">
        <v>547</v>
      </c>
      <c r="E13" s="263"/>
      <c r="F13" s="585"/>
      <c r="G13" s="266" t="s">
        <v>56</v>
      </c>
      <c r="H13" s="269" t="s">
        <v>551</v>
      </c>
      <c r="I13" s="266" t="s">
        <v>210</v>
      </c>
      <c r="J13" s="269" t="s">
        <v>54</v>
      </c>
      <c r="K13" s="291">
        <v>148648.5</v>
      </c>
      <c r="L13" s="266" t="s">
        <v>26</v>
      </c>
      <c r="M13" s="442"/>
      <c r="N13" s="442"/>
      <c r="O13" s="263"/>
    </row>
    <row r="14" spans="1:15" ht="36" customHeight="1" x14ac:dyDescent="0.25">
      <c r="A14" s="266">
        <f>A13+1</f>
        <v>2</v>
      </c>
      <c r="B14" s="371" t="s">
        <v>70</v>
      </c>
      <c r="C14" s="371"/>
      <c r="D14" s="338" t="s">
        <v>71</v>
      </c>
      <c r="E14" s="335"/>
      <c r="F14" s="335"/>
      <c r="G14" s="266" t="s">
        <v>72</v>
      </c>
      <c r="H14" s="266">
        <v>2020</v>
      </c>
      <c r="I14" s="266" t="s">
        <v>272</v>
      </c>
      <c r="J14" s="269" t="s">
        <v>43</v>
      </c>
      <c r="K14" s="291">
        <v>5860000</v>
      </c>
      <c r="L14" s="266" t="s">
        <v>26</v>
      </c>
      <c r="M14" s="335"/>
      <c r="N14" s="335"/>
      <c r="O14" s="335"/>
    </row>
    <row r="15" spans="1:15" ht="36" customHeight="1" x14ac:dyDescent="0.25">
      <c r="A15" s="266">
        <f>A14+1</f>
        <v>3</v>
      </c>
      <c r="B15" s="371" t="s">
        <v>197</v>
      </c>
      <c r="C15" s="371"/>
      <c r="D15" s="338" t="s">
        <v>71</v>
      </c>
      <c r="E15" s="335"/>
      <c r="F15" s="335"/>
      <c r="G15" s="336" t="s">
        <v>198</v>
      </c>
      <c r="H15" s="266">
        <v>2020</v>
      </c>
      <c r="I15" s="266" t="s">
        <v>199</v>
      </c>
      <c r="J15" s="269" t="s">
        <v>43</v>
      </c>
      <c r="K15" s="291">
        <v>24337500</v>
      </c>
      <c r="L15" s="266" t="s">
        <v>26</v>
      </c>
      <c r="M15" s="335"/>
      <c r="N15" s="335"/>
      <c r="O15" s="335"/>
    </row>
    <row r="16" spans="1:15" ht="36" customHeight="1" x14ac:dyDescent="0.25">
      <c r="A16" s="266">
        <f t="shared" ref="A16:A23" si="0">A15+1</f>
        <v>4</v>
      </c>
      <c r="B16" s="492" t="s">
        <v>282</v>
      </c>
      <c r="C16" s="521"/>
      <c r="D16" s="338" t="s">
        <v>71</v>
      </c>
      <c r="E16" s="335"/>
      <c r="F16" s="335"/>
      <c r="G16" s="282" t="s">
        <v>72</v>
      </c>
      <c r="H16" s="266">
        <v>2020</v>
      </c>
      <c r="I16" s="266" t="s">
        <v>283</v>
      </c>
      <c r="J16" s="269" t="s">
        <v>107</v>
      </c>
      <c r="K16" s="291">
        <v>15628800</v>
      </c>
      <c r="L16" s="266" t="s">
        <v>26</v>
      </c>
      <c r="M16" s="335"/>
      <c r="N16" s="335"/>
      <c r="O16" s="335"/>
    </row>
    <row r="17" spans="1:15" ht="57.75" customHeight="1" x14ac:dyDescent="0.25">
      <c r="A17" s="374">
        <f t="shared" si="0"/>
        <v>5</v>
      </c>
      <c r="B17" s="509" t="s">
        <v>585</v>
      </c>
      <c r="C17" s="523"/>
      <c r="D17" s="414" t="s">
        <v>548</v>
      </c>
      <c r="E17" s="379"/>
      <c r="F17" s="379"/>
      <c r="G17" s="380" t="s">
        <v>267</v>
      </c>
      <c r="H17" s="377" t="s">
        <v>552</v>
      </c>
      <c r="I17" s="374" t="s">
        <v>124</v>
      </c>
      <c r="J17" s="377" t="s">
        <v>149</v>
      </c>
      <c r="K17" s="586">
        <v>743915</v>
      </c>
      <c r="L17" s="374" t="s">
        <v>26</v>
      </c>
      <c r="M17" s="379"/>
      <c r="N17" s="379"/>
      <c r="O17" s="414" t="s">
        <v>566</v>
      </c>
    </row>
    <row r="18" spans="1:15" ht="36" customHeight="1" x14ac:dyDescent="0.25">
      <c r="A18" s="266">
        <f t="shared" si="0"/>
        <v>6</v>
      </c>
      <c r="B18" s="492" t="s">
        <v>61</v>
      </c>
      <c r="C18" s="521"/>
      <c r="D18" s="338" t="s">
        <v>549</v>
      </c>
      <c r="E18" s="335"/>
      <c r="F18" s="335"/>
      <c r="G18" s="336" t="s">
        <v>50</v>
      </c>
      <c r="H18" s="269" t="s">
        <v>552</v>
      </c>
      <c r="I18" s="266" t="s">
        <v>62</v>
      </c>
      <c r="J18" s="269" t="s">
        <v>247</v>
      </c>
      <c r="K18" s="291">
        <v>794180</v>
      </c>
      <c r="L18" s="266" t="s">
        <v>26</v>
      </c>
      <c r="M18" s="335"/>
      <c r="N18" s="335"/>
      <c r="O18" s="335"/>
    </row>
    <row r="19" spans="1:15" ht="36" customHeight="1" x14ac:dyDescent="0.25">
      <c r="A19" s="266">
        <f t="shared" si="0"/>
        <v>7</v>
      </c>
      <c r="B19" s="371" t="s">
        <v>52</v>
      </c>
      <c r="C19" s="371"/>
      <c r="D19" s="338" t="s">
        <v>187</v>
      </c>
      <c r="E19" s="335"/>
      <c r="F19" s="335"/>
      <c r="G19" s="587"/>
      <c r="H19" s="266">
        <v>2020</v>
      </c>
      <c r="I19" s="266" t="s">
        <v>53</v>
      </c>
      <c r="J19" s="269" t="s">
        <v>200</v>
      </c>
      <c r="K19" s="291">
        <v>8165927.5</v>
      </c>
      <c r="L19" s="266" t="s">
        <v>26</v>
      </c>
      <c r="M19" s="335"/>
      <c r="N19" s="335"/>
      <c r="O19" s="335"/>
    </row>
    <row r="20" spans="1:15" ht="36" customHeight="1" x14ac:dyDescent="0.25">
      <c r="A20" s="266">
        <f t="shared" si="0"/>
        <v>8</v>
      </c>
      <c r="B20" s="371" t="s">
        <v>65</v>
      </c>
      <c r="C20" s="371"/>
      <c r="D20" s="338" t="s">
        <v>73</v>
      </c>
      <c r="E20" s="335"/>
      <c r="F20" s="335"/>
      <c r="G20" s="587"/>
      <c r="H20" s="266">
        <v>2020</v>
      </c>
      <c r="I20" s="266" t="s">
        <v>66</v>
      </c>
      <c r="J20" s="588" t="s">
        <v>74</v>
      </c>
      <c r="K20" s="291">
        <v>5510746.6699999999</v>
      </c>
      <c r="L20" s="266" t="s">
        <v>26</v>
      </c>
      <c r="M20" s="335"/>
      <c r="N20" s="335"/>
      <c r="O20" s="335"/>
    </row>
    <row r="21" spans="1:15" ht="36" customHeight="1" x14ac:dyDescent="0.25">
      <c r="A21" s="266">
        <f t="shared" si="0"/>
        <v>9</v>
      </c>
      <c r="B21" s="492" t="s">
        <v>157</v>
      </c>
      <c r="C21" s="521"/>
      <c r="D21" s="338" t="s">
        <v>158</v>
      </c>
      <c r="E21" s="335"/>
      <c r="F21" s="335"/>
      <c r="G21" s="587"/>
      <c r="H21" s="266">
        <v>2020</v>
      </c>
      <c r="I21" s="266" t="s">
        <v>159</v>
      </c>
      <c r="J21" s="269" t="s">
        <v>107</v>
      </c>
      <c r="K21" s="291">
        <v>4458695</v>
      </c>
      <c r="L21" s="266" t="s">
        <v>26</v>
      </c>
      <c r="M21" s="335"/>
      <c r="N21" s="335"/>
      <c r="O21" s="335"/>
    </row>
    <row r="22" spans="1:15" ht="36" customHeight="1" x14ac:dyDescent="0.25">
      <c r="A22" s="266">
        <f t="shared" si="0"/>
        <v>10</v>
      </c>
      <c r="B22" s="492" t="s">
        <v>133</v>
      </c>
      <c r="C22" s="521"/>
      <c r="D22" s="338" t="s">
        <v>138</v>
      </c>
      <c r="E22" s="335"/>
      <c r="F22" s="335"/>
      <c r="G22" s="336" t="s">
        <v>50</v>
      </c>
      <c r="H22" s="269" t="s">
        <v>553</v>
      </c>
      <c r="I22" s="266" t="s">
        <v>136</v>
      </c>
      <c r="J22" s="269" t="s">
        <v>89</v>
      </c>
      <c r="K22" s="291">
        <v>6976243</v>
      </c>
      <c r="L22" s="266" t="s">
        <v>26</v>
      </c>
      <c r="M22" s="335"/>
      <c r="N22" s="335"/>
      <c r="O22" s="335"/>
    </row>
    <row r="23" spans="1:15" ht="36" customHeight="1" x14ac:dyDescent="0.25">
      <c r="A23" s="266">
        <f t="shared" si="0"/>
        <v>11</v>
      </c>
      <c r="B23" s="492" t="s">
        <v>84</v>
      </c>
      <c r="C23" s="521"/>
      <c r="D23" s="338" t="s">
        <v>550</v>
      </c>
      <c r="E23" s="335"/>
      <c r="F23" s="335"/>
      <c r="G23" s="587"/>
      <c r="H23" s="266" t="s">
        <v>554</v>
      </c>
      <c r="I23" s="266" t="s">
        <v>92</v>
      </c>
      <c r="J23" s="269" t="s">
        <v>303</v>
      </c>
      <c r="K23" s="291">
        <v>2173757</v>
      </c>
      <c r="L23" s="266" t="s">
        <v>26</v>
      </c>
      <c r="M23" s="335"/>
      <c r="N23" s="335"/>
      <c r="O23" s="335"/>
    </row>
    <row r="24" spans="1:15" ht="18" x14ac:dyDescent="0.25">
      <c r="A24" s="370"/>
      <c r="B24" s="214"/>
      <c r="C24" s="214"/>
      <c r="D24" s="214"/>
      <c r="E24" s="214"/>
      <c r="F24" s="214"/>
      <c r="G24" s="214"/>
      <c r="H24" s="277"/>
      <c r="I24" s="277"/>
      <c r="J24" s="214"/>
      <c r="K24" s="214"/>
      <c r="L24" s="214"/>
      <c r="M24" s="214"/>
      <c r="N24" s="214"/>
      <c r="O24" s="214"/>
    </row>
    <row r="25" spans="1:15" ht="18" x14ac:dyDescent="0.25">
      <c r="A25" s="266"/>
      <c r="B25" s="214"/>
      <c r="C25" s="214"/>
      <c r="D25" s="214"/>
      <c r="E25" s="214"/>
      <c r="F25" s="214"/>
      <c r="G25" s="214"/>
      <c r="H25" s="214"/>
      <c r="I25" s="277"/>
      <c r="J25" s="214"/>
      <c r="K25" s="214"/>
      <c r="L25" s="214"/>
      <c r="M25" s="214"/>
      <c r="N25" s="214"/>
      <c r="O25" s="214"/>
    </row>
    <row r="26" spans="1:15" ht="18" x14ac:dyDescent="0.25">
      <c r="A26" s="266"/>
      <c r="B26" s="214"/>
      <c r="C26" s="214" t="s">
        <v>36</v>
      </c>
      <c r="D26" s="214"/>
      <c r="E26" s="214"/>
      <c r="F26" s="214"/>
      <c r="G26" s="214"/>
      <c r="H26" s="214"/>
      <c r="I26" s="214"/>
      <c r="J26" s="214"/>
      <c r="K26" s="522" t="s">
        <v>543</v>
      </c>
      <c r="L26" s="522"/>
      <c r="M26" s="522"/>
      <c r="N26" s="214"/>
      <c r="O26" s="214"/>
    </row>
    <row r="27" spans="1:15" ht="18" x14ac:dyDescent="0.25">
      <c r="A27" s="214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</row>
    <row r="28" spans="1:15" ht="18" x14ac:dyDescent="0.25">
      <c r="A28" s="214"/>
      <c r="B28" s="214"/>
      <c r="C28" s="5" t="s">
        <v>572</v>
      </c>
      <c r="D28" s="214"/>
      <c r="E28" s="214"/>
      <c r="F28" s="214"/>
      <c r="G28" s="214"/>
      <c r="H28" s="214"/>
      <c r="I28" s="214"/>
      <c r="J28" s="214"/>
      <c r="K28" s="214"/>
      <c r="L28" s="5" t="s">
        <v>37</v>
      </c>
      <c r="M28" s="214"/>
      <c r="N28" s="214"/>
      <c r="O28" s="214"/>
    </row>
    <row r="29" spans="1:15" ht="18" x14ac:dyDescent="0.25">
      <c r="A29" s="214"/>
      <c r="B29" s="214"/>
      <c r="C29" s="5"/>
      <c r="D29" s="214"/>
      <c r="E29" s="214"/>
      <c r="F29" s="214"/>
      <c r="G29" s="214"/>
      <c r="H29" s="214"/>
      <c r="I29" s="214"/>
      <c r="J29" s="214"/>
      <c r="K29" s="214"/>
      <c r="L29" s="5"/>
      <c r="M29" s="214"/>
      <c r="N29" s="214"/>
      <c r="O29" s="214"/>
    </row>
    <row r="30" spans="1:15" ht="18" x14ac:dyDescent="0.25">
      <c r="A30" s="214"/>
      <c r="B30" s="214"/>
      <c r="C30" s="5"/>
      <c r="D30" s="214"/>
      <c r="E30" s="214"/>
      <c r="F30" s="214"/>
      <c r="G30" s="214"/>
      <c r="H30" s="214"/>
      <c r="I30" s="214"/>
      <c r="J30" s="214"/>
      <c r="K30" s="214"/>
      <c r="L30" s="5"/>
      <c r="M30" s="214"/>
      <c r="N30" s="214"/>
      <c r="O30" s="214"/>
    </row>
    <row r="31" spans="1:15" ht="18" x14ac:dyDescent="0.25">
      <c r="A31" s="214"/>
      <c r="B31" s="214"/>
      <c r="C31" s="5"/>
      <c r="D31" s="214"/>
      <c r="E31" s="214"/>
      <c r="F31" s="214"/>
      <c r="G31" s="214"/>
      <c r="H31" s="214"/>
      <c r="I31" s="214"/>
      <c r="J31" s="214"/>
      <c r="K31" s="214"/>
      <c r="L31" s="5"/>
      <c r="M31" s="214"/>
      <c r="N31" s="214"/>
      <c r="O31" s="214"/>
    </row>
    <row r="32" spans="1:15" ht="18" x14ac:dyDescent="0.25">
      <c r="A32" s="214"/>
      <c r="B32" s="214"/>
      <c r="C32" s="6" t="s">
        <v>573</v>
      </c>
      <c r="D32" s="214"/>
      <c r="E32" s="214"/>
      <c r="F32" s="214"/>
      <c r="G32" s="214"/>
      <c r="H32" s="214"/>
      <c r="I32" s="214"/>
      <c r="J32" s="214"/>
      <c r="K32" s="214"/>
      <c r="L32" s="6" t="s">
        <v>576</v>
      </c>
      <c r="M32" s="214"/>
      <c r="N32" s="214"/>
      <c r="O32" s="214"/>
    </row>
    <row r="33" spans="1:15" ht="18" x14ac:dyDescent="0.25">
      <c r="A33" s="214"/>
      <c r="B33" s="214"/>
      <c r="C33" s="5" t="s">
        <v>39</v>
      </c>
      <c r="D33" s="214"/>
      <c r="E33" s="214"/>
      <c r="F33" s="214"/>
      <c r="G33" s="214"/>
      <c r="H33" s="214"/>
      <c r="I33" s="214"/>
      <c r="J33" s="214"/>
      <c r="K33" s="214"/>
      <c r="L33" s="23" t="str">
        <f>'RUANG KASUBBAG SUNRAM'!L28</f>
        <v>NIP. 19721124 200604 2 005</v>
      </c>
      <c r="M33" s="214"/>
      <c r="N33" s="214"/>
      <c r="O33" s="214"/>
    </row>
    <row r="34" spans="1:15" ht="18" x14ac:dyDescent="0.25">
      <c r="A34" s="214"/>
      <c r="B34" s="214"/>
      <c r="C34" s="23" t="s">
        <v>574</v>
      </c>
      <c r="D34" s="214"/>
      <c r="E34" s="214"/>
      <c r="F34" s="214"/>
      <c r="G34" s="214"/>
      <c r="H34" s="214"/>
      <c r="I34" s="214"/>
      <c r="J34" s="214"/>
      <c r="K34" s="214"/>
      <c r="L34" s="278"/>
      <c r="M34" s="214"/>
      <c r="N34" s="214"/>
      <c r="O34" s="214"/>
    </row>
    <row r="35" spans="1:15" ht="18" x14ac:dyDescent="0.25">
      <c r="A35" s="214"/>
      <c r="B35" s="214"/>
      <c r="C35" s="277"/>
      <c r="D35" s="214"/>
      <c r="E35" s="214"/>
      <c r="F35" s="214"/>
      <c r="G35" s="214"/>
      <c r="H35" s="214"/>
      <c r="I35" s="214"/>
      <c r="J35" s="214"/>
      <c r="K35" s="214"/>
      <c r="L35" s="277"/>
      <c r="M35" s="214"/>
      <c r="N35" s="214"/>
      <c r="O35" s="214"/>
    </row>
    <row r="36" spans="1:15" ht="18" x14ac:dyDescent="0.25">
      <c r="A36" s="214"/>
      <c r="B36" s="214"/>
      <c r="C36" s="277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</row>
    <row r="37" spans="1:15" x14ac:dyDescent="0.25">
      <c r="K37" s="24"/>
    </row>
    <row r="38" spans="1:15" x14ac:dyDescent="0.25">
      <c r="B38" s="21"/>
      <c r="K38" s="25"/>
    </row>
    <row r="39" spans="1:15" x14ac:dyDescent="0.25">
      <c r="B39" s="22"/>
    </row>
    <row r="40" spans="1:15" x14ac:dyDescent="0.25">
      <c r="B40" s="22"/>
    </row>
  </sheetData>
  <mergeCells count="12">
    <mergeCell ref="B23:C23"/>
    <mergeCell ref="K26:M26"/>
    <mergeCell ref="B13:C13"/>
    <mergeCell ref="B16:C16"/>
    <mergeCell ref="B17:C17"/>
    <mergeCell ref="B18:C18"/>
    <mergeCell ref="B21:C21"/>
    <mergeCell ref="B9:C9"/>
    <mergeCell ref="B12:C12"/>
    <mergeCell ref="L9:N9"/>
    <mergeCell ref="B10:C10"/>
    <mergeCell ref="B22:C22"/>
  </mergeCells>
  <printOptions horizontalCentered="1"/>
  <pageMargins left="0.11811023622047245" right="0.35433070866141736" top="0.19685039370078741" bottom="0.15748031496062992" header="0" footer="0"/>
  <pageSetup paperSize="5" scale="70" orientation="landscape" horizontalDpi="4294967293" verticalDpi="360" r:id="rId1"/>
  <headerFooter alignWithMargins="0">
    <oddFooter>&amp;L&amp;9&amp;F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O37"/>
  <sheetViews>
    <sheetView view="pageBreakPreview" zoomScaleNormal="55" workbookViewId="0">
      <selection activeCell="R16" sqref="R16"/>
    </sheetView>
  </sheetViews>
  <sheetFormatPr defaultRowHeight="15.75" x14ac:dyDescent="0.25"/>
  <cols>
    <col min="1" max="1" width="5.875" customWidth="1"/>
    <col min="2" max="2" width="7" customWidth="1"/>
    <col min="3" max="3" width="12.875" customWidth="1"/>
    <col min="4" max="4" width="17.875" customWidth="1"/>
    <col min="5" max="5" width="9.75" customWidth="1"/>
    <col min="6" max="6" width="9.625" customWidth="1"/>
    <col min="7" max="7" width="11.625" customWidth="1"/>
    <col min="8" max="8" width="18.5" customWidth="1"/>
    <col min="9" max="9" width="20.375" customWidth="1"/>
    <col min="10" max="10" width="13.125" customWidth="1"/>
    <col min="11" max="11" width="16.875" customWidth="1"/>
    <col min="13" max="13" width="14.625" customWidth="1"/>
    <col min="14" max="14" width="15.375" customWidth="1"/>
    <col min="15" max="15" width="16.375" customWidth="1"/>
    <col min="258" max="258" width="7" customWidth="1"/>
    <col min="259" max="259" width="17.75" customWidth="1"/>
    <col min="260" max="260" width="10.875" customWidth="1"/>
    <col min="261" max="261" width="11.25" customWidth="1"/>
    <col min="262" max="262" width="11.5" customWidth="1"/>
    <col min="263" max="263" width="11.625" customWidth="1"/>
    <col min="264" max="264" width="15.5" customWidth="1"/>
    <col min="265" max="265" width="18.75" customWidth="1"/>
    <col min="266" max="266" width="15.375" customWidth="1"/>
    <col min="267" max="267" width="15.125" customWidth="1"/>
    <col min="269" max="269" width="11" customWidth="1"/>
    <col min="270" max="270" width="10.625" customWidth="1"/>
    <col min="271" max="271" width="9.625" customWidth="1"/>
    <col min="514" max="514" width="7" customWidth="1"/>
    <col min="515" max="515" width="17.75" customWidth="1"/>
    <col min="516" max="516" width="10.875" customWidth="1"/>
    <col min="517" max="517" width="11.25" customWidth="1"/>
    <col min="518" max="518" width="11.5" customWidth="1"/>
    <col min="519" max="519" width="11.625" customWidth="1"/>
    <col min="520" max="520" width="15.5" customWidth="1"/>
    <col min="521" max="521" width="18.75" customWidth="1"/>
    <col min="522" max="522" width="15.375" customWidth="1"/>
    <col min="523" max="523" width="15.125" customWidth="1"/>
    <col min="525" max="525" width="11" customWidth="1"/>
    <col min="526" max="526" width="10.625" customWidth="1"/>
    <col min="527" max="527" width="9.625" customWidth="1"/>
    <col min="770" max="770" width="7" customWidth="1"/>
    <col min="771" max="771" width="17.75" customWidth="1"/>
    <col min="772" max="772" width="10.875" customWidth="1"/>
    <col min="773" max="773" width="11.25" customWidth="1"/>
    <col min="774" max="774" width="11.5" customWidth="1"/>
    <col min="775" max="775" width="11.625" customWidth="1"/>
    <col min="776" max="776" width="15.5" customWidth="1"/>
    <col min="777" max="777" width="18.75" customWidth="1"/>
    <col min="778" max="778" width="15.375" customWidth="1"/>
    <col min="779" max="779" width="15.125" customWidth="1"/>
    <col min="781" max="781" width="11" customWidth="1"/>
    <col min="782" max="782" width="10.625" customWidth="1"/>
    <col min="783" max="783" width="9.625" customWidth="1"/>
    <col min="1026" max="1026" width="7" customWidth="1"/>
    <col min="1027" max="1027" width="17.75" customWidth="1"/>
    <col min="1028" max="1028" width="10.875" customWidth="1"/>
    <col min="1029" max="1029" width="11.25" customWidth="1"/>
    <col min="1030" max="1030" width="11.5" customWidth="1"/>
    <col min="1031" max="1031" width="11.625" customWidth="1"/>
    <col min="1032" max="1032" width="15.5" customWidth="1"/>
    <col min="1033" max="1033" width="18.75" customWidth="1"/>
    <col min="1034" max="1034" width="15.375" customWidth="1"/>
    <col min="1035" max="1035" width="15.125" customWidth="1"/>
    <col min="1037" max="1037" width="11" customWidth="1"/>
    <col min="1038" max="1038" width="10.625" customWidth="1"/>
    <col min="1039" max="1039" width="9.625" customWidth="1"/>
    <col min="1282" max="1282" width="7" customWidth="1"/>
    <col min="1283" max="1283" width="17.75" customWidth="1"/>
    <col min="1284" max="1284" width="10.875" customWidth="1"/>
    <col min="1285" max="1285" width="11.25" customWidth="1"/>
    <col min="1286" max="1286" width="11.5" customWidth="1"/>
    <col min="1287" max="1287" width="11.625" customWidth="1"/>
    <col min="1288" max="1288" width="15.5" customWidth="1"/>
    <col min="1289" max="1289" width="18.75" customWidth="1"/>
    <col min="1290" max="1290" width="15.375" customWidth="1"/>
    <col min="1291" max="1291" width="15.125" customWidth="1"/>
    <col min="1293" max="1293" width="11" customWidth="1"/>
    <col min="1294" max="1294" width="10.625" customWidth="1"/>
    <col min="1295" max="1295" width="9.625" customWidth="1"/>
    <col min="1538" max="1538" width="7" customWidth="1"/>
    <col min="1539" max="1539" width="17.75" customWidth="1"/>
    <col min="1540" max="1540" width="10.875" customWidth="1"/>
    <col min="1541" max="1541" width="11.25" customWidth="1"/>
    <col min="1542" max="1542" width="11.5" customWidth="1"/>
    <col min="1543" max="1543" width="11.625" customWidth="1"/>
    <col min="1544" max="1544" width="15.5" customWidth="1"/>
    <col min="1545" max="1545" width="18.75" customWidth="1"/>
    <col min="1546" max="1546" width="15.375" customWidth="1"/>
    <col min="1547" max="1547" width="15.125" customWidth="1"/>
    <col min="1549" max="1549" width="11" customWidth="1"/>
    <col min="1550" max="1550" width="10.625" customWidth="1"/>
    <col min="1551" max="1551" width="9.625" customWidth="1"/>
    <col min="1794" max="1794" width="7" customWidth="1"/>
    <col min="1795" max="1795" width="17.75" customWidth="1"/>
    <col min="1796" max="1796" width="10.875" customWidth="1"/>
    <col min="1797" max="1797" width="11.25" customWidth="1"/>
    <col min="1798" max="1798" width="11.5" customWidth="1"/>
    <col min="1799" max="1799" width="11.625" customWidth="1"/>
    <col min="1800" max="1800" width="15.5" customWidth="1"/>
    <col min="1801" max="1801" width="18.75" customWidth="1"/>
    <col min="1802" max="1802" width="15.375" customWidth="1"/>
    <col min="1803" max="1803" width="15.125" customWidth="1"/>
    <col min="1805" max="1805" width="11" customWidth="1"/>
    <col min="1806" max="1806" width="10.625" customWidth="1"/>
    <col min="1807" max="1807" width="9.625" customWidth="1"/>
    <col min="2050" max="2050" width="7" customWidth="1"/>
    <col min="2051" max="2051" width="17.75" customWidth="1"/>
    <col min="2052" max="2052" width="10.875" customWidth="1"/>
    <col min="2053" max="2053" width="11.25" customWidth="1"/>
    <col min="2054" max="2054" width="11.5" customWidth="1"/>
    <col min="2055" max="2055" width="11.625" customWidth="1"/>
    <col min="2056" max="2056" width="15.5" customWidth="1"/>
    <col min="2057" max="2057" width="18.75" customWidth="1"/>
    <col min="2058" max="2058" width="15.375" customWidth="1"/>
    <col min="2059" max="2059" width="15.125" customWidth="1"/>
    <col min="2061" max="2061" width="11" customWidth="1"/>
    <col min="2062" max="2062" width="10.625" customWidth="1"/>
    <col min="2063" max="2063" width="9.625" customWidth="1"/>
    <col min="2306" max="2306" width="7" customWidth="1"/>
    <col min="2307" max="2307" width="17.75" customWidth="1"/>
    <col min="2308" max="2308" width="10.875" customWidth="1"/>
    <col min="2309" max="2309" width="11.25" customWidth="1"/>
    <col min="2310" max="2310" width="11.5" customWidth="1"/>
    <col min="2311" max="2311" width="11.625" customWidth="1"/>
    <col min="2312" max="2312" width="15.5" customWidth="1"/>
    <col min="2313" max="2313" width="18.75" customWidth="1"/>
    <col min="2314" max="2314" width="15.375" customWidth="1"/>
    <col min="2315" max="2315" width="15.125" customWidth="1"/>
    <col min="2317" max="2317" width="11" customWidth="1"/>
    <col min="2318" max="2318" width="10.625" customWidth="1"/>
    <col min="2319" max="2319" width="9.625" customWidth="1"/>
    <col min="2562" max="2562" width="7" customWidth="1"/>
    <col min="2563" max="2563" width="17.75" customWidth="1"/>
    <col min="2564" max="2564" width="10.875" customWidth="1"/>
    <col min="2565" max="2565" width="11.25" customWidth="1"/>
    <col min="2566" max="2566" width="11.5" customWidth="1"/>
    <col min="2567" max="2567" width="11.625" customWidth="1"/>
    <col min="2568" max="2568" width="15.5" customWidth="1"/>
    <col min="2569" max="2569" width="18.75" customWidth="1"/>
    <col min="2570" max="2570" width="15.375" customWidth="1"/>
    <col min="2571" max="2571" width="15.125" customWidth="1"/>
    <col min="2573" max="2573" width="11" customWidth="1"/>
    <col min="2574" max="2574" width="10.625" customWidth="1"/>
    <col min="2575" max="2575" width="9.625" customWidth="1"/>
    <col min="2818" max="2818" width="7" customWidth="1"/>
    <col min="2819" max="2819" width="17.75" customWidth="1"/>
    <col min="2820" max="2820" width="10.875" customWidth="1"/>
    <col min="2821" max="2821" width="11.25" customWidth="1"/>
    <col min="2822" max="2822" width="11.5" customWidth="1"/>
    <col min="2823" max="2823" width="11.625" customWidth="1"/>
    <col min="2824" max="2824" width="15.5" customWidth="1"/>
    <col min="2825" max="2825" width="18.75" customWidth="1"/>
    <col min="2826" max="2826" width="15.375" customWidth="1"/>
    <col min="2827" max="2827" width="15.125" customWidth="1"/>
    <col min="2829" max="2829" width="11" customWidth="1"/>
    <col min="2830" max="2830" width="10.625" customWidth="1"/>
    <col min="2831" max="2831" width="9.625" customWidth="1"/>
    <col min="3074" max="3074" width="7" customWidth="1"/>
    <col min="3075" max="3075" width="17.75" customWidth="1"/>
    <col min="3076" max="3076" width="10.875" customWidth="1"/>
    <col min="3077" max="3077" width="11.25" customWidth="1"/>
    <col min="3078" max="3078" width="11.5" customWidth="1"/>
    <col min="3079" max="3079" width="11.625" customWidth="1"/>
    <col min="3080" max="3080" width="15.5" customWidth="1"/>
    <col min="3081" max="3081" width="18.75" customWidth="1"/>
    <col min="3082" max="3082" width="15.375" customWidth="1"/>
    <col min="3083" max="3083" width="15.125" customWidth="1"/>
    <col min="3085" max="3085" width="11" customWidth="1"/>
    <col min="3086" max="3086" width="10.625" customWidth="1"/>
    <col min="3087" max="3087" width="9.625" customWidth="1"/>
    <col min="3330" max="3330" width="7" customWidth="1"/>
    <col min="3331" max="3331" width="17.75" customWidth="1"/>
    <col min="3332" max="3332" width="10.875" customWidth="1"/>
    <col min="3333" max="3333" width="11.25" customWidth="1"/>
    <col min="3334" max="3334" width="11.5" customWidth="1"/>
    <col min="3335" max="3335" width="11.625" customWidth="1"/>
    <col min="3336" max="3336" width="15.5" customWidth="1"/>
    <col min="3337" max="3337" width="18.75" customWidth="1"/>
    <col min="3338" max="3338" width="15.375" customWidth="1"/>
    <col min="3339" max="3339" width="15.125" customWidth="1"/>
    <col min="3341" max="3341" width="11" customWidth="1"/>
    <col min="3342" max="3342" width="10.625" customWidth="1"/>
    <col min="3343" max="3343" width="9.625" customWidth="1"/>
    <col min="3586" max="3586" width="7" customWidth="1"/>
    <col min="3587" max="3587" width="17.75" customWidth="1"/>
    <col min="3588" max="3588" width="10.875" customWidth="1"/>
    <col min="3589" max="3589" width="11.25" customWidth="1"/>
    <col min="3590" max="3590" width="11.5" customWidth="1"/>
    <col min="3591" max="3591" width="11.625" customWidth="1"/>
    <col min="3592" max="3592" width="15.5" customWidth="1"/>
    <col min="3593" max="3593" width="18.75" customWidth="1"/>
    <col min="3594" max="3594" width="15.375" customWidth="1"/>
    <col min="3595" max="3595" width="15.125" customWidth="1"/>
    <col min="3597" max="3597" width="11" customWidth="1"/>
    <col min="3598" max="3598" width="10.625" customWidth="1"/>
    <col min="3599" max="3599" width="9.625" customWidth="1"/>
    <col min="3842" max="3842" width="7" customWidth="1"/>
    <col min="3843" max="3843" width="17.75" customWidth="1"/>
    <col min="3844" max="3844" width="10.875" customWidth="1"/>
    <col min="3845" max="3845" width="11.25" customWidth="1"/>
    <col min="3846" max="3846" width="11.5" customWidth="1"/>
    <col min="3847" max="3847" width="11.625" customWidth="1"/>
    <col min="3848" max="3848" width="15.5" customWidth="1"/>
    <col min="3849" max="3849" width="18.75" customWidth="1"/>
    <col min="3850" max="3850" width="15.375" customWidth="1"/>
    <col min="3851" max="3851" width="15.125" customWidth="1"/>
    <col min="3853" max="3853" width="11" customWidth="1"/>
    <col min="3854" max="3854" width="10.625" customWidth="1"/>
    <col min="3855" max="3855" width="9.625" customWidth="1"/>
    <col min="4098" max="4098" width="7" customWidth="1"/>
    <col min="4099" max="4099" width="17.75" customWidth="1"/>
    <col min="4100" max="4100" width="10.875" customWidth="1"/>
    <col min="4101" max="4101" width="11.25" customWidth="1"/>
    <col min="4102" max="4102" width="11.5" customWidth="1"/>
    <col min="4103" max="4103" width="11.625" customWidth="1"/>
    <col min="4104" max="4104" width="15.5" customWidth="1"/>
    <col min="4105" max="4105" width="18.75" customWidth="1"/>
    <col min="4106" max="4106" width="15.375" customWidth="1"/>
    <col min="4107" max="4107" width="15.125" customWidth="1"/>
    <col min="4109" max="4109" width="11" customWidth="1"/>
    <col min="4110" max="4110" width="10.625" customWidth="1"/>
    <col min="4111" max="4111" width="9.625" customWidth="1"/>
    <col min="4354" max="4354" width="7" customWidth="1"/>
    <col min="4355" max="4355" width="17.75" customWidth="1"/>
    <col min="4356" max="4356" width="10.875" customWidth="1"/>
    <col min="4357" max="4357" width="11.25" customWidth="1"/>
    <col min="4358" max="4358" width="11.5" customWidth="1"/>
    <col min="4359" max="4359" width="11.625" customWidth="1"/>
    <col min="4360" max="4360" width="15.5" customWidth="1"/>
    <col min="4361" max="4361" width="18.75" customWidth="1"/>
    <col min="4362" max="4362" width="15.375" customWidth="1"/>
    <col min="4363" max="4363" width="15.125" customWidth="1"/>
    <col min="4365" max="4365" width="11" customWidth="1"/>
    <col min="4366" max="4366" width="10.625" customWidth="1"/>
    <col min="4367" max="4367" width="9.625" customWidth="1"/>
    <col min="4610" max="4610" width="7" customWidth="1"/>
    <col min="4611" max="4611" width="17.75" customWidth="1"/>
    <col min="4612" max="4612" width="10.875" customWidth="1"/>
    <col min="4613" max="4613" width="11.25" customWidth="1"/>
    <col min="4614" max="4614" width="11.5" customWidth="1"/>
    <col min="4615" max="4615" width="11.625" customWidth="1"/>
    <col min="4616" max="4616" width="15.5" customWidth="1"/>
    <col min="4617" max="4617" width="18.75" customWidth="1"/>
    <col min="4618" max="4618" width="15.375" customWidth="1"/>
    <col min="4619" max="4619" width="15.125" customWidth="1"/>
    <col min="4621" max="4621" width="11" customWidth="1"/>
    <col min="4622" max="4622" width="10.625" customWidth="1"/>
    <col min="4623" max="4623" width="9.625" customWidth="1"/>
    <col min="4866" max="4866" width="7" customWidth="1"/>
    <col min="4867" max="4867" width="17.75" customWidth="1"/>
    <col min="4868" max="4868" width="10.875" customWidth="1"/>
    <col min="4869" max="4869" width="11.25" customWidth="1"/>
    <col min="4870" max="4870" width="11.5" customWidth="1"/>
    <col min="4871" max="4871" width="11.625" customWidth="1"/>
    <col min="4872" max="4872" width="15.5" customWidth="1"/>
    <col min="4873" max="4873" width="18.75" customWidth="1"/>
    <col min="4874" max="4874" width="15.375" customWidth="1"/>
    <col min="4875" max="4875" width="15.125" customWidth="1"/>
    <col min="4877" max="4877" width="11" customWidth="1"/>
    <col min="4878" max="4878" width="10.625" customWidth="1"/>
    <col min="4879" max="4879" width="9.625" customWidth="1"/>
    <col min="5122" max="5122" width="7" customWidth="1"/>
    <col min="5123" max="5123" width="17.75" customWidth="1"/>
    <col min="5124" max="5124" width="10.875" customWidth="1"/>
    <col min="5125" max="5125" width="11.25" customWidth="1"/>
    <col min="5126" max="5126" width="11.5" customWidth="1"/>
    <col min="5127" max="5127" width="11.625" customWidth="1"/>
    <col min="5128" max="5128" width="15.5" customWidth="1"/>
    <col min="5129" max="5129" width="18.75" customWidth="1"/>
    <col min="5130" max="5130" width="15.375" customWidth="1"/>
    <col min="5131" max="5131" width="15.125" customWidth="1"/>
    <col min="5133" max="5133" width="11" customWidth="1"/>
    <col min="5134" max="5134" width="10.625" customWidth="1"/>
    <col min="5135" max="5135" width="9.625" customWidth="1"/>
    <col min="5378" max="5378" width="7" customWidth="1"/>
    <col min="5379" max="5379" width="17.75" customWidth="1"/>
    <col min="5380" max="5380" width="10.875" customWidth="1"/>
    <col min="5381" max="5381" width="11.25" customWidth="1"/>
    <col min="5382" max="5382" width="11.5" customWidth="1"/>
    <col min="5383" max="5383" width="11.625" customWidth="1"/>
    <col min="5384" max="5384" width="15.5" customWidth="1"/>
    <col min="5385" max="5385" width="18.75" customWidth="1"/>
    <col min="5386" max="5386" width="15.375" customWidth="1"/>
    <col min="5387" max="5387" width="15.125" customWidth="1"/>
    <col min="5389" max="5389" width="11" customWidth="1"/>
    <col min="5390" max="5390" width="10.625" customWidth="1"/>
    <col min="5391" max="5391" width="9.625" customWidth="1"/>
    <col min="5634" max="5634" width="7" customWidth="1"/>
    <col min="5635" max="5635" width="17.75" customWidth="1"/>
    <col min="5636" max="5636" width="10.875" customWidth="1"/>
    <col min="5637" max="5637" width="11.25" customWidth="1"/>
    <col min="5638" max="5638" width="11.5" customWidth="1"/>
    <col min="5639" max="5639" width="11.625" customWidth="1"/>
    <col min="5640" max="5640" width="15.5" customWidth="1"/>
    <col min="5641" max="5641" width="18.75" customWidth="1"/>
    <col min="5642" max="5642" width="15.375" customWidth="1"/>
    <col min="5643" max="5643" width="15.125" customWidth="1"/>
    <col min="5645" max="5645" width="11" customWidth="1"/>
    <col min="5646" max="5646" width="10.625" customWidth="1"/>
    <col min="5647" max="5647" width="9.625" customWidth="1"/>
    <col min="5890" max="5890" width="7" customWidth="1"/>
    <col min="5891" max="5891" width="17.75" customWidth="1"/>
    <col min="5892" max="5892" width="10.875" customWidth="1"/>
    <col min="5893" max="5893" width="11.25" customWidth="1"/>
    <col min="5894" max="5894" width="11.5" customWidth="1"/>
    <col min="5895" max="5895" width="11.625" customWidth="1"/>
    <col min="5896" max="5896" width="15.5" customWidth="1"/>
    <col min="5897" max="5897" width="18.75" customWidth="1"/>
    <col min="5898" max="5898" width="15.375" customWidth="1"/>
    <col min="5899" max="5899" width="15.125" customWidth="1"/>
    <col min="5901" max="5901" width="11" customWidth="1"/>
    <col min="5902" max="5902" width="10.625" customWidth="1"/>
    <col min="5903" max="5903" width="9.625" customWidth="1"/>
    <col min="6146" max="6146" width="7" customWidth="1"/>
    <col min="6147" max="6147" width="17.75" customWidth="1"/>
    <col min="6148" max="6148" width="10.875" customWidth="1"/>
    <col min="6149" max="6149" width="11.25" customWidth="1"/>
    <col min="6150" max="6150" width="11.5" customWidth="1"/>
    <col min="6151" max="6151" width="11.625" customWidth="1"/>
    <col min="6152" max="6152" width="15.5" customWidth="1"/>
    <col min="6153" max="6153" width="18.75" customWidth="1"/>
    <col min="6154" max="6154" width="15.375" customWidth="1"/>
    <col min="6155" max="6155" width="15.125" customWidth="1"/>
    <col min="6157" max="6157" width="11" customWidth="1"/>
    <col min="6158" max="6158" width="10.625" customWidth="1"/>
    <col min="6159" max="6159" width="9.625" customWidth="1"/>
    <col min="6402" max="6402" width="7" customWidth="1"/>
    <col min="6403" max="6403" width="17.75" customWidth="1"/>
    <col min="6404" max="6404" width="10.875" customWidth="1"/>
    <col min="6405" max="6405" width="11.25" customWidth="1"/>
    <col min="6406" max="6406" width="11.5" customWidth="1"/>
    <col min="6407" max="6407" width="11.625" customWidth="1"/>
    <col min="6408" max="6408" width="15.5" customWidth="1"/>
    <col min="6409" max="6409" width="18.75" customWidth="1"/>
    <col min="6410" max="6410" width="15.375" customWidth="1"/>
    <col min="6411" max="6411" width="15.125" customWidth="1"/>
    <col min="6413" max="6413" width="11" customWidth="1"/>
    <col min="6414" max="6414" width="10.625" customWidth="1"/>
    <col min="6415" max="6415" width="9.625" customWidth="1"/>
    <col min="6658" max="6658" width="7" customWidth="1"/>
    <col min="6659" max="6659" width="17.75" customWidth="1"/>
    <col min="6660" max="6660" width="10.875" customWidth="1"/>
    <col min="6661" max="6661" width="11.25" customWidth="1"/>
    <col min="6662" max="6662" width="11.5" customWidth="1"/>
    <col min="6663" max="6663" width="11.625" customWidth="1"/>
    <col min="6664" max="6664" width="15.5" customWidth="1"/>
    <col min="6665" max="6665" width="18.75" customWidth="1"/>
    <col min="6666" max="6666" width="15.375" customWidth="1"/>
    <col min="6667" max="6667" width="15.125" customWidth="1"/>
    <col min="6669" max="6669" width="11" customWidth="1"/>
    <col min="6670" max="6670" width="10.625" customWidth="1"/>
    <col min="6671" max="6671" width="9.625" customWidth="1"/>
    <col min="6914" max="6914" width="7" customWidth="1"/>
    <col min="6915" max="6915" width="17.75" customWidth="1"/>
    <col min="6916" max="6916" width="10.875" customWidth="1"/>
    <col min="6917" max="6917" width="11.25" customWidth="1"/>
    <col min="6918" max="6918" width="11.5" customWidth="1"/>
    <col min="6919" max="6919" width="11.625" customWidth="1"/>
    <col min="6920" max="6920" width="15.5" customWidth="1"/>
    <col min="6921" max="6921" width="18.75" customWidth="1"/>
    <col min="6922" max="6922" width="15.375" customWidth="1"/>
    <col min="6923" max="6923" width="15.125" customWidth="1"/>
    <col min="6925" max="6925" width="11" customWidth="1"/>
    <col min="6926" max="6926" width="10.625" customWidth="1"/>
    <col min="6927" max="6927" width="9.625" customWidth="1"/>
    <col min="7170" max="7170" width="7" customWidth="1"/>
    <col min="7171" max="7171" width="17.75" customWidth="1"/>
    <col min="7172" max="7172" width="10.875" customWidth="1"/>
    <col min="7173" max="7173" width="11.25" customWidth="1"/>
    <col min="7174" max="7174" width="11.5" customWidth="1"/>
    <col min="7175" max="7175" width="11.625" customWidth="1"/>
    <col min="7176" max="7176" width="15.5" customWidth="1"/>
    <col min="7177" max="7177" width="18.75" customWidth="1"/>
    <col min="7178" max="7178" width="15.375" customWidth="1"/>
    <col min="7179" max="7179" width="15.125" customWidth="1"/>
    <col min="7181" max="7181" width="11" customWidth="1"/>
    <col min="7182" max="7182" width="10.625" customWidth="1"/>
    <col min="7183" max="7183" width="9.625" customWidth="1"/>
    <col min="7426" max="7426" width="7" customWidth="1"/>
    <col min="7427" max="7427" width="17.75" customWidth="1"/>
    <col min="7428" max="7428" width="10.875" customWidth="1"/>
    <col min="7429" max="7429" width="11.25" customWidth="1"/>
    <col min="7430" max="7430" width="11.5" customWidth="1"/>
    <col min="7431" max="7431" width="11.625" customWidth="1"/>
    <col min="7432" max="7432" width="15.5" customWidth="1"/>
    <col min="7433" max="7433" width="18.75" customWidth="1"/>
    <col min="7434" max="7434" width="15.375" customWidth="1"/>
    <col min="7435" max="7435" width="15.125" customWidth="1"/>
    <col min="7437" max="7437" width="11" customWidth="1"/>
    <col min="7438" max="7438" width="10.625" customWidth="1"/>
    <col min="7439" max="7439" width="9.625" customWidth="1"/>
    <col min="7682" max="7682" width="7" customWidth="1"/>
    <col min="7683" max="7683" width="17.75" customWidth="1"/>
    <col min="7684" max="7684" width="10.875" customWidth="1"/>
    <col min="7685" max="7685" width="11.25" customWidth="1"/>
    <col min="7686" max="7686" width="11.5" customWidth="1"/>
    <col min="7687" max="7687" width="11.625" customWidth="1"/>
    <col min="7688" max="7688" width="15.5" customWidth="1"/>
    <col min="7689" max="7689" width="18.75" customWidth="1"/>
    <col min="7690" max="7690" width="15.375" customWidth="1"/>
    <col min="7691" max="7691" width="15.125" customWidth="1"/>
    <col min="7693" max="7693" width="11" customWidth="1"/>
    <col min="7694" max="7694" width="10.625" customWidth="1"/>
    <col min="7695" max="7695" width="9.625" customWidth="1"/>
    <col min="7938" max="7938" width="7" customWidth="1"/>
    <col min="7939" max="7939" width="17.75" customWidth="1"/>
    <col min="7940" max="7940" width="10.875" customWidth="1"/>
    <col min="7941" max="7941" width="11.25" customWidth="1"/>
    <col min="7942" max="7942" width="11.5" customWidth="1"/>
    <col min="7943" max="7943" width="11.625" customWidth="1"/>
    <col min="7944" max="7944" width="15.5" customWidth="1"/>
    <col min="7945" max="7945" width="18.75" customWidth="1"/>
    <col min="7946" max="7946" width="15.375" customWidth="1"/>
    <col min="7947" max="7947" width="15.125" customWidth="1"/>
    <col min="7949" max="7949" width="11" customWidth="1"/>
    <col min="7950" max="7950" width="10.625" customWidth="1"/>
    <col min="7951" max="7951" width="9.625" customWidth="1"/>
    <col min="8194" max="8194" width="7" customWidth="1"/>
    <col min="8195" max="8195" width="17.75" customWidth="1"/>
    <col min="8196" max="8196" width="10.875" customWidth="1"/>
    <col min="8197" max="8197" width="11.25" customWidth="1"/>
    <col min="8198" max="8198" width="11.5" customWidth="1"/>
    <col min="8199" max="8199" width="11.625" customWidth="1"/>
    <col min="8200" max="8200" width="15.5" customWidth="1"/>
    <col min="8201" max="8201" width="18.75" customWidth="1"/>
    <col min="8202" max="8202" width="15.375" customWidth="1"/>
    <col min="8203" max="8203" width="15.125" customWidth="1"/>
    <col min="8205" max="8205" width="11" customWidth="1"/>
    <col min="8206" max="8206" width="10.625" customWidth="1"/>
    <col min="8207" max="8207" width="9.625" customWidth="1"/>
    <col min="8450" max="8450" width="7" customWidth="1"/>
    <col min="8451" max="8451" width="17.75" customWidth="1"/>
    <col min="8452" max="8452" width="10.875" customWidth="1"/>
    <col min="8453" max="8453" width="11.25" customWidth="1"/>
    <col min="8454" max="8454" width="11.5" customWidth="1"/>
    <col min="8455" max="8455" width="11.625" customWidth="1"/>
    <col min="8456" max="8456" width="15.5" customWidth="1"/>
    <col min="8457" max="8457" width="18.75" customWidth="1"/>
    <col min="8458" max="8458" width="15.375" customWidth="1"/>
    <col min="8459" max="8459" width="15.125" customWidth="1"/>
    <col min="8461" max="8461" width="11" customWidth="1"/>
    <col min="8462" max="8462" width="10.625" customWidth="1"/>
    <col min="8463" max="8463" width="9.625" customWidth="1"/>
    <col min="8706" max="8706" width="7" customWidth="1"/>
    <col min="8707" max="8707" width="17.75" customWidth="1"/>
    <col min="8708" max="8708" width="10.875" customWidth="1"/>
    <col min="8709" max="8709" width="11.25" customWidth="1"/>
    <col min="8710" max="8710" width="11.5" customWidth="1"/>
    <col min="8711" max="8711" width="11.625" customWidth="1"/>
    <col min="8712" max="8712" width="15.5" customWidth="1"/>
    <col min="8713" max="8713" width="18.75" customWidth="1"/>
    <col min="8714" max="8714" width="15.375" customWidth="1"/>
    <col min="8715" max="8715" width="15.125" customWidth="1"/>
    <col min="8717" max="8717" width="11" customWidth="1"/>
    <col min="8718" max="8718" width="10.625" customWidth="1"/>
    <col min="8719" max="8719" width="9.625" customWidth="1"/>
    <col min="8962" max="8962" width="7" customWidth="1"/>
    <col min="8963" max="8963" width="17.75" customWidth="1"/>
    <col min="8964" max="8964" width="10.875" customWidth="1"/>
    <col min="8965" max="8965" width="11.25" customWidth="1"/>
    <col min="8966" max="8966" width="11.5" customWidth="1"/>
    <col min="8967" max="8967" width="11.625" customWidth="1"/>
    <col min="8968" max="8968" width="15.5" customWidth="1"/>
    <col min="8969" max="8969" width="18.75" customWidth="1"/>
    <col min="8970" max="8970" width="15.375" customWidth="1"/>
    <col min="8971" max="8971" width="15.125" customWidth="1"/>
    <col min="8973" max="8973" width="11" customWidth="1"/>
    <col min="8974" max="8974" width="10.625" customWidth="1"/>
    <col min="8975" max="8975" width="9.625" customWidth="1"/>
    <col min="9218" max="9218" width="7" customWidth="1"/>
    <col min="9219" max="9219" width="17.75" customWidth="1"/>
    <col min="9220" max="9220" width="10.875" customWidth="1"/>
    <col min="9221" max="9221" width="11.25" customWidth="1"/>
    <col min="9222" max="9222" width="11.5" customWidth="1"/>
    <col min="9223" max="9223" width="11.625" customWidth="1"/>
    <col min="9224" max="9224" width="15.5" customWidth="1"/>
    <col min="9225" max="9225" width="18.75" customWidth="1"/>
    <col min="9226" max="9226" width="15.375" customWidth="1"/>
    <col min="9227" max="9227" width="15.125" customWidth="1"/>
    <col min="9229" max="9229" width="11" customWidth="1"/>
    <col min="9230" max="9230" width="10.625" customWidth="1"/>
    <col min="9231" max="9231" width="9.625" customWidth="1"/>
    <col min="9474" max="9474" width="7" customWidth="1"/>
    <col min="9475" max="9475" width="17.75" customWidth="1"/>
    <col min="9476" max="9476" width="10.875" customWidth="1"/>
    <col min="9477" max="9477" width="11.25" customWidth="1"/>
    <col min="9478" max="9478" width="11.5" customWidth="1"/>
    <col min="9479" max="9479" width="11.625" customWidth="1"/>
    <col min="9480" max="9480" width="15.5" customWidth="1"/>
    <col min="9481" max="9481" width="18.75" customWidth="1"/>
    <col min="9482" max="9482" width="15.375" customWidth="1"/>
    <col min="9483" max="9483" width="15.125" customWidth="1"/>
    <col min="9485" max="9485" width="11" customWidth="1"/>
    <col min="9486" max="9486" width="10.625" customWidth="1"/>
    <col min="9487" max="9487" width="9.625" customWidth="1"/>
    <col min="9730" max="9730" width="7" customWidth="1"/>
    <col min="9731" max="9731" width="17.75" customWidth="1"/>
    <col min="9732" max="9732" width="10.875" customWidth="1"/>
    <col min="9733" max="9733" width="11.25" customWidth="1"/>
    <col min="9734" max="9734" width="11.5" customWidth="1"/>
    <col min="9735" max="9735" width="11.625" customWidth="1"/>
    <col min="9736" max="9736" width="15.5" customWidth="1"/>
    <col min="9737" max="9737" width="18.75" customWidth="1"/>
    <col min="9738" max="9738" width="15.375" customWidth="1"/>
    <col min="9739" max="9739" width="15.125" customWidth="1"/>
    <col min="9741" max="9741" width="11" customWidth="1"/>
    <col min="9742" max="9742" width="10.625" customWidth="1"/>
    <col min="9743" max="9743" width="9.625" customWidth="1"/>
    <col min="9986" max="9986" width="7" customWidth="1"/>
    <col min="9987" max="9987" width="17.75" customWidth="1"/>
    <col min="9988" max="9988" width="10.875" customWidth="1"/>
    <col min="9989" max="9989" width="11.25" customWidth="1"/>
    <col min="9990" max="9990" width="11.5" customWidth="1"/>
    <col min="9991" max="9991" width="11.625" customWidth="1"/>
    <col min="9992" max="9992" width="15.5" customWidth="1"/>
    <col min="9993" max="9993" width="18.75" customWidth="1"/>
    <col min="9994" max="9994" width="15.375" customWidth="1"/>
    <col min="9995" max="9995" width="15.125" customWidth="1"/>
    <col min="9997" max="9997" width="11" customWidth="1"/>
    <col min="9998" max="9998" width="10.625" customWidth="1"/>
    <col min="9999" max="9999" width="9.625" customWidth="1"/>
    <col min="10242" max="10242" width="7" customWidth="1"/>
    <col min="10243" max="10243" width="17.75" customWidth="1"/>
    <col min="10244" max="10244" width="10.875" customWidth="1"/>
    <col min="10245" max="10245" width="11.25" customWidth="1"/>
    <col min="10246" max="10246" width="11.5" customWidth="1"/>
    <col min="10247" max="10247" width="11.625" customWidth="1"/>
    <col min="10248" max="10248" width="15.5" customWidth="1"/>
    <col min="10249" max="10249" width="18.75" customWidth="1"/>
    <col min="10250" max="10250" width="15.375" customWidth="1"/>
    <col min="10251" max="10251" width="15.125" customWidth="1"/>
    <col min="10253" max="10253" width="11" customWidth="1"/>
    <col min="10254" max="10254" width="10.625" customWidth="1"/>
    <col min="10255" max="10255" width="9.625" customWidth="1"/>
    <col min="10498" max="10498" width="7" customWidth="1"/>
    <col min="10499" max="10499" width="17.75" customWidth="1"/>
    <col min="10500" max="10500" width="10.875" customWidth="1"/>
    <col min="10501" max="10501" width="11.25" customWidth="1"/>
    <col min="10502" max="10502" width="11.5" customWidth="1"/>
    <col min="10503" max="10503" width="11.625" customWidth="1"/>
    <col min="10504" max="10504" width="15.5" customWidth="1"/>
    <col min="10505" max="10505" width="18.75" customWidth="1"/>
    <col min="10506" max="10506" width="15.375" customWidth="1"/>
    <col min="10507" max="10507" width="15.125" customWidth="1"/>
    <col min="10509" max="10509" width="11" customWidth="1"/>
    <col min="10510" max="10510" width="10.625" customWidth="1"/>
    <col min="10511" max="10511" width="9.625" customWidth="1"/>
    <col min="10754" max="10754" width="7" customWidth="1"/>
    <col min="10755" max="10755" width="17.75" customWidth="1"/>
    <col min="10756" max="10756" width="10.875" customWidth="1"/>
    <col min="10757" max="10757" width="11.25" customWidth="1"/>
    <col min="10758" max="10758" width="11.5" customWidth="1"/>
    <col min="10759" max="10759" width="11.625" customWidth="1"/>
    <col min="10760" max="10760" width="15.5" customWidth="1"/>
    <col min="10761" max="10761" width="18.75" customWidth="1"/>
    <col min="10762" max="10762" width="15.375" customWidth="1"/>
    <col min="10763" max="10763" width="15.125" customWidth="1"/>
    <col min="10765" max="10765" width="11" customWidth="1"/>
    <col min="10766" max="10766" width="10.625" customWidth="1"/>
    <col min="10767" max="10767" width="9.625" customWidth="1"/>
    <col min="11010" max="11010" width="7" customWidth="1"/>
    <col min="11011" max="11011" width="17.75" customWidth="1"/>
    <col min="11012" max="11012" width="10.875" customWidth="1"/>
    <col min="11013" max="11013" width="11.25" customWidth="1"/>
    <col min="11014" max="11014" width="11.5" customWidth="1"/>
    <col min="11015" max="11015" width="11.625" customWidth="1"/>
    <col min="11016" max="11016" width="15.5" customWidth="1"/>
    <col min="11017" max="11017" width="18.75" customWidth="1"/>
    <col min="11018" max="11018" width="15.375" customWidth="1"/>
    <col min="11019" max="11019" width="15.125" customWidth="1"/>
    <col min="11021" max="11021" width="11" customWidth="1"/>
    <col min="11022" max="11022" width="10.625" customWidth="1"/>
    <col min="11023" max="11023" width="9.625" customWidth="1"/>
    <col min="11266" max="11266" width="7" customWidth="1"/>
    <col min="11267" max="11267" width="17.75" customWidth="1"/>
    <col min="11268" max="11268" width="10.875" customWidth="1"/>
    <col min="11269" max="11269" width="11.25" customWidth="1"/>
    <col min="11270" max="11270" width="11.5" customWidth="1"/>
    <col min="11271" max="11271" width="11.625" customWidth="1"/>
    <col min="11272" max="11272" width="15.5" customWidth="1"/>
    <col min="11273" max="11273" width="18.75" customWidth="1"/>
    <col min="11274" max="11274" width="15.375" customWidth="1"/>
    <col min="11275" max="11275" width="15.125" customWidth="1"/>
    <col min="11277" max="11277" width="11" customWidth="1"/>
    <col min="11278" max="11278" width="10.625" customWidth="1"/>
    <col min="11279" max="11279" width="9.625" customWidth="1"/>
    <col min="11522" max="11522" width="7" customWidth="1"/>
    <col min="11523" max="11523" width="17.75" customWidth="1"/>
    <col min="11524" max="11524" width="10.875" customWidth="1"/>
    <col min="11525" max="11525" width="11.25" customWidth="1"/>
    <col min="11526" max="11526" width="11.5" customWidth="1"/>
    <col min="11527" max="11527" width="11.625" customWidth="1"/>
    <col min="11528" max="11528" width="15.5" customWidth="1"/>
    <col min="11529" max="11529" width="18.75" customWidth="1"/>
    <col min="11530" max="11530" width="15.375" customWidth="1"/>
    <col min="11531" max="11531" width="15.125" customWidth="1"/>
    <col min="11533" max="11533" width="11" customWidth="1"/>
    <col min="11534" max="11534" width="10.625" customWidth="1"/>
    <col min="11535" max="11535" width="9.625" customWidth="1"/>
    <col min="11778" max="11778" width="7" customWidth="1"/>
    <col min="11779" max="11779" width="17.75" customWidth="1"/>
    <col min="11780" max="11780" width="10.875" customWidth="1"/>
    <col min="11781" max="11781" width="11.25" customWidth="1"/>
    <col min="11782" max="11782" width="11.5" customWidth="1"/>
    <col min="11783" max="11783" width="11.625" customWidth="1"/>
    <col min="11784" max="11784" width="15.5" customWidth="1"/>
    <col min="11785" max="11785" width="18.75" customWidth="1"/>
    <col min="11786" max="11786" width="15.375" customWidth="1"/>
    <col min="11787" max="11787" width="15.125" customWidth="1"/>
    <col min="11789" max="11789" width="11" customWidth="1"/>
    <col min="11790" max="11790" width="10.625" customWidth="1"/>
    <col min="11791" max="11791" width="9.625" customWidth="1"/>
    <col min="12034" max="12034" width="7" customWidth="1"/>
    <col min="12035" max="12035" width="17.75" customWidth="1"/>
    <col min="12036" max="12036" width="10.875" customWidth="1"/>
    <col min="12037" max="12037" width="11.25" customWidth="1"/>
    <col min="12038" max="12038" width="11.5" customWidth="1"/>
    <col min="12039" max="12039" width="11.625" customWidth="1"/>
    <col min="12040" max="12040" width="15.5" customWidth="1"/>
    <col min="12041" max="12041" width="18.75" customWidth="1"/>
    <col min="12042" max="12042" width="15.375" customWidth="1"/>
    <col min="12043" max="12043" width="15.125" customWidth="1"/>
    <col min="12045" max="12045" width="11" customWidth="1"/>
    <col min="12046" max="12046" width="10.625" customWidth="1"/>
    <col min="12047" max="12047" width="9.625" customWidth="1"/>
    <col min="12290" max="12290" width="7" customWidth="1"/>
    <col min="12291" max="12291" width="17.75" customWidth="1"/>
    <col min="12292" max="12292" width="10.875" customWidth="1"/>
    <col min="12293" max="12293" width="11.25" customWidth="1"/>
    <col min="12294" max="12294" width="11.5" customWidth="1"/>
    <col min="12295" max="12295" width="11.625" customWidth="1"/>
    <col min="12296" max="12296" width="15.5" customWidth="1"/>
    <col min="12297" max="12297" width="18.75" customWidth="1"/>
    <col min="12298" max="12298" width="15.375" customWidth="1"/>
    <col min="12299" max="12299" width="15.125" customWidth="1"/>
    <col min="12301" max="12301" width="11" customWidth="1"/>
    <col min="12302" max="12302" width="10.625" customWidth="1"/>
    <col min="12303" max="12303" width="9.625" customWidth="1"/>
    <col min="12546" max="12546" width="7" customWidth="1"/>
    <col min="12547" max="12547" width="17.75" customWidth="1"/>
    <col min="12548" max="12548" width="10.875" customWidth="1"/>
    <col min="12549" max="12549" width="11.25" customWidth="1"/>
    <col min="12550" max="12550" width="11.5" customWidth="1"/>
    <col min="12551" max="12551" width="11.625" customWidth="1"/>
    <col min="12552" max="12552" width="15.5" customWidth="1"/>
    <col min="12553" max="12553" width="18.75" customWidth="1"/>
    <col min="12554" max="12554" width="15.375" customWidth="1"/>
    <col min="12555" max="12555" width="15.125" customWidth="1"/>
    <col min="12557" max="12557" width="11" customWidth="1"/>
    <col min="12558" max="12558" width="10.625" customWidth="1"/>
    <col min="12559" max="12559" width="9.625" customWidth="1"/>
    <col min="12802" max="12802" width="7" customWidth="1"/>
    <col min="12803" max="12803" width="17.75" customWidth="1"/>
    <col min="12804" max="12804" width="10.875" customWidth="1"/>
    <col min="12805" max="12805" width="11.25" customWidth="1"/>
    <col min="12806" max="12806" width="11.5" customWidth="1"/>
    <col min="12807" max="12807" width="11.625" customWidth="1"/>
    <col min="12808" max="12808" width="15.5" customWidth="1"/>
    <col min="12809" max="12809" width="18.75" customWidth="1"/>
    <col min="12810" max="12810" width="15.375" customWidth="1"/>
    <col min="12811" max="12811" width="15.125" customWidth="1"/>
    <col min="12813" max="12813" width="11" customWidth="1"/>
    <col min="12814" max="12814" width="10.625" customWidth="1"/>
    <col min="12815" max="12815" width="9.625" customWidth="1"/>
    <col min="13058" max="13058" width="7" customWidth="1"/>
    <col min="13059" max="13059" width="17.75" customWidth="1"/>
    <col min="13060" max="13060" width="10.875" customWidth="1"/>
    <col min="13061" max="13061" width="11.25" customWidth="1"/>
    <col min="13062" max="13062" width="11.5" customWidth="1"/>
    <col min="13063" max="13063" width="11.625" customWidth="1"/>
    <col min="13064" max="13064" width="15.5" customWidth="1"/>
    <col min="13065" max="13065" width="18.75" customWidth="1"/>
    <col min="13066" max="13066" width="15.375" customWidth="1"/>
    <col min="13067" max="13067" width="15.125" customWidth="1"/>
    <col min="13069" max="13069" width="11" customWidth="1"/>
    <col min="13070" max="13070" width="10.625" customWidth="1"/>
    <col min="13071" max="13071" width="9.625" customWidth="1"/>
    <col min="13314" max="13314" width="7" customWidth="1"/>
    <col min="13315" max="13315" width="17.75" customWidth="1"/>
    <col min="13316" max="13316" width="10.875" customWidth="1"/>
    <col min="13317" max="13317" width="11.25" customWidth="1"/>
    <col min="13318" max="13318" width="11.5" customWidth="1"/>
    <col min="13319" max="13319" width="11.625" customWidth="1"/>
    <col min="13320" max="13320" width="15.5" customWidth="1"/>
    <col min="13321" max="13321" width="18.75" customWidth="1"/>
    <col min="13322" max="13322" width="15.375" customWidth="1"/>
    <col min="13323" max="13323" width="15.125" customWidth="1"/>
    <col min="13325" max="13325" width="11" customWidth="1"/>
    <col min="13326" max="13326" width="10.625" customWidth="1"/>
    <col min="13327" max="13327" width="9.625" customWidth="1"/>
    <col min="13570" max="13570" width="7" customWidth="1"/>
    <col min="13571" max="13571" width="17.75" customWidth="1"/>
    <col min="13572" max="13572" width="10.875" customWidth="1"/>
    <col min="13573" max="13573" width="11.25" customWidth="1"/>
    <col min="13574" max="13574" width="11.5" customWidth="1"/>
    <col min="13575" max="13575" width="11.625" customWidth="1"/>
    <col min="13576" max="13576" width="15.5" customWidth="1"/>
    <col min="13577" max="13577" width="18.75" customWidth="1"/>
    <col min="13578" max="13578" width="15.375" customWidth="1"/>
    <col min="13579" max="13579" width="15.125" customWidth="1"/>
    <col min="13581" max="13581" width="11" customWidth="1"/>
    <col min="13582" max="13582" width="10.625" customWidth="1"/>
    <col min="13583" max="13583" width="9.625" customWidth="1"/>
    <col min="13826" max="13826" width="7" customWidth="1"/>
    <col min="13827" max="13827" width="17.75" customWidth="1"/>
    <col min="13828" max="13828" width="10.875" customWidth="1"/>
    <col min="13829" max="13829" width="11.25" customWidth="1"/>
    <col min="13830" max="13830" width="11.5" customWidth="1"/>
    <col min="13831" max="13831" width="11.625" customWidth="1"/>
    <col min="13832" max="13832" width="15.5" customWidth="1"/>
    <col min="13833" max="13833" width="18.75" customWidth="1"/>
    <col min="13834" max="13834" width="15.375" customWidth="1"/>
    <col min="13835" max="13835" width="15.125" customWidth="1"/>
    <col min="13837" max="13837" width="11" customWidth="1"/>
    <col min="13838" max="13838" width="10.625" customWidth="1"/>
    <col min="13839" max="13839" width="9.625" customWidth="1"/>
    <col min="14082" max="14082" width="7" customWidth="1"/>
    <col min="14083" max="14083" width="17.75" customWidth="1"/>
    <col min="14084" max="14084" width="10.875" customWidth="1"/>
    <col min="14085" max="14085" width="11.25" customWidth="1"/>
    <col min="14086" max="14086" width="11.5" customWidth="1"/>
    <col min="14087" max="14087" width="11.625" customWidth="1"/>
    <col min="14088" max="14088" width="15.5" customWidth="1"/>
    <col min="14089" max="14089" width="18.75" customWidth="1"/>
    <col min="14090" max="14090" width="15.375" customWidth="1"/>
    <col min="14091" max="14091" width="15.125" customWidth="1"/>
    <col min="14093" max="14093" width="11" customWidth="1"/>
    <col min="14094" max="14094" width="10.625" customWidth="1"/>
    <col min="14095" max="14095" width="9.625" customWidth="1"/>
    <col min="14338" max="14338" width="7" customWidth="1"/>
    <col min="14339" max="14339" width="17.75" customWidth="1"/>
    <col min="14340" max="14340" width="10.875" customWidth="1"/>
    <col min="14341" max="14341" width="11.25" customWidth="1"/>
    <col min="14342" max="14342" width="11.5" customWidth="1"/>
    <col min="14343" max="14343" width="11.625" customWidth="1"/>
    <col min="14344" max="14344" width="15.5" customWidth="1"/>
    <col min="14345" max="14345" width="18.75" customWidth="1"/>
    <col min="14346" max="14346" width="15.375" customWidth="1"/>
    <col min="14347" max="14347" width="15.125" customWidth="1"/>
    <col min="14349" max="14349" width="11" customWidth="1"/>
    <col min="14350" max="14350" width="10.625" customWidth="1"/>
    <col min="14351" max="14351" width="9.625" customWidth="1"/>
    <col min="14594" max="14594" width="7" customWidth="1"/>
    <col min="14595" max="14595" width="17.75" customWidth="1"/>
    <col min="14596" max="14596" width="10.875" customWidth="1"/>
    <col min="14597" max="14597" width="11.25" customWidth="1"/>
    <col min="14598" max="14598" width="11.5" customWidth="1"/>
    <col min="14599" max="14599" width="11.625" customWidth="1"/>
    <col min="14600" max="14600" width="15.5" customWidth="1"/>
    <col min="14601" max="14601" width="18.75" customWidth="1"/>
    <col min="14602" max="14602" width="15.375" customWidth="1"/>
    <col min="14603" max="14603" width="15.125" customWidth="1"/>
    <col min="14605" max="14605" width="11" customWidth="1"/>
    <col min="14606" max="14606" width="10.625" customWidth="1"/>
    <col min="14607" max="14607" width="9.625" customWidth="1"/>
    <col min="14850" max="14850" width="7" customWidth="1"/>
    <col min="14851" max="14851" width="17.75" customWidth="1"/>
    <col min="14852" max="14852" width="10.875" customWidth="1"/>
    <col min="14853" max="14853" width="11.25" customWidth="1"/>
    <col min="14854" max="14854" width="11.5" customWidth="1"/>
    <col min="14855" max="14855" width="11.625" customWidth="1"/>
    <col min="14856" max="14856" width="15.5" customWidth="1"/>
    <col min="14857" max="14857" width="18.75" customWidth="1"/>
    <col min="14858" max="14858" width="15.375" customWidth="1"/>
    <col min="14859" max="14859" width="15.125" customWidth="1"/>
    <col min="14861" max="14861" width="11" customWidth="1"/>
    <col min="14862" max="14862" width="10.625" customWidth="1"/>
    <col min="14863" max="14863" width="9.625" customWidth="1"/>
    <col min="15106" max="15106" width="7" customWidth="1"/>
    <col min="15107" max="15107" width="17.75" customWidth="1"/>
    <col min="15108" max="15108" width="10.875" customWidth="1"/>
    <col min="15109" max="15109" width="11.25" customWidth="1"/>
    <col min="15110" max="15110" width="11.5" customWidth="1"/>
    <col min="15111" max="15111" width="11.625" customWidth="1"/>
    <col min="15112" max="15112" width="15.5" customWidth="1"/>
    <col min="15113" max="15113" width="18.75" customWidth="1"/>
    <col min="15114" max="15114" width="15.375" customWidth="1"/>
    <col min="15115" max="15115" width="15.125" customWidth="1"/>
    <col min="15117" max="15117" width="11" customWidth="1"/>
    <col min="15118" max="15118" width="10.625" customWidth="1"/>
    <col min="15119" max="15119" width="9.625" customWidth="1"/>
    <col min="15362" max="15362" width="7" customWidth="1"/>
    <col min="15363" max="15363" width="17.75" customWidth="1"/>
    <col min="15364" max="15364" width="10.875" customWidth="1"/>
    <col min="15365" max="15365" width="11.25" customWidth="1"/>
    <col min="15366" max="15366" width="11.5" customWidth="1"/>
    <col min="15367" max="15367" width="11.625" customWidth="1"/>
    <col min="15368" max="15368" width="15.5" customWidth="1"/>
    <col min="15369" max="15369" width="18.75" customWidth="1"/>
    <col min="15370" max="15370" width="15.375" customWidth="1"/>
    <col min="15371" max="15371" width="15.125" customWidth="1"/>
    <col min="15373" max="15373" width="11" customWidth="1"/>
    <col min="15374" max="15374" width="10.625" customWidth="1"/>
    <col min="15375" max="15375" width="9.625" customWidth="1"/>
    <col min="15618" max="15618" width="7" customWidth="1"/>
    <col min="15619" max="15619" width="17.75" customWidth="1"/>
    <col min="15620" max="15620" width="10.875" customWidth="1"/>
    <col min="15621" max="15621" width="11.25" customWidth="1"/>
    <col min="15622" max="15622" width="11.5" customWidth="1"/>
    <col min="15623" max="15623" width="11.625" customWidth="1"/>
    <col min="15624" max="15624" width="15.5" customWidth="1"/>
    <col min="15625" max="15625" width="18.75" customWidth="1"/>
    <col min="15626" max="15626" width="15.375" customWidth="1"/>
    <col min="15627" max="15627" width="15.125" customWidth="1"/>
    <col min="15629" max="15629" width="11" customWidth="1"/>
    <col min="15630" max="15630" width="10.625" customWidth="1"/>
    <col min="15631" max="15631" width="9.625" customWidth="1"/>
    <col min="15874" max="15874" width="7" customWidth="1"/>
    <col min="15875" max="15875" width="17.75" customWidth="1"/>
    <col min="15876" max="15876" width="10.875" customWidth="1"/>
    <col min="15877" max="15877" width="11.25" customWidth="1"/>
    <col min="15878" max="15878" width="11.5" customWidth="1"/>
    <col min="15879" max="15879" width="11.625" customWidth="1"/>
    <col min="15880" max="15880" width="15.5" customWidth="1"/>
    <col min="15881" max="15881" width="18.75" customWidth="1"/>
    <col min="15882" max="15882" width="15.375" customWidth="1"/>
    <col min="15883" max="15883" width="15.125" customWidth="1"/>
    <col min="15885" max="15885" width="11" customWidth="1"/>
    <col min="15886" max="15886" width="10.625" customWidth="1"/>
    <col min="15887" max="15887" width="9.625" customWidth="1"/>
    <col min="16130" max="16130" width="7" customWidth="1"/>
    <col min="16131" max="16131" width="17.75" customWidth="1"/>
    <col min="16132" max="16132" width="10.875" customWidth="1"/>
    <col min="16133" max="16133" width="11.25" customWidth="1"/>
    <col min="16134" max="16134" width="11.5" customWidth="1"/>
    <col min="16135" max="16135" width="11.625" customWidth="1"/>
    <col min="16136" max="16136" width="15.5" customWidth="1"/>
    <col min="16137" max="16137" width="18.75" customWidth="1"/>
    <col min="16138" max="16138" width="15.375" customWidth="1"/>
    <col min="16139" max="16139" width="15.125" customWidth="1"/>
    <col min="16141" max="16141" width="11" customWidth="1"/>
    <col min="16142" max="16142" width="10.625" customWidth="1"/>
    <col min="16143" max="16143" width="9.625" customWidth="1"/>
  </cols>
  <sheetData>
    <row r="1" spans="1:15" ht="20.25" x14ac:dyDescent="0.3">
      <c r="A1" s="279"/>
      <c r="B1" s="279"/>
      <c r="C1" s="279"/>
      <c r="D1" s="279"/>
      <c r="E1" s="279"/>
      <c r="F1" s="279"/>
      <c r="G1" s="280" t="s">
        <v>0</v>
      </c>
      <c r="H1" s="279"/>
      <c r="I1" s="279"/>
      <c r="J1" s="214"/>
      <c r="K1" s="214"/>
      <c r="L1" s="214"/>
      <c r="M1" s="214"/>
      <c r="N1" s="214" t="s">
        <v>1</v>
      </c>
      <c r="O1" s="214"/>
    </row>
    <row r="2" spans="1:15" ht="18" x14ac:dyDescent="0.25">
      <c r="A2" s="214"/>
      <c r="B2" s="214"/>
      <c r="C2" s="214"/>
      <c r="D2" s="214"/>
      <c r="E2" s="214"/>
      <c r="F2" s="214"/>
      <c r="G2" s="331"/>
      <c r="H2" s="214"/>
      <c r="I2" s="214"/>
      <c r="J2" s="214"/>
      <c r="K2" s="214"/>
      <c r="L2" s="214"/>
      <c r="M2" s="214"/>
      <c r="N2" s="214"/>
      <c r="O2" s="214"/>
    </row>
    <row r="3" spans="1:15" ht="18" x14ac:dyDescent="0.25">
      <c r="A3" s="512" t="s">
        <v>2</v>
      </c>
      <c r="B3" s="512"/>
      <c r="C3" s="331" t="s">
        <v>38</v>
      </c>
      <c r="D3" s="214"/>
      <c r="E3" s="214"/>
      <c r="F3" s="214"/>
      <c r="G3" s="331"/>
      <c r="H3" s="214"/>
      <c r="I3" s="214"/>
      <c r="J3" s="214"/>
      <c r="K3" s="214"/>
      <c r="L3" s="214"/>
      <c r="M3" s="214"/>
      <c r="N3" s="214"/>
      <c r="O3" s="214"/>
    </row>
    <row r="4" spans="1:15" ht="18" x14ac:dyDescent="0.25">
      <c r="A4" s="512" t="s">
        <v>3</v>
      </c>
      <c r="B4" s="512"/>
      <c r="C4" s="331" t="s">
        <v>40</v>
      </c>
      <c r="D4" s="214"/>
      <c r="E4" s="214"/>
      <c r="F4" s="214"/>
      <c r="G4" s="331"/>
      <c r="H4" s="214"/>
      <c r="I4" s="214"/>
      <c r="J4" s="214"/>
      <c r="K4" s="214"/>
      <c r="L4" s="214"/>
      <c r="M4" s="214"/>
      <c r="N4" s="214"/>
      <c r="O4" s="214"/>
    </row>
    <row r="5" spans="1:15" ht="18" x14ac:dyDescent="0.25">
      <c r="A5" s="512" t="s">
        <v>4</v>
      </c>
      <c r="B5" s="512"/>
      <c r="C5" s="331" t="s">
        <v>41</v>
      </c>
      <c r="D5" s="214"/>
      <c r="E5" s="214"/>
      <c r="F5" s="214"/>
      <c r="G5" s="331"/>
      <c r="H5" s="214"/>
      <c r="I5" s="214"/>
      <c r="J5" s="214"/>
      <c r="K5" s="214"/>
      <c r="L5" s="214"/>
      <c r="M5" s="214"/>
      <c r="N5" s="214"/>
      <c r="O5" s="214"/>
    </row>
    <row r="6" spans="1:15" ht="18" x14ac:dyDescent="0.25">
      <c r="A6" s="512" t="s">
        <v>5</v>
      </c>
      <c r="B6" s="512"/>
      <c r="C6" s="331" t="s">
        <v>287</v>
      </c>
      <c r="D6" s="214"/>
      <c r="E6" s="214"/>
      <c r="F6" s="214"/>
      <c r="G6" s="331"/>
      <c r="H6" s="214"/>
      <c r="I6" s="214"/>
      <c r="J6" s="214"/>
      <c r="K6" s="214"/>
      <c r="L6" s="214"/>
      <c r="M6" s="214"/>
      <c r="N6" s="214"/>
      <c r="O6" s="214"/>
    </row>
    <row r="7" spans="1:15" ht="18" x14ac:dyDescent="0.25">
      <c r="A7" s="331"/>
      <c r="B7" s="331"/>
      <c r="C7" s="331"/>
      <c r="D7" s="214"/>
      <c r="E7" s="214"/>
      <c r="F7" s="214"/>
      <c r="G7" s="214"/>
      <c r="H7" s="214"/>
      <c r="I7" s="214"/>
      <c r="J7" s="214"/>
      <c r="K7" s="214"/>
      <c r="L7" s="214"/>
      <c r="M7" s="214"/>
      <c r="N7" s="214"/>
      <c r="O7" s="214"/>
    </row>
    <row r="8" spans="1:15" ht="18" x14ac:dyDescent="0.25">
      <c r="A8" s="331" t="s">
        <v>6</v>
      </c>
      <c r="B8" s="331"/>
      <c r="C8" s="331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</row>
    <row r="9" spans="1:15" ht="18" customHeight="1" x14ac:dyDescent="0.25">
      <c r="A9" s="317" t="s">
        <v>7</v>
      </c>
      <c r="B9" s="500" t="s">
        <v>8</v>
      </c>
      <c r="C9" s="500"/>
      <c r="D9" s="317" t="s">
        <v>9</v>
      </c>
      <c r="E9" s="317" t="s">
        <v>10</v>
      </c>
      <c r="F9" s="489" t="s">
        <v>11</v>
      </c>
      <c r="G9" s="489" t="s">
        <v>12</v>
      </c>
      <c r="H9" s="317" t="s">
        <v>13</v>
      </c>
      <c r="I9" s="317"/>
      <c r="J9" s="317" t="s">
        <v>15</v>
      </c>
      <c r="K9" s="317" t="s">
        <v>16</v>
      </c>
      <c r="L9" s="494" t="s">
        <v>17</v>
      </c>
      <c r="M9" s="494"/>
      <c r="N9" s="494"/>
      <c r="O9" s="317" t="s">
        <v>18</v>
      </c>
    </row>
    <row r="10" spans="1:15" ht="18" customHeight="1" x14ac:dyDescent="0.25">
      <c r="A10" s="490" t="s">
        <v>19</v>
      </c>
      <c r="B10" s="495" t="s">
        <v>20</v>
      </c>
      <c r="C10" s="496"/>
      <c r="D10" s="490" t="s">
        <v>21</v>
      </c>
      <c r="E10" s="490" t="s">
        <v>22</v>
      </c>
      <c r="F10" s="490"/>
      <c r="G10" s="490"/>
      <c r="H10" s="319" t="s">
        <v>23</v>
      </c>
      <c r="I10" s="319" t="s">
        <v>544</v>
      </c>
      <c r="J10" s="319" t="s">
        <v>24</v>
      </c>
      <c r="K10" s="319" t="s">
        <v>25</v>
      </c>
      <c r="L10" s="319" t="s">
        <v>26</v>
      </c>
      <c r="M10" s="319" t="s">
        <v>27</v>
      </c>
      <c r="N10" s="319" t="s">
        <v>28</v>
      </c>
      <c r="O10" s="481" t="s">
        <v>29</v>
      </c>
    </row>
    <row r="11" spans="1:15" ht="18" customHeight="1" x14ac:dyDescent="0.25">
      <c r="A11" s="491"/>
      <c r="B11" s="497"/>
      <c r="C11" s="498"/>
      <c r="D11" s="491"/>
      <c r="E11" s="491"/>
      <c r="F11" s="491"/>
      <c r="G11" s="491"/>
      <c r="H11" s="318" t="s">
        <v>30</v>
      </c>
      <c r="I11" s="318"/>
      <c r="J11" s="318" t="s">
        <v>31</v>
      </c>
      <c r="K11" s="318" t="s">
        <v>32</v>
      </c>
      <c r="L11" s="318" t="s">
        <v>33</v>
      </c>
      <c r="M11" s="318" t="s">
        <v>34</v>
      </c>
      <c r="N11" s="318" t="s">
        <v>35</v>
      </c>
      <c r="O11" s="482"/>
    </row>
    <row r="12" spans="1:15" ht="18" customHeight="1" x14ac:dyDescent="0.25">
      <c r="A12" s="263">
        <v>1</v>
      </c>
      <c r="B12" s="483">
        <v>2</v>
      </c>
      <c r="C12" s="484"/>
      <c r="D12" s="315">
        <v>3</v>
      </c>
      <c r="E12" s="315">
        <v>4</v>
      </c>
      <c r="F12" s="316">
        <v>5</v>
      </c>
      <c r="G12" s="316">
        <v>6</v>
      </c>
      <c r="H12" s="319">
        <v>7</v>
      </c>
      <c r="I12" s="319">
        <v>8</v>
      </c>
      <c r="J12" s="319">
        <v>9</v>
      </c>
      <c r="K12" s="319">
        <v>10</v>
      </c>
      <c r="L12" s="319">
        <v>11</v>
      </c>
      <c r="M12" s="319">
        <v>12</v>
      </c>
      <c r="N12" s="319">
        <v>13</v>
      </c>
      <c r="O12" s="315">
        <v>14</v>
      </c>
    </row>
    <row r="13" spans="1:15" ht="36" customHeight="1" x14ac:dyDescent="0.25">
      <c r="A13" s="333">
        <v>1</v>
      </c>
      <c r="B13" s="492" t="s">
        <v>154</v>
      </c>
      <c r="C13" s="493"/>
      <c r="D13" s="267" t="s">
        <v>284</v>
      </c>
      <c r="E13" s="335"/>
      <c r="F13" s="335"/>
      <c r="G13" s="282" t="s">
        <v>285</v>
      </c>
      <c r="H13" s="266">
        <v>2020</v>
      </c>
      <c r="I13" s="266" t="s">
        <v>286</v>
      </c>
      <c r="J13" s="269" t="s">
        <v>54</v>
      </c>
      <c r="K13" s="281">
        <v>3959900</v>
      </c>
      <c r="L13" s="266" t="s">
        <v>26</v>
      </c>
      <c r="M13" s="335"/>
      <c r="N13" s="335"/>
      <c r="O13" s="335"/>
    </row>
    <row r="14" spans="1:15" ht="18" customHeight="1" x14ac:dyDescent="0.25">
      <c r="A14" s="266">
        <f>A13+1</f>
        <v>2</v>
      </c>
      <c r="B14" s="492" t="s">
        <v>314</v>
      </c>
      <c r="C14" s="493"/>
      <c r="D14" s="267" t="s">
        <v>315</v>
      </c>
      <c r="E14" s="335"/>
      <c r="F14" s="335"/>
      <c r="G14" s="282" t="s">
        <v>56</v>
      </c>
      <c r="H14" s="266">
        <v>2011</v>
      </c>
      <c r="I14" s="266" t="s">
        <v>57</v>
      </c>
      <c r="J14" s="269" t="s">
        <v>107</v>
      </c>
      <c r="K14" s="281">
        <v>14700000</v>
      </c>
      <c r="L14" s="266" t="s">
        <v>26</v>
      </c>
      <c r="M14" s="335"/>
      <c r="N14" s="335"/>
      <c r="O14" s="335"/>
    </row>
    <row r="15" spans="1:15" ht="18" customHeight="1" x14ac:dyDescent="0.25">
      <c r="A15" s="266">
        <f>A14+1</f>
        <v>3</v>
      </c>
      <c r="B15" s="492" t="s">
        <v>225</v>
      </c>
      <c r="C15" s="493"/>
      <c r="D15" s="267" t="s">
        <v>556</v>
      </c>
      <c r="E15" s="335"/>
      <c r="F15" s="335"/>
      <c r="G15" s="282" t="s">
        <v>72</v>
      </c>
      <c r="H15" s="266">
        <v>2013</v>
      </c>
      <c r="I15" s="266" t="s">
        <v>557</v>
      </c>
      <c r="J15" s="392" t="s">
        <v>43</v>
      </c>
      <c r="K15" s="281"/>
      <c r="L15" s="266" t="s">
        <v>26</v>
      </c>
      <c r="M15" s="335"/>
      <c r="N15" s="335"/>
      <c r="O15" s="335"/>
    </row>
    <row r="16" spans="1:15" ht="36" customHeight="1" x14ac:dyDescent="0.25">
      <c r="A16" s="383">
        <f>A15+1</f>
        <v>4</v>
      </c>
      <c r="B16" s="524" t="s">
        <v>511</v>
      </c>
      <c r="C16" s="525"/>
      <c r="D16" s="391" t="s">
        <v>512</v>
      </c>
      <c r="E16" s="385"/>
      <c r="F16" s="385"/>
      <c r="G16" s="386" t="s">
        <v>218</v>
      </c>
      <c r="H16" s="383">
        <v>2000</v>
      </c>
      <c r="I16" s="383" t="s">
        <v>155</v>
      </c>
      <c r="J16" s="387" t="s">
        <v>137</v>
      </c>
      <c r="K16" s="388">
        <v>350000</v>
      </c>
      <c r="L16" s="383" t="s">
        <v>26</v>
      </c>
      <c r="M16" s="389" t="s">
        <v>27</v>
      </c>
      <c r="N16" s="385"/>
      <c r="O16" s="390" t="s">
        <v>393</v>
      </c>
    </row>
    <row r="17" spans="1:15" ht="36" customHeight="1" x14ac:dyDescent="0.25">
      <c r="A17" s="383">
        <f t="shared" ref="A17:A24" si="0">A16+1</f>
        <v>5</v>
      </c>
      <c r="B17" s="524" t="s">
        <v>208</v>
      </c>
      <c r="C17" s="525"/>
      <c r="D17" s="384" t="s">
        <v>223</v>
      </c>
      <c r="E17" s="385"/>
      <c r="F17" s="385"/>
      <c r="G17" s="386" t="s">
        <v>433</v>
      </c>
      <c r="H17" s="383">
        <v>1997</v>
      </c>
      <c r="I17" s="383" t="s">
        <v>210</v>
      </c>
      <c r="J17" s="387" t="s">
        <v>43</v>
      </c>
      <c r="K17" s="388">
        <v>148648.5</v>
      </c>
      <c r="L17" s="386"/>
      <c r="M17" s="389" t="s">
        <v>27</v>
      </c>
      <c r="N17" s="385"/>
      <c r="O17" s="390" t="s">
        <v>393</v>
      </c>
    </row>
    <row r="18" spans="1:15" ht="36" customHeight="1" x14ac:dyDescent="0.25">
      <c r="A18" s="383">
        <f t="shared" si="0"/>
        <v>6</v>
      </c>
      <c r="B18" s="524" t="s">
        <v>208</v>
      </c>
      <c r="C18" s="525"/>
      <c r="D18" s="384" t="s">
        <v>223</v>
      </c>
      <c r="E18" s="385"/>
      <c r="F18" s="385"/>
      <c r="G18" s="386" t="s">
        <v>433</v>
      </c>
      <c r="H18" s="383">
        <v>1997</v>
      </c>
      <c r="I18" s="383" t="s">
        <v>210</v>
      </c>
      <c r="J18" s="387" t="s">
        <v>166</v>
      </c>
      <c r="K18" s="388">
        <v>148648.5</v>
      </c>
      <c r="L18" s="386"/>
      <c r="M18" s="389" t="s">
        <v>27</v>
      </c>
      <c r="N18" s="385"/>
      <c r="O18" s="390" t="s">
        <v>393</v>
      </c>
    </row>
    <row r="19" spans="1:15" ht="36" customHeight="1" x14ac:dyDescent="0.25">
      <c r="A19" s="383">
        <f t="shared" si="0"/>
        <v>7</v>
      </c>
      <c r="B19" s="524" t="s">
        <v>208</v>
      </c>
      <c r="C19" s="525"/>
      <c r="D19" s="384" t="s">
        <v>223</v>
      </c>
      <c r="E19" s="385"/>
      <c r="F19" s="385"/>
      <c r="G19" s="386" t="s">
        <v>433</v>
      </c>
      <c r="H19" s="383">
        <v>1997</v>
      </c>
      <c r="I19" s="383" t="s">
        <v>210</v>
      </c>
      <c r="J19" s="387" t="s">
        <v>137</v>
      </c>
      <c r="K19" s="388">
        <v>148648.5</v>
      </c>
      <c r="L19" s="386"/>
      <c r="M19" s="389" t="s">
        <v>27</v>
      </c>
      <c r="N19" s="385"/>
      <c r="O19" s="390" t="s">
        <v>393</v>
      </c>
    </row>
    <row r="20" spans="1:15" ht="36" customHeight="1" x14ac:dyDescent="0.25">
      <c r="A20" s="383">
        <f t="shared" si="0"/>
        <v>8</v>
      </c>
      <c r="B20" s="524" t="s">
        <v>208</v>
      </c>
      <c r="C20" s="525"/>
      <c r="D20" s="384" t="s">
        <v>223</v>
      </c>
      <c r="E20" s="385"/>
      <c r="F20" s="385"/>
      <c r="G20" s="386" t="s">
        <v>433</v>
      </c>
      <c r="H20" s="383">
        <v>1997</v>
      </c>
      <c r="I20" s="383" t="s">
        <v>210</v>
      </c>
      <c r="J20" s="387" t="s">
        <v>83</v>
      </c>
      <c r="K20" s="388">
        <v>148648.5</v>
      </c>
      <c r="L20" s="386"/>
      <c r="M20" s="389" t="s">
        <v>27</v>
      </c>
      <c r="N20" s="385"/>
      <c r="O20" s="390" t="s">
        <v>393</v>
      </c>
    </row>
    <row r="21" spans="1:15" ht="36" customHeight="1" x14ac:dyDescent="0.25">
      <c r="A21" s="383">
        <f t="shared" si="0"/>
        <v>9</v>
      </c>
      <c r="B21" s="524" t="s">
        <v>208</v>
      </c>
      <c r="C21" s="525"/>
      <c r="D21" s="384" t="s">
        <v>223</v>
      </c>
      <c r="E21" s="385"/>
      <c r="F21" s="385"/>
      <c r="G21" s="386" t="s">
        <v>433</v>
      </c>
      <c r="H21" s="383">
        <v>1997</v>
      </c>
      <c r="I21" s="383" t="s">
        <v>210</v>
      </c>
      <c r="J21" s="387"/>
      <c r="K21" s="388">
        <v>148648.5</v>
      </c>
      <c r="L21" s="386"/>
      <c r="M21" s="389" t="s">
        <v>27</v>
      </c>
      <c r="N21" s="385"/>
      <c r="O21" s="390" t="s">
        <v>393</v>
      </c>
    </row>
    <row r="22" spans="1:15" ht="18" customHeight="1" x14ac:dyDescent="0.25">
      <c r="A22" s="383">
        <f t="shared" si="0"/>
        <v>10</v>
      </c>
      <c r="B22" s="524" t="s">
        <v>122</v>
      </c>
      <c r="C22" s="525"/>
      <c r="D22" s="391" t="s">
        <v>422</v>
      </c>
      <c r="E22" s="385"/>
      <c r="F22" s="385"/>
      <c r="G22" s="386" t="s">
        <v>267</v>
      </c>
      <c r="H22" s="383">
        <v>2014</v>
      </c>
      <c r="I22" s="383" t="s">
        <v>124</v>
      </c>
      <c r="J22" s="387" t="s">
        <v>166</v>
      </c>
      <c r="K22" s="388">
        <v>743915</v>
      </c>
      <c r="L22" s="383" t="s">
        <v>26</v>
      </c>
      <c r="M22" s="389" t="s">
        <v>27</v>
      </c>
      <c r="N22" s="385"/>
      <c r="O22" s="390" t="s">
        <v>393</v>
      </c>
    </row>
    <row r="23" spans="1:15" ht="36" customHeight="1" x14ac:dyDescent="0.25">
      <c r="A23" s="383">
        <f t="shared" si="0"/>
        <v>11</v>
      </c>
      <c r="B23" s="524" t="s">
        <v>61</v>
      </c>
      <c r="C23" s="525"/>
      <c r="D23" s="391" t="s">
        <v>116</v>
      </c>
      <c r="E23" s="385"/>
      <c r="F23" s="385"/>
      <c r="G23" s="386" t="s">
        <v>50</v>
      </c>
      <c r="H23" s="383">
        <v>2013</v>
      </c>
      <c r="I23" s="383" t="s">
        <v>62</v>
      </c>
      <c r="J23" s="387" t="s">
        <v>128</v>
      </c>
      <c r="K23" s="388">
        <v>486971.68</v>
      </c>
      <c r="L23" s="383" t="s">
        <v>26</v>
      </c>
      <c r="M23" s="389" t="s">
        <v>27</v>
      </c>
      <c r="N23" s="385"/>
      <c r="O23" s="390" t="s">
        <v>393</v>
      </c>
    </row>
    <row r="24" spans="1:15" ht="18" customHeight="1" x14ac:dyDescent="0.25">
      <c r="A24" s="383">
        <f t="shared" si="0"/>
        <v>12</v>
      </c>
      <c r="B24" s="524" t="s">
        <v>61</v>
      </c>
      <c r="C24" s="525"/>
      <c r="D24" s="391" t="s">
        <v>431</v>
      </c>
      <c r="E24" s="385"/>
      <c r="F24" s="385"/>
      <c r="G24" s="386" t="s">
        <v>50</v>
      </c>
      <c r="H24" s="383">
        <v>2014</v>
      </c>
      <c r="I24" s="383" t="s">
        <v>62</v>
      </c>
      <c r="J24" s="387" t="s">
        <v>132</v>
      </c>
      <c r="K24" s="388">
        <v>794180</v>
      </c>
      <c r="L24" s="383" t="s">
        <v>26</v>
      </c>
      <c r="M24" s="389" t="s">
        <v>27</v>
      </c>
      <c r="N24" s="385"/>
      <c r="O24" s="390" t="s">
        <v>393</v>
      </c>
    </row>
    <row r="25" spans="1:15" ht="18" x14ac:dyDescent="0.25">
      <c r="A25" s="214"/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</row>
    <row r="26" spans="1:15" ht="18" x14ac:dyDescent="0.25">
      <c r="A26" s="214"/>
      <c r="B26" s="214"/>
      <c r="C26" s="277" t="s">
        <v>36</v>
      </c>
      <c r="D26" s="214"/>
      <c r="E26" s="214"/>
      <c r="F26" s="214"/>
      <c r="G26" s="214"/>
      <c r="H26" s="214"/>
      <c r="I26" s="214"/>
      <c r="J26" s="214"/>
      <c r="K26" s="214"/>
      <c r="L26" s="277" t="s">
        <v>581</v>
      </c>
      <c r="M26" s="214"/>
      <c r="N26" s="214"/>
      <c r="O26" s="214"/>
    </row>
    <row r="27" spans="1:15" ht="18" x14ac:dyDescent="0.25">
      <c r="A27" s="214"/>
      <c r="B27" s="214"/>
      <c r="C27" s="5" t="s">
        <v>572</v>
      </c>
      <c r="D27" s="214"/>
      <c r="E27" s="214"/>
      <c r="F27" s="214"/>
      <c r="G27" s="214"/>
      <c r="H27" s="214"/>
      <c r="I27" s="214"/>
      <c r="J27" s="214"/>
      <c r="K27" s="214"/>
      <c r="L27" s="5" t="s">
        <v>580</v>
      </c>
      <c r="M27" s="214"/>
      <c r="N27" s="214"/>
      <c r="O27" s="214"/>
    </row>
    <row r="28" spans="1:15" ht="18" x14ac:dyDescent="0.25">
      <c r="A28" s="214"/>
      <c r="B28" s="214"/>
      <c r="C28" s="5"/>
      <c r="D28" s="214"/>
      <c r="E28" s="214"/>
      <c r="F28" s="214"/>
      <c r="G28" s="214"/>
      <c r="H28" s="214"/>
      <c r="I28" s="214"/>
      <c r="J28" s="214"/>
      <c r="K28" s="214"/>
      <c r="L28" s="5"/>
      <c r="M28" s="214"/>
      <c r="N28" s="214"/>
      <c r="O28" s="214"/>
    </row>
    <row r="29" spans="1:15" ht="18" x14ac:dyDescent="0.25">
      <c r="A29" s="214"/>
      <c r="B29" s="214"/>
      <c r="C29" s="5"/>
      <c r="D29" s="214"/>
      <c r="E29" s="214"/>
      <c r="F29" s="214"/>
      <c r="G29" s="214"/>
      <c r="H29" s="214"/>
      <c r="I29" s="214"/>
      <c r="J29" s="214"/>
      <c r="K29" s="214"/>
      <c r="L29" s="5"/>
      <c r="M29" s="214"/>
      <c r="N29" s="214"/>
      <c r="O29" s="214"/>
    </row>
    <row r="30" spans="1:15" ht="18" x14ac:dyDescent="0.25">
      <c r="A30" s="214"/>
      <c r="B30" s="214"/>
      <c r="C30" s="5"/>
      <c r="D30" s="214"/>
      <c r="E30" s="214"/>
      <c r="F30" s="214"/>
      <c r="G30" s="214"/>
      <c r="H30" s="214"/>
      <c r="I30" s="214"/>
      <c r="J30" s="214"/>
      <c r="K30" s="214"/>
      <c r="L30" s="5"/>
      <c r="M30" s="214"/>
      <c r="N30" s="214"/>
      <c r="O30" s="214"/>
    </row>
    <row r="31" spans="1:15" ht="18" x14ac:dyDescent="0.25">
      <c r="A31" s="214"/>
      <c r="B31" s="214"/>
      <c r="C31" s="6" t="s">
        <v>573</v>
      </c>
      <c r="D31" s="214"/>
      <c r="E31" s="214"/>
      <c r="F31" s="214"/>
      <c r="G31" s="214"/>
      <c r="H31" s="214"/>
      <c r="I31" s="214"/>
      <c r="J31" s="214"/>
      <c r="K31" s="214"/>
      <c r="L31" s="6" t="s">
        <v>576</v>
      </c>
      <c r="M31" s="214"/>
      <c r="N31" s="214"/>
      <c r="O31" s="214"/>
    </row>
    <row r="32" spans="1:15" ht="18" x14ac:dyDescent="0.25">
      <c r="A32" s="214"/>
      <c r="B32" s="214"/>
      <c r="C32" s="5" t="s">
        <v>39</v>
      </c>
      <c r="D32" s="214"/>
      <c r="E32" s="214"/>
      <c r="F32" s="214"/>
      <c r="G32" s="214"/>
      <c r="H32" s="214"/>
      <c r="I32" s="214"/>
      <c r="J32" s="214"/>
      <c r="K32" s="214"/>
      <c r="L32" s="23" t="str">
        <f>'RUANG PELAYANAN'!L33</f>
        <v>NIP. 19721124 200604 2 005</v>
      </c>
      <c r="M32" s="214"/>
      <c r="N32" s="214"/>
      <c r="O32" s="214"/>
    </row>
    <row r="33" spans="1:15" ht="18" x14ac:dyDescent="0.25">
      <c r="A33" s="214"/>
      <c r="B33" s="214"/>
      <c r="C33" s="23" t="s">
        <v>574</v>
      </c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</row>
    <row r="34" spans="1:15" x14ac:dyDescent="0.25">
      <c r="K34" s="24"/>
    </row>
    <row r="35" spans="1:15" x14ac:dyDescent="0.25">
      <c r="B35" s="21"/>
      <c r="K35" s="25"/>
    </row>
    <row r="36" spans="1:15" x14ac:dyDescent="0.25">
      <c r="B36" s="22"/>
    </row>
    <row r="37" spans="1:15" x14ac:dyDescent="0.25">
      <c r="B37" s="22"/>
    </row>
  </sheetData>
  <mergeCells count="26">
    <mergeCell ref="A3:B3"/>
    <mergeCell ref="A4:B4"/>
    <mergeCell ref="A5:B5"/>
    <mergeCell ref="A6:B6"/>
    <mergeCell ref="B9:C9"/>
    <mergeCell ref="A10:A11"/>
    <mergeCell ref="B10:C11"/>
    <mergeCell ref="D10:D11"/>
    <mergeCell ref="E10:E11"/>
    <mergeCell ref="F9:F11"/>
    <mergeCell ref="B23:C23"/>
    <mergeCell ref="B24:C24"/>
    <mergeCell ref="O10:O11"/>
    <mergeCell ref="B12:C12"/>
    <mergeCell ref="B13:C13"/>
    <mergeCell ref="B14:C14"/>
    <mergeCell ref="B22:C22"/>
    <mergeCell ref="G9:G11"/>
    <mergeCell ref="L9:N9"/>
    <mergeCell ref="B17:C17"/>
    <mergeCell ref="B18:C18"/>
    <mergeCell ref="B19:C19"/>
    <mergeCell ref="B20:C20"/>
    <mergeCell ref="B21:C21"/>
    <mergeCell ref="B16:C16"/>
    <mergeCell ref="B15:C15"/>
  </mergeCells>
  <printOptions horizontalCentered="1"/>
  <pageMargins left="0.11811023622047245" right="0.35433070866141736" top="0.19685039370078741" bottom="0.15748031496062992" header="0" footer="0"/>
  <pageSetup paperSize="5" scale="70" orientation="landscape" horizontalDpi="4294967293" verticalDpi="180" r:id="rId1"/>
  <headerFooter alignWithMargins="0">
    <oddFooter>&amp;L&amp;9&amp;F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O35"/>
  <sheetViews>
    <sheetView view="pageBreakPreview" zoomScaleNormal="55" workbookViewId="0">
      <selection activeCell="N30" sqref="N30"/>
    </sheetView>
  </sheetViews>
  <sheetFormatPr defaultRowHeight="15.75" x14ac:dyDescent="0.25"/>
  <cols>
    <col min="2" max="2" width="7" customWidth="1"/>
    <col min="3" max="3" width="24.375" customWidth="1"/>
    <col min="4" max="4" width="10.875" customWidth="1"/>
    <col min="5" max="5" width="10.75" customWidth="1"/>
    <col min="6" max="6" width="9.5" customWidth="1"/>
    <col min="7" max="7" width="14.625" customWidth="1"/>
    <col min="8" max="8" width="18.875" customWidth="1"/>
    <col min="9" max="9" width="20.625" customWidth="1"/>
    <col min="10" max="10" width="13.875" customWidth="1"/>
    <col min="11" max="11" width="13" customWidth="1"/>
    <col min="13" max="13" width="15.375" customWidth="1"/>
    <col min="14" max="14" width="15" customWidth="1"/>
    <col min="15" max="15" width="15.375" customWidth="1"/>
    <col min="258" max="258" width="7" customWidth="1"/>
    <col min="259" max="259" width="17.75" customWidth="1"/>
    <col min="260" max="260" width="10.875" customWidth="1"/>
    <col min="261" max="261" width="11.25" customWidth="1"/>
    <col min="262" max="262" width="11.5" customWidth="1"/>
    <col min="263" max="263" width="11.625" customWidth="1"/>
    <col min="264" max="264" width="15.5" customWidth="1"/>
    <col min="265" max="265" width="18.75" customWidth="1"/>
    <col min="266" max="266" width="15.375" customWidth="1"/>
    <col min="267" max="267" width="15.125" customWidth="1"/>
    <col min="269" max="269" width="11" customWidth="1"/>
    <col min="270" max="270" width="10.625" customWidth="1"/>
    <col min="271" max="271" width="9.625" customWidth="1"/>
    <col min="514" max="514" width="7" customWidth="1"/>
    <col min="515" max="515" width="17.75" customWidth="1"/>
    <col min="516" max="516" width="10.875" customWidth="1"/>
    <col min="517" max="517" width="11.25" customWidth="1"/>
    <col min="518" max="518" width="11.5" customWidth="1"/>
    <col min="519" max="519" width="11.625" customWidth="1"/>
    <col min="520" max="520" width="15.5" customWidth="1"/>
    <col min="521" max="521" width="18.75" customWidth="1"/>
    <col min="522" max="522" width="15.375" customWidth="1"/>
    <col min="523" max="523" width="15.125" customWidth="1"/>
    <col min="525" max="525" width="11" customWidth="1"/>
    <col min="526" max="526" width="10.625" customWidth="1"/>
    <col min="527" max="527" width="9.625" customWidth="1"/>
    <col min="770" max="770" width="7" customWidth="1"/>
    <col min="771" max="771" width="17.75" customWidth="1"/>
    <col min="772" max="772" width="10.875" customWidth="1"/>
    <col min="773" max="773" width="11.25" customWidth="1"/>
    <col min="774" max="774" width="11.5" customWidth="1"/>
    <col min="775" max="775" width="11.625" customWidth="1"/>
    <col min="776" max="776" width="15.5" customWidth="1"/>
    <col min="777" max="777" width="18.75" customWidth="1"/>
    <col min="778" max="778" width="15.375" customWidth="1"/>
    <col min="779" max="779" width="15.125" customWidth="1"/>
    <col min="781" max="781" width="11" customWidth="1"/>
    <col min="782" max="782" width="10.625" customWidth="1"/>
    <col min="783" max="783" width="9.625" customWidth="1"/>
    <col min="1026" max="1026" width="7" customWidth="1"/>
    <col min="1027" max="1027" width="17.75" customWidth="1"/>
    <col min="1028" max="1028" width="10.875" customWidth="1"/>
    <col min="1029" max="1029" width="11.25" customWidth="1"/>
    <col min="1030" max="1030" width="11.5" customWidth="1"/>
    <col min="1031" max="1031" width="11.625" customWidth="1"/>
    <col min="1032" max="1032" width="15.5" customWidth="1"/>
    <col min="1033" max="1033" width="18.75" customWidth="1"/>
    <col min="1034" max="1034" width="15.375" customWidth="1"/>
    <col min="1035" max="1035" width="15.125" customWidth="1"/>
    <col min="1037" max="1037" width="11" customWidth="1"/>
    <col min="1038" max="1038" width="10.625" customWidth="1"/>
    <col min="1039" max="1039" width="9.625" customWidth="1"/>
    <col min="1282" max="1282" width="7" customWidth="1"/>
    <col min="1283" max="1283" width="17.75" customWidth="1"/>
    <col min="1284" max="1284" width="10.875" customWidth="1"/>
    <col min="1285" max="1285" width="11.25" customWidth="1"/>
    <col min="1286" max="1286" width="11.5" customWidth="1"/>
    <col min="1287" max="1287" width="11.625" customWidth="1"/>
    <col min="1288" max="1288" width="15.5" customWidth="1"/>
    <col min="1289" max="1289" width="18.75" customWidth="1"/>
    <col min="1290" max="1290" width="15.375" customWidth="1"/>
    <col min="1291" max="1291" width="15.125" customWidth="1"/>
    <col min="1293" max="1293" width="11" customWidth="1"/>
    <col min="1294" max="1294" width="10.625" customWidth="1"/>
    <col min="1295" max="1295" width="9.625" customWidth="1"/>
    <col min="1538" max="1538" width="7" customWidth="1"/>
    <col min="1539" max="1539" width="17.75" customWidth="1"/>
    <col min="1540" max="1540" width="10.875" customWidth="1"/>
    <col min="1541" max="1541" width="11.25" customWidth="1"/>
    <col min="1542" max="1542" width="11.5" customWidth="1"/>
    <col min="1543" max="1543" width="11.625" customWidth="1"/>
    <col min="1544" max="1544" width="15.5" customWidth="1"/>
    <col min="1545" max="1545" width="18.75" customWidth="1"/>
    <col min="1546" max="1546" width="15.375" customWidth="1"/>
    <col min="1547" max="1547" width="15.125" customWidth="1"/>
    <col min="1549" max="1549" width="11" customWidth="1"/>
    <col min="1550" max="1550" width="10.625" customWidth="1"/>
    <col min="1551" max="1551" width="9.625" customWidth="1"/>
    <col min="1794" max="1794" width="7" customWidth="1"/>
    <col min="1795" max="1795" width="17.75" customWidth="1"/>
    <col min="1796" max="1796" width="10.875" customWidth="1"/>
    <col min="1797" max="1797" width="11.25" customWidth="1"/>
    <col min="1798" max="1798" width="11.5" customWidth="1"/>
    <col min="1799" max="1799" width="11.625" customWidth="1"/>
    <col min="1800" max="1800" width="15.5" customWidth="1"/>
    <col min="1801" max="1801" width="18.75" customWidth="1"/>
    <col min="1802" max="1802" width="15.375" customWidth="1"/>
    <col min="1803" max="1803" width="15.125" customWidth="1"/>
    <col min="1805" max="1805" width="11" customWidth="1"/>
    <col min="1806" max="1806" width="10.625" customWidth="1"/>
    <col min="1807" max="1807" width="9.625" customWidth="1"/>
    <col min="2050" max="2050" width="7" customWidth="1"/>
    <col min="2051" max="2051" width="17.75" customWidth="1"/>
    <col min="2052" max="2052" width="10.875" customWidth="1"/>
    <col min="2053" max="2053" width="11.25" customWidth="1"/>
    <col min="2054" max="2054" width="11.5" customWidth="1"/>
    <col min="2055" max="2055" width="11.625" customWidth="1"/>
    <col min="2056" max="2056" width="15.5" customWidth="1"/>
    <col min="2057" max="2057" width="18.75" customWidth="1"/>
    <col min="2058" max="2058" width="15.375" customWidth="1"/>
    <col min="2059" max="2059" width="15.125" customWidth="1"/>
    <col min="2061" max="2061" width="11" customWidth="1"/>
    <col min="2062" max="2062" width="10.625" customWidth="1"/>
    <col min="2063" max="2063" width="9.625" customWidth="1"/>
    <col min="2306" max="2306" width="7" customWidth="1"/>
    <col min="2307" max="2307" width="17.75" customWidth="1"/>
    <col min="2308" max="2308" width="10.875" customWidth="1"/>
    <col min="2309" max="2309" width="11.25" customWidth="1"/>
    <col min="2310" max="2310" width="11.5" customWidth="1"/>
    <col min="2311" max="2311" width="11.625" customWidth="1"/>
    <col min="2312" max="2312" width="15.5" customWidth="1"/>
    <col min="2313" max="2313" width="18.75" customWidth="1"/>
    <col min="2314" max="2314" width="15.375" customWidth="1"/>
    <col min="2315" max="2315" width="15.125" customWidth="1"/>
    <col min="2317" max="2317" width="11" customWidth="1"/>
    <col min="2318" max="2318" width="10.625" customWidth="1"/>
    <col min="2319" max="2319" width="9.625" customWidth="1"/>
    <col min="2562" max="2562" width="7" customWidth="1"/>
    <col min="2563" max="2563" width="17.75" customWidth="1"/>
    <col min="2564" max="2564" width="10.875" customWidth="1"/>
    <col min="2565" max="2565" width="11.25" customWidth="1"/>
    <col min="2566" max="2566" width="11.5" customWidth="1"/>
    <col min="2567" max="2567" width="11.625" customWidth="1"/>
    <col min="2568" max="2568" width="15.5" customWidth="1"/>
    <col min="2569" max="2569" width="18.75" customWidth="1"/>
    <col min="2570" max="2570" width="15.375" customWidth="1"/>
    <col min="2571" max="2571" width="15.125" customWidth="1"/>
    <col min="2573" max="2573" width="11" customWidth="1"/>
    <col min="2574" max="2574" width="10.625" customWidth="1"/>
    <col min="2575" max="2575" width="9.625" customWidth="1"/>
    <col min="2818" max="2818" width="7" customWidth="1"/>
    <col min="2819" max="2819" width="17.75" customWidth="1"/>
    <col min="2820" max="2820" width="10.875" customWidth="1"/>
    <col min="2821" max="2821" width="11.25" customWidth="1"/>
    <col min="2822" max="2822" width="11.5" customWidth="1"/>
    <col min="2823" max="2823" width="11.625" customWidth="1"/>
    <col min="2824" max="2824" width="15.5" customWidth="1"/>
    <col min="2825" max="2825" width="18.75" customWidth="1"/>
    <col min="2826" max="2826" width="15.375" customWidth="1"/>
    <col min="2827" max="2827" width="15.125" customWidth="1"/>
    <col min="2829" max="2829" width="11" customWidth="1"/>
    <col min="2830" max="2830" width="10.625" customWidth="1"/>
    <col min="2831" max="2831" width="9.625" customWidth="1"/>
    <col min="3074" max="3074" width="7" customWidth="1"/>
    <col min="3075" max="3075" width="17.75" customWidth="1"/>
    <col min="3076" max="3076" width="10.875" customWidth="1"/>
    <col min="3077" max="3077" width="11.25" customWidth="1"/>
    <col min="3078" max="3078" width="11.5" customWidth="1"/>
    <col min="3079" max="3079" width="11.625" customWidth="1"/>
    <col min="3080" max="3080" width="15.5" customWidth="1"/>
    <col min="3081" max="3081" width="18.75" customWidth="1"/>
    <col min="3082" max="3082" width="15.375" customWidth="1"/>
    <col min="3083" max="3083" width="15.125" customWidth="1"/>
    <col min="3085" max="3085" width="11" customWidth="1"/>
    <col min="3086" max="3086" width="10.625" customWidth="1"/>
    <col min="3087" max="3087" width="9.625" customWidth="1"/>
    <col min="3330" max="3330" width="7" customWidth="1"/>
    <col min="3331" max="3331" width="17.75" customWidth="1"/>
    <col min="3332" max="3332" width="10.875" customWidth="1"/>
    <col min="3333" max="3333" width="11.25" customWidth="1"/>
    <col min="3334" max="3334" width="11.5" customWidth="1"/>
    <col min="3335" max="3335" width="11.625" customWidth="1"/>
    <col min="3336" max="3336" width="15.5" customWidth="1"/>
    <col min="3337" max="3337" width="18.75" customWidth="1"/>
    <col min="3338" max="3338" width="15.375" customWidth="1"/>
    <col min="3339" max="3339" width="15.125" customWidth="1"/>
    <col min="3341" max="3341" width="11" customWidth="1"/>
    <col min="3342" max="3342" width="10.625" customWidth="1"/>
    <col min="3343" max="3343" width="9.625" customWidth="1"/>
    <col min="3586" max="3586" width="7" customWidth="1"/>
    <col min="3587" max="3587" width="17.75" customWidth="1"/>
    <col min="3588" max="3588" width="10.875" customWidth="1"/>
    <col min="3589" max="3589" width="11.25" customWidth="1"/>
    <col min="3590" max="3590" width="11.5" customWidth="1"/>
    <col min="3591" max="3591" width="11.625" customWidth="1"/>
    <col min="3592" max="3592" width="15.5" customWidth="1"/>
    <col min="3593" max="3593" width="18.75" customWidth="1"/>
    <col min="3594" max="3594" width="15.375" customWidth="1"/>
    <col min="3595" max="3595" width="15.125" customWidth="1"/>
    <col min="3597" max="3597" width="11" customWidth="1"/>
    <col min="3598" max="3598" width="10.625" customWidth="1"/>
    <col min="3599" max="3599" width="9.625" customWidth="1"/>
    <col min="3842" max="3842" width="7" customWidth="1"/>
    <col min="3843" max="3843" width="17.75" customWidth="1"/>
    <col min="3844" max="3844" width="10.875" customWidth="1"/>
    <col min="3845" max="3845" width="11.25" customWidth="1"/>
    <col min="3846" max="3846" width="11.5" customWidth="1"/>
    <col min="3847" max="3847" width="11.625" customWidth="1"/>
    <col min="3848" max="3848" width="15.5" customWidth="1"/>
    <col min="3849" max="3849" width="18.75" customWidth="1"/>
    <col min="3850" max="3850" width="15.375" customWidth="1"/>
    <col min="3851" max="3851" width="15.125" customWidth="1"/>
    <col min="3853" max="3853" width="11" customWidth="1"/>
    <col min="3854" max="3854" width="10.625" customWidth="1"/>
    <col min="3855" max="3855" width="9.625" customWidth="1"/>
    <col min="4098" max="4098" width="7" customWidth="1"/>
    <col min="4099" max="4099" width="17.75" customWidth="1"/>
    <col min="4100" max="4100" width="10.875" customWidth="1"/>
    <col min="4101" max="4101" width="11.25" customWidth="1"/>
    <col min="4102" max="4102" width="11.5" customWidth="1"/>
    <col min="4103" max="4103" width="11.625" customWidth="1"/>
    <col min="4104" max="4104" width="15.5" customWidth="1"/>
    <col min="4105" max="4105" width="18.75" customWidth="1"/>
    <col min="4106" max="4106" width="15.375" customWidth="1"/>
    <col min="4107" max="4107" width="15.125" customWidth="1"/>
    <col min="4109" max="4109" width="11" customWidth="1"/>
    <col min="4110" max="4110" width="10.625" customWidth="1"/>
    <col min="4111" max="4111" width="9.625" customWidth="1"/>
    <col min="4354" max="4354" width="7" customWidth="1"/>
    <col min="4355" max="4355" width="17.75" customWidth="1"/>
    <col min="4356" max="4356" width="10.875" customWidth="1"/>
    <col min="4357" max="4357" width="11.25" customWidth="1"/>
    <col min="4358" max="4358" width="11.5" customWidth="1"/>
    <col min="4359" max="4359" width="11.625" customWidth="1"/>
    <col min="4360" max="4360" width="15.5" customWidth="1"/>
    <col min="4361" max="4361" width="18.75" customWidth="1"/>
    <col min="4362" max="4362" width="15.375" customWidth="1"/>
    <col min="4363" max="4363" width="15.125" customWidth="1"/>
    <col min="4365" max="4365" width="11" customWidth="1"/>
    <col min="4366" max="4366" width="10.625" customWidth="1"/>
    <col min="4367" max="4367" width="9.625" customWidth="1"/>
    <col min="4610" max="4610" width="7" customWidth="1"/>
    <col min="4611" max="4611" width="17.75" customWidth="1"/>
    <col min="4612" max="4612" width="10.875" customWidth="1"/>
    <col min="4613" max="4613" width="11.25" customWidth="1"/>
    <col min="4614" max="4614" width="11.5" customWidth="1"/>
    <col min="4615" max="4615" width="11.625" customWidth="1"/>
    <col min="4616" max="4616" width="15.5" customWidth="1"/>
    <col min="4617" max="4617" width="18.75" customWidth="1"/>
    <col min="4618" max="4618" width="15.375" customWidth="1"/>
    <col min="4619" max="4619" width="15.125" customWidth="1"/>
    <col min="4621" max="4621" width="11" customWidth="1"/>
    <col min="4622" max="4622" width="10.625" customWidth="1"/>
    <col min="4623" max="4623" width="9.625" customWidth="1"/>
    <col min="4866" max="4866" width="7" customWidth="1"/>
    <col min="4867" max="4867" width="17.75" customWidth="1"/>
    <col min="4868" max="4868" width="10.875" customWidth="1"/>
    <col min="4869" max="4869" width="11.25" customWidth="1"/>
    <col min="4870" max="4870" width="11.5" customWidth="1"/>
    <col min="4871" max="4871" width="11.625" customWidth="1"/>
    <col min="4872" max="4872" width="15.5" customWidth="1"/>
    <col min="4873" max="4873" width="18.75" customWidth="1"/>
    <col min="4874" max="4874" width="15.375" customWidth="1"/>
    <col min="4875" max="4875" width="15.125" customWidth="1"/>
    <col min="4877" max="4877" width="11" customWidth="1"/>
    <col min="4878" max="4878" width="10.625" customWidth="1"/>
    <col min="4879" max="4879" width="9.625" customWidth="1"/>
    <col min="5122" max="5122" width="7" customWidth="1"/>
    <col min="5123" max="5123" width="17.75" customWidth="1"/>
    <col min="5124" max="5124" width="10.875" customWidth="1"/>
    <col min="5125" max="5125" width="11.25" customWidth="1"/>
    <col min="5126" max="5126" width="11.5" customWidth="1"/>
    <col min="5127" max="5127" width="11.625" customWidth="1"/>
    <col min="5128" max="5128" width="15.5" customWidth="1"/>
    <col min="5129" max="5129" width="18.75" customWidth="1"/>
    <col min="5130" max="5130" width="15.375" customWidth="1"/>
    <col min="5131" max="5131" width="15.125" customWidth="1"/>
    <col min="5133" max="5133" width="11" customWidth="1"/>
    <col min="5134" max="5134" width="10.625" customWidth="1"/>
    <col min="5135" max="5135" width="9.625" customWidth="1"/>
    <col min="5378" max="5378" width="7" customWidth="1"/>
    <col min="5379" max="5379" width="17.75" customWidth="1"/>
    <col min="5380" max="5380" width="10.875" customWidth="1"/>
    <col min="5381" max="5381" width="11.25" customWidth="1"/>
    <col min="5382" max="5382" width="11.5" customWidth="1"/>
    <col min="5383" max="5383" width="11.625" customWidth="1"/>
    <col min="5384" max="5384" width="15.5" customWidth="1"/>
    <col min="5385" max="5385" width="18.75" customWidth="1"/>
    <col min="5386" max="5386" width="15.375" customWidth="1"/>
    <col min="5387" max="5387" width="15.125" customWidth="1"/>
    <col min="5389" max="5389" width="11" customWidth="1"/>
    <col min="5390" max="5390" width="10.625" customWidth="1"/>
    <col min="5391" max="5391" width="9.625" customWidth="1"/>
    <col min="5634" max="5634" width="7" customWidth="1"/>
    <col min="5635" max="5635" width="17.75" customWidth="1"/>
    <col min="5636" max="5636" width="10.875" customWidth="1"/>
    <col min="5637" max="5637" width="11.25" customWidth="1"/>
    <col min="5638" max="5638" width="11.5" customWidth="1"/>
    <col min="5639" max="5639" width="11.625" customWidth="1"/>
    <col min="5640" max="5640" width="15.5" customWidth="1"/>
    <col min="5641" max="5641" width="18.75" customWidth="1"/>
    <col min="5642" max="5642" width="15.375" customWidth="1"/>
    <col min="5643" max="5643" width="15.125" customWidth="1"/>
    <col min="5645" max="5645" width="11" customWidth="1"/>
    <col min="5646" max="5646" width="10.625" customWidth="1"/>
    <col min="5647" max="5647" width="9.625" customWidth="1"/>
    <col min="5890" max="5890" width="7" customWidth="1"/>
    <col min="5891" max="5891" width="17.75" customWidth="1"/>
    <col min="5892" max="5892" width="10.875" customWidth="1"/>
    <col min="5893" max="5893" width="11.25" customWidth="1"/>
    <col min="5894" max="5894" width="11.5" customWidth="1"/>
    <col min="5895" max="5895" width="11.625" customWidth="1"/>
    <col min="5896" max="5896" width="15.5" customWidth="1"/>
    <col min="5897" max="5897" width="18.75" customWidth="1"/>
    <col min="5898" max="5898" width="15.375" customWidth="1"/>
    <col min="5899" max="5899" width="15.125" customWidth="1"/>
    <col min="5901" max="5901" width="11" customWidth="1"/>
    <col min="5902" max="5902" width="10.625" customWidth="1"/>
    <col min="5903" max="5903" width="9.625" customWidth="1"/>
    <col min="6146" max="6146" width="7" customWidth="1"/>
    <col min="6147" max="6147" width="17.75" customWidth="1"/>
    <col min="6148" max="6148" width="10.875" customWidth="1"/>
    <col min="6149" max="6149" width="11.25" customWidth="1"/>
    <col min="6150" max="6150" width="11.5" customWidth="1"/>
    <col min="6151" max="6151" width="11.625" customWidth="1"/>
    <col min="6152" max="6152" width="15.5" customWidth="1"/>
    <col min="6153" max="6153" width="18.75" customWidth="1"/>
    <col min="6154" max="6154" width="15.375" customWidth="1"/>
    <col min="6155" max="6155" width="15.125" customWidth="1"/>
    <col min="6157" max="6157" width="11" customWidth="1"/>
    <col min="6158" max="6158" width="10.625" customWidth="1"/>
    <col min="6159" max="6159" width="9.625" customWidth="1"/>
    <col min="6402" max="6402" width="7" customWidth="1"/>
    <col min="6403" max="6403" width="17.75" customWidth="1"/>
    <col min="6404" max="6404" width="10.875" customWidth="1"/>
    <col min="6405" max="6405" width="11.25" customWidth="1"/>
    <col min="6406" max="6406" width="11.5" customWidth="1"/>
    <col min="6407" max="6407" width="11.625" customWidth="1"/>
    <col min="6408" max="6408" width="15.5" customWidth="1"/>
    <col min="6409" max="6409" width="18.75" customWidth="1"/>
    <col min="6410" max="6410" width="15.375" customWidth="1"/>
    <col min="6411" max="6411" width="15.125" customWidth="1"/>
    <col min="6413" max="6413" width="11" customWidth="1"/>
    <col min="6414" max="6414" width="10.625" customWidth="1"/>
    <col min="6415" max="6415" width="9.625" customWidth="1"/>
    <col min="6658" max="6658" width="7" customWidth="1"/>
    <col min="6659" max="6659" width="17.75" customWidth="1"/>
    <col min="6660" max="6660" width="10.875" customWidth="1"/>
    <col min="6661" max="6661" width="11.25" customWidth="1"/>
    <col min="6662" max="6662" width="11.5" customWidth="1"/>
    <col min="6663" max="6663" width="11.625" customWidth="1"/>
    <col min="6664" max="6664" width="15.5" customWidth="1"/>
    <col min="6665" max="6665" width="18.75" customWidth="1"/>
    <col min="6666" max="6666" width="15.375" customWidth="1"/>
    <col min="6667" max="6667" width="15.125" customWidth="1"/>
    <col min="6669" max="6669" width="11" customWidth="1"/>
    <col min="6670" max="6670" width="10.625" customWidth="1"/>
    <col min="6671" max="6671" width="9.625" customWidth="1"/>
    <col min="6914" max="6914" width="7" customWidth="1"/>
    <col min="6915" max="6915" width="17.75" customWidth="1"/>
    <col min="6916" max="6916" width="10.875" customWidth="1"/>
    <col min="6917" max="6917" width="11.25" customWidth="1"/>
    <col min="6918" max="6918" width="11.5" customWidth="1"/>
    <col min="6919" max="6919" width="11.625" customWidth="1"/>
    <col min="6920" max="6920" width="15.5" customWidth="1"/>
    <col min="6921" max="6921" width="18.75" customWidth="1"/>
    <col min="6922" max="6922" width="15.375" customWidth="1"/>
    <col min="6923" max="6923" width="15.125" customWidth="1"/>
    <col min="6925" max="6925" width="11" customWidth="1"/>
    <col min="6926" max="6926" width="10.625" customWidth="1"/>
    <col min="6927" max="6927" width="9.625" customWidth="1"/>
    <col min="7170" max="7170" width="7" customWidth="1"/>
    <col min="7171" max="7171" width="17.75" customWidth="1"/>
    <col min="7172" max="7172" width="10.875" customWidth="1"/>
    <col min="7173" max="7173" width="11.25" customWidth="1"/>
    <col min="7174" max="7174" width="11.5" customWidth="1"/>
    <col min="7175" max="7175" width="11.625" customWidth="1"/>
    <col min="7176" max="7176" width="15.5" customWidth="1"/>
    <col min="7177" max="7177" width="18.75" customWidth="1"/>
    <col min="7178" max="7178" width="15.375" customWidth="1"/>
    <col min="7179" max="7179" width="15.125" customWidth="1"/>
    <col min="7181" max="7181" width="11" customWidth="1"/>
    <col min="7182" max="7182" width="10.625" customWidth="1"/>
    <col min="7183" max="7183" width="9.625" customWidth="1"/>
    <col min="7426" max="7426" width="7" customWidth="1"/>
    <col min="7427" max="7427" width="17.75" customWidth="1"/>
    <col min="7428" max="7428" width="10.875" customWidth="1"/>
    <col min="7429" max="7429" width="11.25" customWidth="1"/>
    <col min="7430" max="7430" width="11.5" customWidth="1"/>
    <col min="7431" max="7431" width="11.625" customWidth="1"/>
    <col min="7432" max="7432" width="15.5" customWidth="1"/>
    <col min="7433" max="7433" width="18.75" customWidth="1"/>
    <col min="7434" max="7434" width="15.375" customWidth="1"/>
    <col min="7435" max="7435" width="15.125" customWidth="1"/>
    <col min="7437" max="7437" width="11" customWidth="1"/>
    <col min="7438" max="7438" width="10.625" customWidth="1"/>
    <col min="7439" max="7439" width="9.625" customWidth="1"/>
    <col min="7682" max="7682" width="7" customWidth="1"/>
    <col min="7683" max="7683" width="17.75" customWidth="1"/>
    <col min="7684" max="7684" width="10.875" customWidth="1"/>
    <col min="7685" max="7685" width="11.25" customWidth="1"/>
    <col min="7686" max="7686" width="11.5" customWidth="1"/>
    <col min="7687" max="7687" width="11.625" customWidth="1"/>
    <col min="7688" max="7688" width="15.5" customWidth="1"/>
    <col min="7689" max="7689" width="18.75" customWidth="1"/>
    <col min="7690" max="7690" width="15.375" customWidth="1"/>
    <col min="7691" max="7691" width="15.125" customWidth="1"/>
    <col min="7693" max="7693" width="11" customWidth="1"/>
    <col min="7694" max="7694" width="10.625" customWidth="1"/>
    <col min="7695" max="7695" width="9.625" customWidth="1"/>
    <col min="7938" max="7938" width="7" customWidth="1"/>
    <col min="7939" max="7939" width="17.75" customWidth="1"/>
    <col min="7940" max="7940" width="10.875" customWidth="1"/>
    <col min="7941" max="7941" width="11.25" customWidth="1"/>
    <col min="7942" max="7942" width="11.5" customWidth="1"/>
    <col min="7943" max="7943" width="11.625" customWidth="1"/>
    <col min="7944" max="7944" width="15.5" customWidth="1"/>
    <col min="7945" max="7945" width="18.75" customWidth="1"/>
    <col min="7946" max="7946" width="15.375" customWidth="1"/>
    <col min="7947" max="7947" width="15.125" customWidth="1"/>
    <col min="7949" max="7949" width="11" customWidth="1"/>
    <col min="7950" max="7950" width="10.625" customWidth="1"/>
    <col min="7951" max="7951" width="9.625" customWidth="1"/>
    <col min="8194" max="8194" width="7" customWidth="1"/>
    <col min="8195" max="8195" width="17.75" customWidth="1"/>
    <col min="8196" max="8196" width="10.875" customWidth="1"/>
    <col min="8197" max="8197" width="11.25" customWidth="1"/>
    <col min="8198" max="8198" width="11.5" customWidth="1"/>
    <col min="8199" max="8199" width="11.625" customWidth="1"/>
    <col min="8200" max="8200" width="15.5" customWidth="1"/>
    <col min="8201" max="8201" width="18.75" customWidth="1"/>
    <col min="8202" max="8202" width="15.375" customWidth="1"/>
    <col min="8203" max="8203" width="15.125" customWidth="1"/>
    <col min="8205" max="8205" width="11" customWidth="1"/>
    <col min="8206" max="8206" width="10.625" customWidth="1"/>
    <col min="8207" max="8207" width="9.625" customWidth="1"/>
    <col min="8450" max="8450" width="7" customWidth="1"/>
    <col min="8451" max="8451" width="17.75" customWidth="1"/>
    <col min="8452" max="8452" width="10.875" customWidth="1"/>
    <col min="8453" max="8453" width="11.25" customWidth="1"/>
    <col min="8454" max="8454" width="11.5" customWidth="1"/>
    <col min="8455" max="8455" width="11.625" customWidth="1"/>
    <col min="8456" max="8456" width="15.5" customWidth="1"/>
    <col min="8457" max="8457" width="18.75" customWidth="1"/>
    <col min="8458" max="8458" width="15.375" customWidth="1"/>
    <col min="8459" max="8459" width="15.125" customWidth="1"/>
    <col min="8461" max="8461" width="11" customWidth="1"/>
    <col min="8462" max="8462" width="10.625" customWidth="1"/>
    <col min="8463" max="8463" width="9.625" customWidth="1"/>
    <col min="8706" max="8706" width="7" customWidth="1"/>
    <col min="8707" max="8707" width="17.75" customWidth="1"/>
    <col min="8708" max="8708" width="10.875" customWidth="1"/>
    <col min="8709" max="8709" width="11.25" customWidth="1"/>
    <col min="8710" max="8710" width="11.5" customWidth="1"/>
    <col min="8711" max="8711" width="11.625" customWidth="1"/>
    <col min="8712" max="8712" width="15.5" customWidth="1"/>
    <col min="8713" max="8713" width="18.75" customWidth="1"/>
    <col min="8714" max="8714" width="15.375" customWidth="1"/>
    <col min="8715" max="8715" width="15.125" customWidth="1"/>
    <col min="8717" max="8717" width="11" customWidth="1"/>
    <col min="8718" max="8718" width="10.625" customWidth="1"/>
    <col min="8719" max="8719" width="9.625" customWidth="1"/>
    <col min="8962" max="8962" width="7" customWidth="1"/>
    <col min="8963" max="8963" width="17.75" customWidth="1"/>
    <col min="8964" max="8964" width="10.875" customWidth="1"/>
    <col min="8965" max="8965" width="11.25" customWidth="1"/>
    <col min="8966" max="8966" width="11.5" customWidth="1"/>
    <col min="8967" max="8967" width="11.625" customWidth="1"/>
    <col min="8968" max="8968" width="15.5" customWidth="1"/>
    <col min="8969" max="8969" width="18.75" customWidth="1"/>
    <col min="8970" max="8970" width="15.375" customWidth="1"/>
    <col min="8971" max="8971" width="15.125" customWidth="1"/>
    <col min="8973" max="8973" width="11" customWidth="1"/>
    <col min="8974" max="8974" width="10.625" customWidth="1"/>
    <col min="8975" max="8975" width="9.625" customWidth="1"/>
    <col min="9218" max="9218" width="7" customWidth="1"/>
    <col min="9219" max="9219" width="17.75" customWidth="1"/>
    <col min="9220" max="9220" width="10.875" customWidth="1"/>
    <col min="9221" max="9221" width="11.25" customWidth="1"/>
    <col min="9222" max="9222" width="11.5" customWidth="1"/>
    <col min="9223" max="9223" width="11.625" customWidth="1"/>
    <col min="9224" max="9224" width="15.5" customWidth="1"/>
    <col min="9225" max="9225" width="18.75" customWidth="1"/>
    <col min="9226" max="9226" width="15.375" customWidth="1"/>
    <col min="9227" max="9227" width="15.125" customWidth="1"/>
    <col min="9229" max="9229" width="11" customWidth="1"/>
    <col min="9230" max="9230" width="10.625" customWidth="1"/>
    <col min="9231" max="9231" width="9.625" customWidth="1"/>
    <col min="9474" max="9474" width="7" customWidth="1"/>
    <col min="9475" max="9475" width="17.75" customWidth="1"/>
    <col min="9476" max="9476" width="10.875" customWidth="1"/>
    <col min="9477" max="9477" width="11.25" customWidth="1"/>
    <col min="9478" max="9478" width="11.5" customWidth="1"/>
    <col min="9479" max="9479" width="11.625" customWidth="1"/>
    <col min="9480" max="9480" width="15.5" customWidth="1"/>
    <col min="9481" max="9481" width="18.75" customWidth="1"/>
    <col min="9482" max="9482" width="15.375" customWidth="1"/>
    <col min="9483" max="9483" width="15.125" customWidth="1"/>
    <col min="9485" max="9485" width="11" customWidth="1"/>
    <col min="9486" max="9486" width="10.625" customWidth="1"/>
    <col min="9487" max="9487" width="9.625" customWidth="1"/>
    <col min="9730" max="9730" width="7" customWidth="1"/>
    <col min="9731" max="9731" width="17.75" customWidth="1"/>
    <col min="9732" max="9732" width="10.875" customWidth="1"/>
    <col min="9733" max="9733" width="11.25" customWidth="1"/>
    <col min="9734" max="9734" width="11.5" customWidth="1"/>
    <col min="9735" max="9735" width="11.625" customWidth="1"/>
    <col min="9736" max="9736" width="15.5" customWidth="1"/>
    <col min="9737" max="9737" width="18.75" customWidth="1"/>
    <col min="9738" max="9738" width="15.375" customWidth="1"/>
    <col min="9739" max="9739" width="15.125" customWidth="1"/>
    <col min="9741" max="9741" width="11" customWidth="1"/>
    <col min="9742" max="9742" width="10.625" customWidth="1"/>
    <col min="9743" max="9743" width="9.625" customWidth="1"/>
    <col min="9986" max="9986" width="7" customWidth="1"/>
    <col min="9987" max="9987" width="17.75" customWidth="1"/>
    <col min="9988" max="9988" width="10.875" customWidth="1"/>
    <col min="9989" max="9989" width="11.25" customWidth="1"/>
    <col min="9990" max="9990" width="11.5" customWidth="1"/>
    <col min="9991" max="9991" width="11.625" customWidth="1"/>
    <col min="9992" max="9992" width="15.5" customWidth="1"/>
    <col min="9993" max="9993" width="18.75" customWidth="1"/>
    <col min="9994" max="9994" width="15.375" customWidth="1"/>
    <col min="9995" max="9995" width="15.125" customWidth="1"/>
    <col min="9997" max="9997" width="11" customWidth="1"/>
    <col min="9998" max="9998" width="10.625" customWidth="1"/>
    <col min="9999" max="9999" width="9.625" customWidth="1"/>
    <col min="10242" max="10242" width="7" customWidth="1"/>
    <col min="10243" max="10243" width="17.75" customWidth="1"/>
    <col min="10244" max="10244" width="10.875" customWidth="1"/>
    <col min="10245" max="10245" width="11.25" customWidth="1"/>
    <col min="10246" max="10246" width="11.5" customWidth="1"/>
    <col min="10247" max="10247" width="11.625" customWidth="1"/>
    <col min="10248" max="10248" width="15.5" customWidth="1"/>
    <col min="10249" max="10249" width="18.75" customWidth="1"/>
    <col min="10250" max="10250" width="15.375" customWidth="1"/>
    <col min="10251" max="10251" width="15.125" customWidth="1"/>
    <col min="10253" max="10253" width="11" customWidth="1"/>
    <col min="10254" max="10254" width="10.625" customWidth="1"/>
    <col min="10255" max="10255" width="9.625" customWidth="1"/>
    <col min="10498" max="10498" width="7" customWidth="1"/>
    <col min="10499" max="10499" width="17.75" customWidth="1"/>
    <col min="10500" max="10500" width="10.875" customWidth="1"/>
    <col min="10501" max="10501" width="11.25" customWidth="1"/>
    <col min="10502" max="10502" width="11.5" customWidth="1"/>
    <col min="10503" max="10503" width="11.625" customWidth="1"/>
    <col min="10504" max="10504" width="15.5" customWidth="1"/>
    <col min="10505" max="10505" width="18.75" customWidth="1"/>
    <col min="10506" max="10506" width="15.375" customWidth="1"/>
    <col min="10507" max="10507" width="15.125" customWidth="1"/>
    <col min="10509" max="10509" width="11" customWidth="1"/>
    <col min="10510" max="10510" width="10.625" customWidth="1"/>
    <col min="10511" max="10511" width="9.625" customWidth="1"/>
    <col min="10754" max="10754" width="7" customWidth="1"/>
    <col min="10755" max="10755" width="17.75" customWidth="1"/>
    <col min="10756" max="10756" width="10.875" customWidth="1"/>
    <col min="10757" max="10757" width="11.25" customWidth="1"/>
    <col min="10758" max="10758" width="11.5" customWidth="1"/>
    <col min="10759" max="10759" width="11.625" customWidth="1"/>
    <col min="10760" max="10760" width="15.5" customWidth="1"/>
    <col min="10761" max="10761" width="18.75" customWidth="1"/>
    <col min="10762" max="10762" width="15.375" customWidth="1"/>
    <col min="10763" max="10763" width="15.125" customWidth="1"/>
    <col min="10765" max="10765" width="11" customWidth="1"/>
    <col min="10766" max="10766" width="10.625" customWidth="1"/>
    <col min="10767" max="10767" width="9.625" customWidth="1"/>
    <col min="11010" max="11010" width="7" customWidth="1"/>
    <col min="11011" max="11011" width="17.75" customWidth="1"/>
    <col min="11012" max="11012" width="10.875" customWidth="1"/>
    <col min="11013" max="11013" width="11.25" customWidth="1"/>
    <col min="11014" max="11014" width="11.5" customWidth="1"/>
    <col min="11015" max="11015" width="11.625" customWidth="1"/>
    <col min="11016" max="11016" width="15.5" customWidth="1"/>
    <col min="11017" max="11017" width="18.75" customWidth="1"/>
    <col min="11018" max="11018" width="15.375" customWidth="1"/>
    <col min="11019" max="11019" width="15.125" customWidth="1"/>
    <col min="11021" max="11021" width="11" customWidth="1"/>
    <col min="11022" max="11022" width="10.625" customWidth="1"/>
    <col min="11023" max="11023" width="9.625" customWidth="1"/>
    <col min="11266" max="11266" width="7" customWidth="1"/>
    <col min="11267" max="11267" width="17.75" customWidth="1"/>
    <col min="11268" max="11268" width="10.875" customWidth="1"/>
    <col min="11269" max="11269" width="11.25" customWidth="1"/>
    <col min="11270" max="11270" width="11.5" customWidth="1"/>
    <col min="11271" max="11271" width="11.625" customWidth="1"/>
    <col min="11272" max="11272" width="15.5" customWidth="1"/>
    <col min="11273" max="11273" width="18.75" customWidth="1"/>
    <col min="11274" max="11274" width="15.375" customWidth="1"/>
    <col min="11275" max="11275" width="15.125" customWidth="1"/>
    <col min="11277" max="11277" width="11" customWidth="1"/>
    <col min="11278" max="11278" width="10.625" customWidth="1"/>
    <col min="11279" max="11279" width="9.625" customWidth="1"/>
    <col min="11522" max="11522" width="7" customWidth="1"/>
    <col min="11523" max="11523" width="17.75" customWidth="1"/>
    <col min="11524" max="11524" width="10.875" customWidth="1"/>
    <col min="11525" max="11525" width="11.25" customWidth="1"/>
    <col min="11526" max="11526" width="11.5" customWidth="1"/>
    <col min="11527" max="11527" width="11.625" customWidth="1"/>
    <col min="11528" max="11528" width="15.5" customWidth="1"/>
    <col min="11529" max="11529" width="18.75" customWidth="1"/>
    <col min="11530" max="11530" width="15.375" customWidth="1"/>
    <col min="11531" max="11531" width="15.125" customWidth="1"/>
    <col min="11533" max="11533" width="11" customWidth="1"/>
    <col min="11534" max="11534" width="10.625" customWidth="1"/>
    <col min="11535" max="11535" width="9.625" customWidth="1"/>
    <col min="11778" max="11778" width="7" customWidth="1"/>
    <col min="11779" max="11779" width="17.75" customWidth="1"/>
    <col min="11780" max="11780" width="10.875" customWidth="1"/>
    <col min="11781" max="11781" width="11.25" customWidth="1"/>
    <col min="11782" max="11782" width="11.5" customWidth="1"/>
    <col min="11783" max="11783" width="11.625" customWidth="1"/>
    <col min="11784" max="11784" width="15.5" customWidth="1"/>
    <col min="11785" max="11785" width="18.75" customWidth="1"/>
    <col min="11786" max="11786" width="15.375" customWidth="1"/>
    <col min="11787" max="11787" width="15.125" customWidth="1"/>
    <col min="11789" max="11789" width="11" customWidth="1"/>
    <col min="11790" max="11790" width="10.625" customWidth="1"/>
    <col min="11791" max="11791" width="9.625" customWidth="1"/>
    <col min="12034" max="12034" width="7" customWidth="1"/>
    <col min="12035" max="12035" width="17.75" customWidth="1"/>
    <col min="12036" max="12036" width="10.875" customWidth="1"/>
    <col min="12037" max="12037" width="11.25" customWidth="1"/>
    <col min="12038" max="12038" width="11.5" customWidth="1"/>
    <col min="12039" max="12039" width="11.625" customWidth="1"/>
    <col min="12040" max="12040" width="15.5" customWidth="1"/>
    <col min="12041" max="12041" width="18.75" customWidth="1"/>
    <col min="12042" max="12042" width="15.375" customWidth="1"/>
    <col min="12043" max="12043" width="15.125" customWidth="1"/>
    <col min="12045" max="12045" width="11" customWidth="1"/>
    <col min="12046" max="12046" width="10.625" customWidth="1"/>
    <col min="12047" max="12047" width="9.625" customWidth="1"/>
    <col min="12290" max="12290" width="7" customWidth="1"/>
    <col min="12291" max="12291" width="17.75" customWidth="1"/>
    <col min="12292" max="12292" width="10.875" customWidth="1"/>
    <col min="12293" max="12293" width="11.25" customWidth="1"/>
    <col min="12294" max="12294" width="11.5" customWidth="1"/>
    <col min="12295" max="12295" width="11.625" customWidth="1"/>
    <col min="12296" max="12296" width="15.5" customWidth="1"/>
    <col min="12297" max="12297" width="18.75" customWidth="1"/>
    <col min="12298" max="12298" width="15.375" customWidth="1"/>
    <col min="12299" max="12299" width="15.125" customWidth="1"/>
    <col min="12301" max="12301" width="11" customWidth="1"/>
    <col min="12302" max="12302" width="10.625" customWidth="1"/>
    <col min="12303" max="12303" width="9.625" customWidth="1"/>
    <col min="12546" max="12546" width="7" customWidth="1"/>
    <col min="12547" max="12547" width="17.75" customWidth="1"/>
    <col min="12548" max="12548" width="10.875" customWidth="1"/>
    <col min="12549" max="12549" width="11.25" customWidth="1"/>
    <col min="12550" max="12550" width="11.5" customWidth="1"/>
    <col min="12551" max="12551" width="11.625" customWidth="1"/>
    <col min="12552" max="12552" width="15.5" customWidth="1"/>
    <col min="12553" max="12553" width="18.75" customWidth="1"/>
    <col min="12554" max="12554" width="15.375" customWidth="1"/>
    <col min="12555" max="12555" width="15.125" customWidth="1"/>
    <col min="12557" max="12557" width="11" customWidth="1"/>
    <col min="12558" max="12558" width="10.625" customWidth="1"/>
    <col min="12559" max="12559" width="9.625" customWidth="1"/>
    <col min="12802" max="12802" width="7" customWidth="1"/>
    <col min="12803" max="12803" width="17.75" customWidth="1"/>
    <col min="12804" max="12804" width="10.875" customWidth="1"/>
    <col min="12805" max="12805" width="11.25" customWidth="1"/>
    <col min="12806" max="12806" width="11.5" customWidth="1"/>
    <col min="12807" max="12807" width="11.625" customWidth="1"/>
    <col min="12808" max="12808" width="15.5" customWidth="1"/>
    <col min="12809" max="12809" width="18.75" customWidth="1"/>
    <col min="12810" max="12810" width="15.375" customWidth="1"/>
    <col min="12811" max="12811" width="15.125" customWidth="1"/>
    <col min="12813" max="12813" width="11" customWidth="1"/>
    <col min="12814" max="12814" width="10.625" customWidth="1"/>
    <col min="12815" max="12815" width="9.625" customWidth="1"/>
    <col min="13058" max="13058" width="7" customWidth="1"/>
    <col min="13059" max="13059" width="17.75" customWidth="1"/>
    <col min="13060" max="13060" width="10.875" customWidth="1"/>
    <col min="13061" max="13061" width="11.25" customWidth="1"/>
    <col min="13062" max="13062" width="11.5" customWidth="1"/>
    <col min="13063" max="13063" width="11.625" customWidth="1"/>
    <col min="13064" max="13064" width="15.5" customWidth="1"/>
    <col min="13065" max="13065" width="18.75" customWidth="1"/>
    <col min="13066" max="13066" width="15.375" customWidth="1"/>
    <col min="13067" max="13067" width="15.125" customWidth="1"/>
    <col min="13069" max="13069" width="11" customWidth="1"/>
    <col min="13070" max="13070" width="10.625" customWidth="1"/>
    <col min="13071" max="13071" width="9.625" customWidth="1"/>
    <col min="13314" max="13314" width="7" customWidth="1"/>
    <col min="13315" max="13315" width="17.75" customWidth="1"/>
    <col min="13316" max="13316" width="10.875" customWidth="1"/>
    <col min="13317" max="13317" width="11.25" customWidth="1"/>
    <col min="13318" max="13318" width="11.5" customWidth="1"/>
    <col min="13319" max="13319" width="11.625" customWidth="1"/>
    <col min="13320" max="13320" width="15.5" customWidth="1"/>
    <col min="13321" max="13321" width="18.75" customWidth="1"/>
    <col min="13322" max="13322" width="15.375" customWidth="1"/>
    <col min="13323" max="13323" width="15.125" customWidth="1"/>
    <col min="13325" max="13325" width="11" customWidth="1"/>
    <col min="13326" max="13326" width="10.625" customWidth="1"/>
    <col min="13327" max="13327" width="9.625" customWidth="1"/>
    <col min="13570" max="13570" width="7" customWidth="1"/>
    <col min="13571" max="13571" width="17.75" customWidth="1"/>
    <col min="13572" max="13572" width="10.875" customWidth="1"/>
    <col min="13573" max="13573" width="11.25" customWidth="1"/>
    <col min="13574" max="13574" width="11.5" customWidth="1"/>
    <col min="13575" max="13575" width="11.625" customWidth="1"/>
    <col min="13576" max="13576" width="15.5" customWidth="1"/>
    <col min="13577" max="13577" width="18.75" customWidth="1"/>
    <col min="13578" max="13578" width="15.375" customWidth="1"/>
    <col min="13579" max="13579" width="15.125" customWidth="1"/>
    <col min="13581" max="13581" width="11" customWidth="1"/>
    <col min="13582" max="13582" width="10.625" customWidth="1"/>
    <col min="13583" max="13583" width="9.625" customWidth="1"/>
    <col min="13826" max="13826" width="7" customWidth="1"/>
    <col min="13827" max="13827" width="17.75" customWidth="1"/>
    <col min="13828" max="13828" width="10.875" customWidth="1"/>
    <col min="13829" max="13829" width="11.25" customWidth="1"/>
    <col min="13830" max="13830" width="11.5" customWidth="1"/>
    <col min="13831" max="13831" width="11.625" customWidth="1"/>
    <col min="13832" max="13832" width="15.5" customWidth="1"/>
    <col min="13833" max="13833" width="18.75" customWidth="1"/>
    <col min="13834" max="13834" width="15.375" customWidth="1"/>
    <col min="13835" max="13835" width="15.125" customWidth="1"/>
    <col min="13837" max="13837" width="11" customWidth="1"/>
    <col min="13838" max="13838" width="10.625" customWidth="1"/>
    <col min="13839" max="13839" width="9.625" customWidth="1"/>
    <col min="14082" max="14082" width="7" customWidth="1"/>
    <col min="14083" max="14083" width="17.75" customWidth="1"/>
    <col min="14084" max="14084" width="10.875" customWidth="1"/>
    <col min="14085" max="14085" width="11.25" customWidth="1"/>
    <col min="14086" max="14086" width="11.5" customWidth="1"/>
    <col min="14087" max="14087" width="11.625" customWidth="1"/>
    <col min="14088" max="14088" width="15.5" customWidth="1"/>
    <col min="14089" max="14089" width="18.75" customWidth="1"/>
    <col min="14090" max="14090" width="15.375" customWidth="1"/>
    <col min="14091" max="14091" width="15.125" customWidth="1"/>
    <col min="14093" max="14093" width="11" customWidth="1"/>
    <col min="14094" max="14094" width="10.625" customWidth="1"/>
    <col min="14095" max="14095" width="9.625" customWidth="1"/>
    <col min="14338" max="14338" width="7" customWidth="1"/>
    <col min="14339" max="14339" width="17.75" customWidth="1"/>
    <col min="14340" max="14340" width="10.875" customWidth="1"/>
    <col min="14341" max="14341" width="11.25" customWidth="1"/>
    <col min="14342" max="14342" width="11.5" customWidth="1"/>
    <col min="14343" max="14343" width="11.625" customWidth="1"/>
    <col min="14344" max="14344" width="15.5" customWidth="1"/>
    <col min="14345" max="14345" width="18.75" customWidth="1"/>
    <col min="14346" max="14346" width="15.375" customWidth="1"/>
    <col min="14347" max="14347" width="15.125" customWidth="1"/>
    <col min="14349" max="14349" width="11" customWidth="1"/>
    <col min="14350" max="14350" width="10.625" customWidth="1"/>
    <col min="14351" max="14351" width="9.625" customWidth="1"/>
    <col min="14594" max="14594" width="7" customWidth="1"/>
    <col min="14595" max="14595" width="17.75" customWidth="1"/>
    <col min="14596" max="14596" width="10.875" customWidth="1"/>
    <col min="14597" max="14597" width="11.25" customWidth="1"/>
    <col min="14598" max="14598" width="11.5" customWidth="1"/>
    <col min="14599" max="14599" width="11.625" customWidth="1"/>
    <col min="14600" max="14600" width="15.5" customWidth="1"/>
    <col min="14601" max="14601" width="18.75" customWidth="1"/>
    <col min="14602" max="14602" width="15.375" customWidth="1"/>
    <col min="14603" max="14603" width="15.125" customWidth="1"/>
    <col min="14605" max="14605" width="11" customWidth="1"/>
    <col min="14606" max="14606" width="10.625" customWidth="1"/>
    <col min="14607" max="14607" width="9.625" customWidth="1"/>
    <col min="14850" max="14850" width="7" customWidth="1"/>
    <col min="14851" max="14851" width="17.75" customWidth="1"/>
    <col min="14852" max="14852" width="10.875" customWidth="1"/>
    <col min="14853" max="14853" width="11.25" customWidth="1"/>
    <col min="14854" max="14854" width="11.5" customWidth="1"/>
    <col min="14855" max="14855" width="11.625" customWidth="1"/>
    <col min="14856" max="14856" width="15.5" customWidth="1"/>
    <col min="14857" max="14857" width="18.75" customWidth="1"/>
    <col min="14858" max="14858" width="15.375" customWidth="1"/>
    <col min="14859" max="14859" width="15.125" customWidth="1"/>
    <col min="14861" max="14861" width="11" customWidth="1"/>
    <col min="14862" max="14862" width="10.625" customWidth="1"/>
    <col min="14863" max="14863" width="9.625" customWidth="1"/>
    <col min="15106" max="15106" width="7" customWidth="1"/>
    <col min="15107" max="15107" width="17.75" customWidth="1"/>
    <col min="15108" max="15108" width="10.875" customWidth="1"/>
    <col min="15109" max="15109" width="11.25" customWidth="1"/>
    <col min="15110" max="15110" width="11.5" customWidth="1"/>
    <col min="15111" max="15111" width="11.625" customWidth="1"/>
    <col min="15112" max="15112" width="15.5" customWidth="1"/>
    <col min="15113" max="15113" width="18.75" customWidth="1"/>
    <col min="15114" max="15114" width="15.375" customWidth="1"/>
    <col min="15115" max="15115" width="15.125" customWidth="1"/>
    <col min="15117" max="15117" width="11" customWidth="1"/>
    <col min="15118" max="15118" width="10.625" customWidth="1"/>
    <col min="15119" max="15119" width="9.625" customWidth="1"/>
    <col min="15362" max="15362" width="7" customWidth="1"/>
    <col min="15363" max="15363" width="17.75" customWidth="1"/>
    <col min="15364" max="15364" width="10.875" customWidth="1"/>
    <col min="15365" max="15365" width="11.25" customWidth="1"/>
    <col min="15366" max="15366" width="11.5" customWidth="1"/>
    <col min="15367" max="15367" width="11.625" customWidth="1"/>
    <col min="15368" max="15368" width="15.5" customWidth="1"/>
    <col min="15369" max="15369" width="18.75" customWidth="1"/>
    <col min="15370" max="15370" width="15.375" customWidth="1"/>
    <col min="15371" max="15371" width="15.125" customWidth="1"/>
    <col min="15373" max="15373" width="11" customWidth="1"/>
    <col min="15374" max="15374" width="10.625" customWidth="1"/>
    <col min="15375" max="15375" width="9.625" customWidth="1"/>
    <col min="15618" max="15618" width="7" customWidth="1"/>
    <col min="15619" max="15619" width="17.75" customWidth="1"/>
    <col min="15620" max="15620" width="10.875" customWidth="1"/>
    <col min="15621" max="15621" width="11.25" customWidth="1"/>
    <col min="15622" max="15622" width="11.5" customWidth="1"/>
    <col min="15623" max="15623" width="11.625" customWidth="1"/>
    <col min="15624" max="15624" width="15.5" customWidth="1"/>
    <col min="15625" max="15625" width="18.75" customWidth="1"/>
    <col min="15626" max="15626" width="15.375" customWidth="1"/>
    <col min="15627" max="15627" width="15.125" customWidth="1"/>
    <col min="15629" max="15629" width="11" customWidth="1"/>
    <col min="15630" max="15630" width="10.625" customWidth="1"/>
    <col min="15631" max="15631" width="9.625" customWidth="1"/>
    <col min="15874" max="15874" width="7" customWidth="1"/>
    <col min="15875" max="15875" width="17.75" customWidth="1"/>
    <col min="15876" max="15876" width="10.875" customWidth="1"/>
    <col min="15877" max="15877" width="11.25" customWidth="1"/>
    <col min="15878" max="15878" width="11.5" customWidth="1"/>
    <col min="15879" max="15879" width="11.625" customWidth="1"/>
    <col min="15880" max="15880" width="15.5" customWidth="1"/>
    <col min="15881" max="15881" width="18.75" customWidth="1"/>
    <col min="15882" max="15882" width="15.375" customWidth="1"/>
    <col min="15883" max="15883" width="15.125" customWidth="1"/>
    <col min="15885" max="15885" width="11" customWidth="1"/>
    <col min="15886" max="15886" width="10.625" customWidth="1"/>
    <col min="15887" max="15887" width="9.625" customWidth="1"/>
    <col min="16130" max="16130" width="7" customWidth="1"/>
    <col min="16131" max="16131" width="17.75" customWidth="1"/>
    <col min="16132" max="16132" width="10.875" customWidth="1"/>
    <col min="16133" max="16133" width="11.25" customWidth="1"/>
    <col min="16134" max="16134" width="11.5" customWidth="1"/>
    <col min="16135" max="16135" width="11.625" customWidth="1"/>
    <col min="16136" max="16136" width="15.5" customWidth="1"/>
    <col min="16137" max="16137" width="18.75" customWidth="1"/>
    <col min="16138" max="16138" width="15.375" customWidth="1"/>
    <col min="16139" max="16139" width="15.125" customWidth="1"/>
    <col min="16141" max="16141" width="11" customWidth="1"/>
    <col min="16142" max="16142" width="10.625" customWidth="1"/>
    <col min="16143" max="16143" width="9.625" customWidth="1"/>
  </cols>
  <sheetData>
    <row r="1" spans="1:15" ht="20.25" x14ac:dyDescent="0.3">
      <c r="A1" s="279"/>
      <c r="B1" s="279"/>
      <c r="C1" s="279"/>
      <c r="D1" s="279"/>
      <c r="E1" s="279"/>
      <c r="F1" s="279"/>
      <c r="G1" s="280" t="s">
        <v>0</v>
      </c>
      <c r="H1" s="279"/>
      <c r="I1" s="279"/>
      <c r="J1" s="279"/>
      <c r="K1" s="214"/>
      <c r="L1" s="214"/>
      <c r="M1" s="214"/>
      <c r="N1" s="214" t="s">
        <v>1</v>
      </c>
      <c r="O1" s="214"/>
    </row>
    <row r="2" spans="1:15" ht="18" x14ac:dyDescent="0.25">
      <c r="A2" s="214"/>
      <c r="B2" s="214"/>
      <c r="C2" s="214"/>
      <c r="D2" s="214"/>
      <c r="E2" s="214"/>
      <c r="F2" s="214"/>
      <c r="G2" s="331"/>
      <c r="H2" s="214"/>
      <c r="I2" s="214"/>
      <c r="J2" s="214"/>
      <c r="K2" s="214"/>
      <c r="L2" s="214"/>
      <c r="M2" s="214"/>
      <c r="N2" s="214"/>
      <c r="O2" s="214"/>
    </row>
    <row r="3" spans="1:15" ht="18" x14ac:dyDescent="0.25">
      <c r="A3" s="512" t="s">
        <v>2</v>
      </c>
      <c r="B3" s="512"/>
      <c r="C3" s="331" t="s">
        <v>38</v>
      </c>
      <c r="D3" s="214"/>
      <c r="E3" s="214"/>
      <c r="F3" s="214"/>
      <c r="G3" s="331"/>
      <c r="H3" s="214"/>
      <c r="I3" s="214"/>
      <c r="J3" s="214"/>
      <c r="K3" s="214"/>
      <c r="L3" s="214"/>
      <c r="M3" s="214"/>
      <c r="N3" s="214"/>
      <c r="O3" s="214"/>
    </row>
    <row r="4" spans="1:15" ht="18" x14ac:dyDescent="0.25">
      <c r="A4" s="512" t="s">
        <v>3</v>
      </c>
      <c r="B4" s="512"/>
      <c r="C4" s="331" t="s">
        <v>40</v>
      </c>
      <c r="D4" s="214"/>
      <c r="E4" s="214"/>
      <c r="F4" s="214"/>
      <c r="G4" s="331"/>
      <c r="H4" s="214"/>
      <c r="I4" s="214"/>
      <c r="J4" s="214"/>
      <c r="K4" s="214"/>
      <c r="L4" s="214"/>
      <c r="M4" s="214"/>
      <c r="N4" s="214"/>
      <c r="O4" s="214"/>
    </row>
    <row r="5" spans="1:15" ht="18" x14ac:dyDescent="0.25">
      <c r="A5" s="512" t="s">
        <v>4</v>
      </c>
      <c r="B5" s="512"/>
      <c r="C5" s="331" t="s">
        <v>41</v>
      </c>
      <c r="D5" s="214"/>
      <c r="E5" s="214"/>
      <c r="F5" s="214"/>
      <c r="G5" s="331"/>
      <c r="H5" s="214"/>
      <c r="I5" s="214"/>
      <c r="J5" s="214"/>
      <c r="K5" s="214"/>
      <c r="L5" s="214"/>
      <c r="M5" s="214"/>
      <c r="N5" s="214"/>
      <c r="O5" s="214"/>
    </row>
    <row r="6" spans="1:15" ht="18" x14ac:dyDescent="0.25">
      <c r="A6" s="512" t="s">
        <v>5</v>
      </c>
      <c r="B6" s="512"/>
      <c r="C6" s="331" t="s">
        <v>202</v>
      </c>
      <c r="D6" s="214"/>
      <c r="E6" s="214"/>
      <c r="F6" s="214"/>
      <c r="G6" s="331"/>
      <c r="H6" s="214"/>
      <c r="I6" s="214"/>
      <c r="J6" s="214"/>
      <c r="K6" s="214"/>
      <c r="L6" s="214"/>
      <c r="M6" s="214"/>
      <c r="N6" s="214"/>
      <c r="O6" s="214"/>
    </row>
    <row r="7" spans="1:15" ht="18" x14ac:dyDescent="0.25">
      <c r="A7" s="331"/>
      <c r="B7" s="331"/>
      <c r="C7" s="331"/>
      <c r="D7" s="214"/>
      <c r="E7" s="214"/>
      <c r="F7" s="214"/>
      <c r="G7" s="214"/>
      <c r="H7" s="214"/>
      <c r="I7" s="214"/>
      <c r="J7" s="214"/>
      <c r="K7" s="214"/>
      <c r="L7" s="214"/>
      <c r="M7" s="214"/>
      <c r="N7" s="214"/>
      <c r="O7" s="214"/>
    </row>
    <row r="8" spans="1:15" ht="18" x14ac:dyDescent="0.25">
      <c r="A8" s="331" t="s">
        <v>6</v>
      </c>
      <c r="B8" s="331"/>
      <c r="C8" s="331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</row>
    <row r="9" spans="1:15" ht="18" customHeight="1" x14ac:dyDescent="0.25">
      <c r="A9" s="317" t="s">
        <v>7</v>
      </c>
      <c r="B9" s="500" t="s">
        <v>8</v>
      </c>
      <c r="C9" s="500"/>
      <c r="D9" s="317" t="s">
        <v>9</v>
      </c>
      <c r="E9" s="317" t="s">
        <v>10</v>
      </c>
      <c r="F9" s="489" t="s">
        <v>11</v>
      </c>
      <c r="G9" s="489" t="s">
        <v>12</v>
      </c>
      <c r="H9" s="317" t="s">
        <v>13</v>
      </c>
      <c r="I9" s="317"/>
      <c r="J9" s="317" t="s">
        <v>15</v>
      </c>
      <c r="K9" s="317" t="s">
        <v>16</v>
      </c>
      <c r="L9" s="494" t="s">
        <v>17</v>
      </c>
      <c r="M9" s="494"/>
      <c r="N9" s="494"/>
      <c r="O9" s="317" t="s">
        <v>18</v>
      </c>
    </row>
    <row r="10" spans="1:15" ht="18" customHeight="1" x14ac:dyDescent="0.25">
      <c r="A10" s="490" t="s">
        <v>19</v>
      </c>
      <c r="B10" s="495" t="s">
        <v>20</v>
      </c>
      <c r="C10" s="496"/>
      <c r="D10" s="490" t="s">
        <v>21</v>
      </c>
      <c r="E10" s="490" t="s">
        <v>22</v>
      </c>
      <c r="F10" s="490"/>
      <c r="G10" s="490"/>
      <c r="H10" s="319" t="s">
        <v>23</v>
      </c>
      <c r="I10" s="319" t="s">
        <v>544</v>
      </c>
      <c r="J10" s="319" t="s">
        <v>24</v>
      </c>
      <c r="K10" s="319" t="s">
        <v>25</v>
      </c>
      <c r="L10" s="319" t="s">
        <v>26</v>
      </c>
      <c r="M10" s="319" t="s">
        <v>27</v>
      </c>
      <c r="N10" s="319" t="s">
        <v>28</v>
      </c>
      <c r="O10" s="481" t="s">
        <v>29</v>
      </c>
    </row>
    <row r="11" spans="1:15" ht="18" customHeight="1" x14ac:dyDescent="0.25">
      <c r="A11" s="491"/>
      <c r="B11" s="497"/>
      <c r="C11" s="498"/>
      <c r="D11" s="491"/>
      <c r="E11" s="491"/>
      <c r="F11" s="491"/>
      <c r="G11" s="491"/>
      <c r="H11" s="318" t="s">
        <v>30</v>
      </c>
      <c r="I11" s="318"/>
      <c r="J11" s="318" t="s">
        <v>31</v>
      </c>
      <c r="K11" s="318" t="s">
        <v>32</v>
      </c>
      <c r="L11" s="318" t="s">
        <v>33</v>
      </c>
      <c r="M11" s="318" t="s">
        <v>34</v>
      </c>
      <c r="N11" s="318" t="s">
        <v>35</v>
      </c>
      <c r="O11" s="482"/>
    </row>
    <row r="12" spans="1:15" ht="18" customHeight="1" x14ac:dyDescent="0.25">
      <c r="A12" s="263">
        <v>1</v>
      </c>
      <c r="B12" s="483">
        <v>2</v>
      </c>
      <c r="C12" s="484"/>
      <c r="D12" s="315">
        <v>3</v>
      </c>
      <c r="E12" s="315">
        <v>4</v>
      </c>
      <c r="F12" s="316">
        <v>5</v>
      </c>
      <c r="G12" s="316">
        <v>6</v>
      </c>
      <c r="H12" s="319">
        <v>7</v>
      </c>
      <c r="I12" s="319">
        <v>8</v>
      </c>
      <c r="J12" s="319">
        <v>9</v>
      </c>
      <c r="K12" s="319">
        <v>10</v>
      </c>
      <c r="L12" s="319">
        <v>11</v>
      </c>
      <c r="M12" s="319">
        <v>12</v>
      </c>
      <c r="N12" s="319">
        <v>13</v>
      </c>
      <c r="O12" s="315">
        <v>14</v>
      </c>
    </row>
    <row r="13" spans="1:15" ht="18" x14ac:dyDescent="0.25">
      <c r="A13" s="266">
        <v>1</v>
      </c>
      <c r="B13" s="492" t="s">
        <v>99</v>
      </c>
      <c r="C13" s="493"/>
      <c r="D13" s="338" t="s">
        <v>205</v>
      </c>
      <c r="E13" s="335"/>
      <c r="F13" s="335"/>
      <c r="G13" s="266" t="s">
        <v>56</v>
      </c>
      <c r="H13" s="266">
        <v>2008</v>
      </c>
      <c r="I13" s="266" t="s">
        <v>101</v>
      </c>
      <c r="J13" s="269" t="s">
        <v>58</v>
      </c>
      <c r="K13" s="343">
        <v>1730000</v>
      </c>
      <c r="L13" s="266" t="s">
        <v>26</v>
      </c>
      <c r="M13" s="335"/>
      <c r="N13" s="335"/>
      <c r="O13" s="335"/>
    </row>
    <row r="14" spans="1:15" ht="36" customHeight="1" x14ac:dyDescent="0.25">
      <c r="A14" s="374">
        <f t="shared" ref="A14:A20" si="0">A13+1</f>
        <v>2</v>
      </c>
      <c r="B14" s="509" t="s">
        <v>208</v>
      </c>
      <c r="C14" s="510"/>
      <c r="D14" s="402" t="s">
        <v>546</v>
      </c>
      <c r="E14" s="379"/>
      <c r="F14" s="379"/>
      <c r="G14" s="374" t="s">
        <v>56</v>
      </c>
      <c r="H14" s="374">
        <v>1997</v>
      </c>
      <c r="I14" s="374" t="s">
        <v>210</v>
      </c>
      <c r="J14" s="377" t="s">
        <v>67</v>
      </c>
      <c r="K14" s="403" t="s">
        <v>211</v>
      </c>
      <c r="L14" s="374" t="s">
        <v>26</v>
      </c>
      <c r="M14" s="379"/>
      <c r="N14" s="379"/>
      <c r="O14" s="375" t="s">
        <v>559</v>
      </c>
    </row>
    <row r="15" spans="1:15" ht="36" customHeight="1" x14ac:dyDescent="0.25">
      <c r="A15" s="374">
        <f t="shared" si="0"/>
        <v>3</v>
      </c>
      <c r="B15" s="509" t="s">
        <v>208</v>
      </c>
      <c r="C15" s="510"/>
      <c r="D15" s="402" t="s">
        <v>546</v>
      </c>
      <c r="E15" s="379"/>
      <c r="F15" s="379"/>
      <c r="G15" s="374" t="s">
        <v>56</v>
      </c>
      <c r="H15" s="374">
        <v>1997</v>
      </c>
      <c r="I15" s="374" t="s">
        <v>210</v>
      </c>
      <c r="J15" s="377" t="s">
        <v>111</v>
      </c>
      <c r="K15" s="403" t="s">
        <v>211</v>
      </c>
      <c r="L15" s="374" t="s">
        <v>26</v>
      </c>
      <c r="M15" s="379"/>
      <c r="N15" s="379"/>
      <c r="O15" s="375" t="s">
        <v>559</v>
      </c>
    </row>
    <row r="16" spans="1:15" s="430" customFormat="1" ht="54" customHeight="1" x14ac:dyDescent="0.25">
      <c r="A16" s="407">
        <f t="shared" si="0"/>
        <v>4</v>
      </c>
      <c r="B16" s="507" t="s">
        <v>133</v>
      </c>
      <c r="C16" s="508"/>
      <c r="D16" s="427" t="s">
        <v>432</v>
      </c>
      <c r="E16" s="428"/>
      <c r="F16" s="428"/>
      <c r="G16" s="407" t="s">
        <v>91</v>
      </c>
      <c r="H16" s="407">
        <v>2020</v>
      </c>
      <c r="I16" s="407" t="s">
        <v>136</v>
      </c>
      <c r="J16" s="412" t="s">
        <v>251</v>
      </c>
      <c r="K16" s="429">
        <v>6996010</v>
      </c>
      <c r="L16" s="407" t="s">
        <v>26</v>
      </c>
      <c r="M16" s="428"/>
      <c r="N16" s="428"/>
      <c r="O16" s="408" t="s">
        <v>567</v>
      </c>
    </row>
    <row r="17" spans="1:15" s="430" customFormat="1" ht="54" x14ac:dyDescent="0.25">
      <c r="A17" s="407">
        <f t="shared" si="0"/>
        <v>5</v>
      </c>
      <c r="B17" s="507" t="s">
        <v>84</v>
      </c>
      <c r="C17" s="508"/>
      <c r="D17" s="427" t="s">
        <v>168</v>
      </c>
      <c r="E17" s="428"/>
      <c r="F17" s="428"/>
      <c r="G17" s="407"/>
      <c r="H17" s="407">
        <v>2018</v>
      </c>
      <c r="I17" s="407" t="s">
        <v>92</v>
      </c>
      <c r="J17" s="412" t="s">
        <v>204</v>
      </c>
      <c r="K17" s="429">
        <v>2428691</v>
      </c>
      <c r="L17" s="407" t="s">
        <v>26</v>
      </c>
      <c r="M17" s="428"/>
      <c r="N17" s="428"/>
      <c r="O17" s="408" t="s">
        <v>567</v>
      </c>
    </row>
    <row r="18" spans="1:15" ht="36" customHeight="1" x14ac:dyDescent="0.25">
      <c r="A18" s="266">
        <f t="shared" si="0"/>
        <v>6</v>
      </c>
      <c r="B18" s="492" t="s">
        <v>175</v>
      </c>
      <c r="C18" s="493"/>
      <c r="D18" s="267" t="s">
        <v>203</v>
      </c>
      <c r="E18" s="335"/>
      <c r="F18" s="335"/>
      <c r="G18" s="266"/>
      <c r="H18" s="266">
        <v>2018</v>
      </c>
      <c r="I18" s="266" t="s">
        <v>177</v>
      </c>
      <c r="J18" s="269" t="s">
        <v>58</v>
      </c>
      <c r="K18" s="343">
        <v>3433301</v>
      </c>
      <c r="L18" s="266" t="s">
        <v>26</v>
      </c>
      <c r="M18" s="335"/>
      <c r="N18" s="335"/>
      <c r="O18" s="267"/>
    </row>
    <row r="19" spans="1:15" ht="54" customHeight="1" x14ac:dyDescent="0.25">
      <c r="A19" s="393">
        <f t="shared" si="0"/>
        <v>7</v>
      </c>
      <c r="B19" s="528" t="s">
        <v>142</v>
      </c>
      <c r="C19" s="529"/>
      <c r="D19" s="394" t="s">
        <v>206</v>
      </c>
      <c r="E19" s="395"/>
      <c r="F19" s="395"/>
      <c r="G19" s="393" t="s">
        <v>42</v>
      </c>
      <c r="H19" s="393">
        <v>2008</v>
      </c>
      <c r="I19" s="393" t="s">
        <v>144</v>
      </c>
      <c r="J19" s="396" t="s">
        <v>130</v>
      </c>
      <c r="K19" s="397">
        <v>562500</v>
      </c>
      <c r="L19" s="393" t="s">
        <v>26</v>
      </c>
      <c r="M19" s="395"/>
      <c r="N19" s="395"/>
      <c r="O19" s="394" t="s">
        <v>558</v>
      </c>
    </row>
    <row r="20" spans="1:15" ht="28.5" customHeight="1" x14ac:dyDescent="0.25">
      <c r="A20" s="266">
        <f t="shared" si="0"/>
        <v>8</v>
      </c>
      <c r="B20" s="492" t="s">
        <v>49</v>
      </c>
      <c r="C20" s="493"/>
      <c r="D20" s="338"/>
      <c r="E20" s="335"/>
      <c r="F20" s="335"/>
      <c r="G20" s="266" t="s">
        <v>50</v>
      </c>
      <c r="H20" s="266">
        <v>1997</v>
      </c>
      <c r="I20" s="266" t="s">
        <v>51</v>
      </c>
      <c r="J20" s="269" t="s">
        <v>149</v>
      </c>
      <c r="K20" s="343">
        <v>539000</v>
      </c>
      <c r="L20" s="266" t="s">
        <v>26</v>
      </c>
      <c r="M20" s="335"/>
      <c r="N20" s="335"/>
      <c r="O20" s="335"/>
    </row>
    <row r="21" spans="1:15" ht="28.5" customHeight="1" x14ac:dyDescent="0.25">
      <c r="A21" s="266">
        <v>9</v>
      </c>
      <c r="B21" s="526" t="s">
        <v>568</v>
      </c>
      <c r="C21" s="527"/>
      <c r="D21" s="431" t="s">
        <v>205</v>
      </c>
      <c r="E21" s="432"/>
      <c r="F21" s="432"/>
      <c r="G21" s="406" t="s">
        <v>56</v>
      </c>
      <c r="H21" s="266">
        <v>2006</v>
      </c>
      <c r="I21" s="266" t="s">
        <v>105</v>
      </c>
      <c r="J21" s="269" t="s">
        <v>43</v>
      </c>
      <c r="K21" s="343"/>
      <c r="L21" s="266" t="s">
        <v>26</v>
      </c>
      <c r="M21" s="335"/>
      <c r="N21" s="335"/>
      <c r="O21" s="335"/>
    </row>
    <row r="22" spans="1:15" ht="18" x14ac:dyDescent="0.25">
      <c r="A22" s="214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</row>
    <row r="23" spans="1:15" ht="18" x14ac:dyDescent="0.25">
      <c r="A23" s="214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</row>
    <row r="24" spans="1:15" ht="18" x14ac:dyDescent="0.25">
      <c r="A24" s="214"/>
      <c r="B24" s="214"/>
      <c r="C24" s="277" t="s">
        <v>36</v>
      </c>
      <c r="D24" s="214"/>
      <c r="E24" s="214"/>
      <c r="F24" s="214"/>
      <c r="G24" s="214"/>
      <c r="H24" s="214"/>
      <c r="I24" s="214"/>
      <c r="J24" s="214"/>
      <c r="K24" s="214"/>
      <c r="L24" s="277" t="s">
        <v>584</v>
      </c>
      <c r="M24" s="214"/>
      <c r="N24" s="214"/>
      <c r="O24" s="214"/>
    </row>
    <row r="25" spans="1:15" ht="18" x14ac:dyDescent="0.25">
      <c r="A25" s="214"/>
      <c r="B25" s="214"/>
      <c r="C25" s="5" t="s">
        <v>572</v>
      </c>
      <c r="D25" s="214"/>
      <c r="E25" s="214"/>
      <c r="F25" s="214"/>
      <c r="G25" s="214"/>
      <c r="H25" s="214"/>
      <c r="I25" s="214"/>
      <c r="J25" s="214"/>
      <c r="K25" s="214"/>
      <c r="L25" s="5" t="s">
        <v>580</v>
      </c>
      <c r="M25" s="214"/>
      <c r="N25" s="214"/>
      <c r="O25" s="214"/>
    </row>
    <row r="26" spans="1:15" ht="18" x14ac:dyDescent="0.25">
      <c r="A26" s="214"/>
      <c r="B26" s="214"/>
      <c r="C26" s="5"/>
      <c r="D26" s="214"/>
      <c r="E26" s="214"/>
      <c r="F26" s="214"/>
      <c r="G26" s="214"/>
      <c r="H26" s="214"/>
      <c r="I26" s="214"/>
      <c r="J26" s="214"/>
      <c r="K26" s="214"/>
      <c r="L26" s="5"/>
      <c r="M26" s="214"/>
      <c r="N26" s="214"/>
      <c r="O26" s="214"/>
    </row>
    <row r="27" spans="1:15" ht="18" x14ac:dyDescent="0.25">
      <c r="A27" s="214"/>
      <c r="B27" s="214"/>
      <c r="C27" s="5"/>
      <c r="D27" s="214"/>
      <c r="E27" s="214"/>
      <c r="F27" s="214"/>
      <c r="G27" s="214"/>
      <c r="H27" s="214"/>
      <c r="I27" s="214"/>
      <c r="J27" s="214"/>
      <c r="K27" s="214"/>
      <c r="L27" s="5"/>
      <c r="M27" s="214"/>
      <c r="N27" s="214"/>
      <c r="O27" s="214"/>
    </row>
    <row r="28" spans="1:15" ht="18" x14ac:dyDescent="0.25">
      <c r="A28" s="214"/>
      <c r="B28" s="214"/>
      <c r="C28" s="5"/>
      <c r="D28" s="214"/>
      <c r="E28" s="214"/>
      <c r="F28" s="214"/>
      <c r="G28" s="214"/>
      <c r="H28" s="214"/>
      <c r="I28" s="214"/>
      <c r="J28" s="214"/>
      <c r="K28" s="214"/>
      <c r="L28" s="5"/>
      <c r="M28" s="214"/>
      <c r="N28" s="214"/>
      <c r="O28" s="214"/>
    </row>
    <row r="29" spans="1:15" ht="18" x14ac:dyDescent="0.25">
      <c r="A29" s="214"/>
      <c r="B29" s="214"/>
      <c r="C29" s="6" t="s">
        <v>573</v>
      </c>
      <c r="D29" s="214"/>
      <c r="E29" s="214"/>
      <c r="F29" s="214"/>
      <c r="G29" s="214"/>
      <c r="H29" s="214"/>
      <c r="I29" s="214"/>
      <c r="J29" s="214"/>
      <c r="K29" s="214"/>
      <c r="L29" s="6" t="s">
        <v>576</v>
      </c>
      <c r="M29" s="214"/>
      <c r="N29" s="214"/>
      <c r="O29" s="214"/>
    </row>
    <row r="30" spans="1:15" ht="18" x14ac:dyDescent="0.25">
      <c r="A30" s="214"/>
      <c r="B30" s="214"/>
      <c r="C30" s="5" t="s">
        <v>39</v>
      </c>
      <c r="D30" s="214"/>
      <c r="E30" s="214"/>
      <c r="F30" s="214"/>
      <c r="G30" s="214"/>
      <c r="H30" s="214"/>
      <c r="I30" s="214"/>
      <c r="J30" s="214"/>
      <c r="K30" s="214"/>
      <c r="L30" s="23" t="str">
        <f>'RUANG DAPUR'!L32</f>
        <v>NIP. 19721124 200604 2 005</v>
      </c>
      <c r="M30" s="214"/>
      <c r="N30" s="214"/>
      <c r="O30" s="214"/>
    </row>
    <row r="31" spans="1:15" ht="18" x14ac:dyDescent="0.25">
      <c r="A31" s="214"/>
      <c r="B31" s="214"/>
      <c r="C31" s="23" t="s">
        <v>574</v>
      </c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</row>
    <row r="32" spans="1:15" x14ac:dyDescent="0.25">
      <c r="K32" s="24"/>
    </row>
    <row r="33" spans="2:11" x14ac:dyDescent="0.25">
      <c r="B33" s="21"/>
      <c r="K33" s="25"/>
    </row>
    <row r="34" spans="2:11" x14ac:dyDescent="0.25">
      <c r="B34" s="22"/>
    </row>
    <row r="35" spans="2:11" x14ac:dyDescent="0.25">
      <c r="B35" s="22"/>
    </row>
  </sheetData>
  <mergeCells count="23">
    <mergeCell ref="A10:A11"/>
    <mergeCell ref="B10:C11"/>
    <mergeCell ref="D10:D11"/>
    <mergeCell ref="E10:E11"/>
    <mergeCell ref="A3:B3"/>
    <mergeCell ref="A4:B4"/>
    <mergeCell ref="A5:B5"/>
    <mergeCell ref="A6:B6"/>
    <mergeCell ref="B9:C9"/>
    <mergeCell ref="B21:C21"/>
    <mergeCell ref="O10:O11"/>
    <mergeCell ref="B12:C12"/>
    <mergeCell ref="B18:C18"/>
    <mergeCell ref="B20:C20"/>
    <mergeCell ref="B17:C17"/>
    <mergeCell ref="B13:C13"/>
    <mergeCell ref="G9:G11"/>
    <mergeCell ref="L9:N9"/>
    <mergeCell ref="F9:F11"/>
    <mergeCell ref="B19:C19"/>
    <mergeCell ref="B14:C14"/>
    <mergeCell ref="B15:C15"/>
    <mergeCell ref="B16:C16"/>
  </mergeCells>
  <printOptions horizontalCentered="1"/>
  <pageMargins left="0.11811023622047245" right="0.35433070866141736" top="0.19685039370078741" bottom="0.15748031496062992" header="0" footer="0"/>
  <pageSetup paperSize="5" scale="70" orientation="landscape" horizontalDpi="4294967293" verticalDpi="180" r:id="rId1"/>
  <headerFooter alignWithMargins="0">
    <oddFooter>&amp;L&amp;9&amp;F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848F7-615A-4A6A-B7DA-6D201A5363BC}">
  <dimension ref="A1"/>
  <sheetViews>
    <sheetView tabSelected="1" workbookViewId="0">
      <selection activeCell="R20" sqref="R20"/>
    </sheetView>
  </sheetViews>
  <sheetFormatPr defaultRowHeight="15.7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37"/>
  <sheetViews>
    <sheetView view="pageBreakPreview" topLeftCell="A16" zoomScaleNormal="55" workbookViewId="0">
      <selection activeCell="G29" sqref="G29"/>
    </sheetView>
  </sheetViews>
  <sheetFormatPr defaultRowHeight="15.75" x14ac:dyDescent="0.25"/>
  <cols>
    <col min="1" max="1" width="5.375" customWidth="1"/>
    <col min="2" max="2" width="7" customWidth="1"/>
    <col min="3" max="3" width="24.875" customWidth="1"/>
    <col min="4" max="4" width="18" customWidth="1"/>
    <col min="5" max="5" width="9.625" customWidth="1"/>
    <col min="6" max="6" width="8.875" customWidth="1"/>
    <col min="7" max="7" width="14.875" customWidth="1"/>
    <col min="8" max="8" width="18.625" customWidth="1"/>
    <col min="9" max="9" width="19.75" customWidth="1"/>
    <col min="10" max="10" width="13" customWidth="1"/>
    <col min="11" max="11" width="15.875" customWidth="1"/>
    <col min="12" max="12" width="6.875" customWidth="1"/>
    <col min="13" max="13" width="15.375" customWidth="1"/>
    <col min="14" max="15" width="14" customWidth="1"/>
    <col min="258" max="258" width="7" customWidth="1"/>
    <col min="259" max="259" width="17.75" customWidth="1"/>
    <col min="260" max="260" width="10.875" customWidth="1"/>
    <col min="261" max="261" width="11.25" customWidth="1"/>
    <col min="262" max="262" width="11.5" customWidth="1"/>
    <col min="263" max="263" width="11.625" customWidth="1"/>
    <col min="264" max="264" width="15.5" customWidth="1"/>
    <col min="265" max="265" width="18.75" customWidth="1"/>
    <col min="266" max="266" width="15.375" customWidth="1"/>
    <col min="267" max="267" width="15.125" customWidth="1"/>
    <col min="269" max="269" width="11" customWidth="1"/>
    <col min="270" max="270" width="10.625" customWidth="1"/>
    <col min="271" max="271" width="9.625" customWidth="1"/>
    <col min="514" max="514" width="7" customWidth="1"/>
    <col min="515" max="515" width="17.75" customWidth="1"/>
    <col min="516" max="516" width="10.875" customWidth="1"/>
    <col min="517" max="517" width="11.25" customWidth="1"/>
    <col min="518" max="518" width="11.5" customWidth="1"/>
    <col min="519" max="519" width="11.625" customWidth="1"/>
    <col min="520" max="520" width="15.5" customWidth="1"/>
    <col min="521" max="521" width="18.75" customWidth="1"/>
    <col min="522" max="522" width="15.375" customWidth="1"/>
    <col min="523" max="523" width="15.125" customWidth="1"/>
    <col min="525" max="525" width="11" customWidth="1"/>
    <col min="526" max="526" width="10.625" customWidth="1"/>
    <col min="527" max="527" width="9.625" customWidth="1"/>
    <col min="770" max="770" width="7" customWidth="1"/>
    <col min="771" max="771" width="17.75" customWidth="1"/>
    <col min="772" max="772" width="10.875" customWidth="1"/>
    <col min="773" max="773" width="11.25" customWidth="1"/>
    <col min="774" max="774" width="11.5" customWidth="1"/>
    <col min="775" max="775" width="11.625" customWidth="1"/>
    <col min="776" max="776" width="15.5" customWidth="1"/>
    <col min="777" max="777" width="18.75" customWidth="1"/>
    <col min="778" max="778" width="15.375" customWidth="1"/>
    <col min="779" max="779" width="15.125" customWidth="1"/>
    <col min="781" max="781" width="11" customWidth="1"/>
    <col min="782" max="782" width="10.625" customWidth="1"/>
    <col min="783" max="783" width="9.625" customWidth="1"/>
    <col min="1026" max="1026" width="7" customWidth="1"/>
    <col min="1027" max="1027" width="17.75" customWidth="1"/>
    <col min="1028" max="1028" width="10.875" customWidth="1"/>
    <col min="1029" max="1029" width="11.25" customWidth="1"/>
    <col min="1030" max="1030" width="11.5" customWidth="1"/>
    <col min="1031" max="1031" width="11.625" customWidth="1"/>
    <col min="1032" max="1032" width="15.5" customWidth="1"/>
    <col min="1033" max="1033" width="18.75" customWidth="1"/>
    <col min="1034" max="1034" width="15.375" customWidth="1"/>
    <col min="1035" max="1035" width="15.125" customWidth="1"/>
    <col min="1037" max="1037" width="11" customWidth="1"/>
    <col min="1038" max="1038" width="10.625" customWidth="1"/>
    <col min="1039" max="1039" width="9.625" customWidth="1"/>
    <col min="1282" max="1282" width="7" customWidth="1"/>
    <col min="1283" max="1283" width="17.75" customWidth="1"/>
    <col min="1284" max="1284" width="10.875" customWidth="1"/>
    <col min="1285" max="1285" width="11.25" customWidth="1"/>
    <col min="1286" max="1286" width="11.5" customWidth="1"/>
    <col min="1287" max="1287" width="11.625" customWidth="1"/>
    <col min="1288" max="1288" width="15.5" customWidth="1"/>
    <col min="1289" max="1289" width="18.75" customWidth="1"/>
    <col min="1290" max="1290" width="15.375" customWidth="1"/>
    <col min="1291" max="1291" width="15.125" customWidth="1"/>
    <col min="1293" max="1293" width="11" customWidth="1"/>
    <col min="1294" max="1294" width="10.625" customWidth="1"/>
    <col min="1295" max="1295" width="9.625" customWidth="1"/>
    <col min="1538" max="1538" width="7" customWidth="1"/>
    <col min="1539" max="1539" width="17.75" customWidth="1"/>
    <col min="1540" max="1540" width="10.875" customWidth="1"/>
    <col min="1541" max="1541" width="11.25" customWidth="1"/>
    <col min="1542" max="1542" width="11.5" customWidth="1"/>
    <col min="1543" max="1543" width="11.625" customWidth="1"/>
    <col min="1544" max="1544" width="15.5" customWidth="1"/>
    <col min="1545" max="1545" width="18.75" customWidth="1"/>
    <col min="1546" max="1546" width="15.375" customWidth="1"/>
    <col min="1547" max="1547" width="15.125" customWidth="1"/>
    <col min="1549" max="1549" width="11" customWidth="1"/>
    <col min="1550" max="1550" width="10.625" customWidth="1"/>
    <col min="1551" max="1551" width="9.625" customWidth="1"/>
    <col min="1794" max="1794" width="7" customWidth="1"/>
    <col min="1795" max="1795" width="17.75" customWidth="1"/>
    <col min="1796" max="1796" width="10.875" customWidth="1"/>
    <col min="1797" max="1797" width="11.25" customWidth="1"/>
    <col min="1798" max="1798" width="11.5" customWidth="1"/>
    <col min="1799" max="1799" width="11.625" customWidth="1"/>
    <col min="1800" max="1800" width="15.5" customWidth="1"/>
    <col min="1801" max="1801" width="18.75" customWidth="1"/>
    <col min="1802" max="1802" width="15.375" customWidth="1"/>
    <col min="1803" max="1803" width="15.125" customWidth="1"/>
    <col min="1805" max="1805" width="11" customWidth="1"/>
    <col min="1806" max="1806" width="10.625" customWidth="1"/>
    <col min="1807" max="1807" width="9.625" customWidth="1"/>
    <col min="2050" max="2050" width="7" customWidth="1"/>
    <col min="2051" max="2051" width="17.75" customWidth="1"/>
    <col min="2052" max="2052" width="10.875" customWidth="1"/>
    <col min="2053" max="2053" width="11.25" customWidth="1"/>
    <col min="2054" max="2054" width="11.5" customWidth="1"/>
    <col min="2055" max="2055" width="11.625" customWidth="1"/>
    <col min="2056" max="2056" width="15.5" customWidth="1"/>
    <col min="2057" max="2057" width="18.75" customWidth="1"/>
    <col min="2058" max="2058" width="15.375" customWidth="1"/>
    <col min="2059" max="2059" width="15.125" customWidth="1"/>
    <col min="2061" max="2061" width="11" customWidth="1"/>
    <col min="2062" max="2062" width="10.625" customWidth="1"/>
    <col min="2063" max="2063" width="9.625" customWidth="1"/>
    <col min="2306" max="2306" width="7" customWidth="1"/>
    <col min="2307" max="2307" width="17.75" customWidth="1"/>
    <col min="2308" max="2308" width="10.875" customWidth="1"/>
    <col min="2309" max="2309" width="11.25" customWidth="1"/>
    <col min="2310" max="2310" width="11.5" customWidth="1"/>
    <col min="2311" max="2311" width="11.625" customWidth="1"/>
    <col min="2312" max="2312" width="15.5" customWidth="1"/>
    <col min="2313" max="2313" width="18.75" customWidth="1"/>
    <col min="2314" max="2314" width="15.375" customWidth="1"/>
    <col min="2315" max="2315" width="15.125" customWidth="1"/>
    <col min="2317" max="2317" width="11" customWidth="1"/>
    <col min="2318" max="2318" width="10.625" customWidth="1"/>
    <col min="2319" max="2319" width="9.625" customWidth="1"/>
    <col min="2562" max="2562" width="7" customWidth="1"/>
    <col min="2563" max="2563" width="17.75" customWidth="1"/>
    <col min="2564" max="2564" width="10.875" customWidth="1"/>
    <col min="2565" max="2565" width="11.25" customWidth="1"/>
    <col min="2566" max="2566" width="11.5" customWidth="1"/>
    <col min="2567" max="2567" width="11.625" customWidth="1"/>
    <col min="2568" max="2568" width="15.5" customWidth="1"/>
    <col min="2569" max="2569" width="18.75" customWidth="1"/>
    <col min="2570" max="2570" width="15.375" customWidth="1"/>
    <col min="2571" max="2571" width="15.125" customWidth="1"/>
    <col min="2573" max="2573" width="11" customWidth="1"/>
    <col min="2574" max="2574" width="10.625" customWidth="1"/>
    <col min="2575" max="2575" width="9.625" customWidth="1"/>
    <col min="2818" max="2818" width="7" customWidth="1"/>
    <col min="2819" max="2819" width="17.75" customWidth="1"/>
    <col min="2820" max="2820" width="10.875" customWidth="1"/>
    <col min="2821" max="2821" width="11.25" customWidth="1"/>
    <col min="2822" max="2822" width="11.5" customWidth="1"/>
    <col min="2823" max="2823" width="11.625" customWidth="1"/>
    <col min="2824" max="2824" width="15.5" customWidth="1"/>
    <col min="2825" max="2825" width="18.75" customWidth="1"/>
    <col min="2826" max="2826" width="15.375" customWidth="1"/>
    <col min="2827" max="2827" width="15.125" customWidth="1"/>
    <col min="2829" max="2829" width="11" customWidth="1"/>
    <col min="2830" max="2830" width="10.625" customWidth="1"/>
    <col min="2831" max="2831" width="9.625" customWidth="1"/>
    <col min="3074" max="3074" width="7" customWidth="1"/>
    <col min="3075" max="3075" width="17.75" customWidth="1"/>
    <col min="3076" max="3076" width="10.875" customWidth="1"/>
    <col min="3077" max="3077" width="11.25" customWidth="1"/>
    <col min="3078" max="3078" width="11.5" customWidth="1"/>
    <col min="3079" max="3079" width="11.625" customWidth="1"/>
    <col min="3080" max="3080" width="15.5" customWidth="1"/>
    <col min="3081" max="3081" width="18.75" customWidth="1"/>
    <col min="3082" max="3082" width="15.375" customWidth="1"/>
    <col min="3083" max="3083" width="15.125" customWidth="1"/>
    <col min="3085" max="3085" width="11" customWidth="1"/>
    <col min="3086" max="3086" width="10.625" customWidth="1"/>
    <col min="3087" max="3087" width="9.625" customWidth="1"/>
    <col min="3330" max="3330" width="7" customWidth="1"/>
    <col min="3331" max="3331" width="17.75" customWidth="1"/>
    <col min="3332" max="3332" width="10.875" customWidth="1"/>
    <col min="3333" max="3333" width="11.25" customWidth="1"/>
    <col min="3334" max="3334" width="11.5" customWidth="1"/>
    <col min="3335" max="3335" width="11.625" customWidth="1"/>
    <col min="3336" max="3336" width="15.5" customWidth="1"/>
    <col min="3337" max="3337" width="18.75" customWidth="1"/>
    <col min="3338" max="3338" width="15.375" customWidth="1"/>
    <col min="3339" max="3339" width="15.125" customWidth="1"/>
    <col min="3341" max="3341" width="11" customWidth="1"/>
    <col min="3342" max="3342" width="10.625" customWidth="1"/>
    <col min="3343" max="3343" width="9.625" customWidth="1"/>
    <col min="3586" max="3586" width="7" customWidth="1"/>
    <col min="3587" max="3587" width="17.75" customWidth="1"/>
    <col min="3588" max="3588" width="10.875" customWidth="1"/>
    <col min="3589" max="3589" width="11.25" customWidth="1"/>
    <col min="3590" max="3590" width="11.5" customWidth="1"/>
    <col min="3591" max="3591" width="11.625" customWidth="1"/>
    <col min="3592" max="3592" width="15.5" customWidth="1"/>
    <col min="3593" max="3593" width="18.75" customWidth="1"/>
    <col min="3594" max="3594" width="15.375" customWidth="1"/>
    <col min="3595" max="3595" width="15.125" customWidth="1"/>
    <col min="3597" max="3597" width="11" customWidth="1"/>
    <col min="3598" max="3598" width="10.625" customWidth="1"/>
    <col min="3599" max="3599" width="9.625" customWidth="1"/>
    <col min="3842" max="3842" width="7" customWidth="1"/>
    <col min="3843" max="3843" width="17.75" customWidth="1"/>
    <col min="3844" max="3844" width="10.875" customWidth="1"/>
    <col min="3845" max="3845" width="11.25" customWidth="1"/>
    <col min="3846" max="3846" width="11.5" customWidth="1"/>
    <col min="3847" max="3847" width="11.625" customWidth="1"/>
    <col min="3848" max="3848" width="15.5" customWidth="1"/>
    <col min="3849" max="3849" width="18.75" customWidth="1"/>
    <col min="3850" max="3850" width="15.375" customWidth="1"/>
    <col min="3851" max="3851" width="15.125" customWidth="1"/>
    <col min="3853" max="3853" width="11" customWidth="1"/>
    <col min="3854" max="3854" width="10.625" customWidth="1"/>
    <col min="3855" max="3855" width="9.625" customWidth="1"/>
    <col min="4098" max="4098" width="7" customWidth="1"/>
    <col min="4099" max="4099" width="17.75" customWidth="1"/>
    <col min="4100" max="4100" width="10.875" customWidth="1"/>
    <col min="4101" max="4101" width="11.25" customWidth="1"/>
    <col min="4102" max="4102" width="11.5" customWidth="1"/>
    <col min="4103" max="4103" width="11.625" customWidth="1"/>
    <col min="4104" max="4104" width="15.5" customWidth="1"/>
    <col min="4105" max="4105" width="18.75" customWidth="1"/>
    <col min="4106" max="4106" width="15.375" customWidth="1"/>
    <col min="4107" max="4107" width="15.125" customWidth="1"/>
    <col min="4109" max="4109" width="11" customWidth="1"/>
    <col min="4110" max="4110" width="10.625" customWidth="1"/>
    <col min="4111" max="4111" width="9.625" customWidth="1"/>
    <col min="4354" max="4354" width="7" customWidth="1"/>
    <col min="4355" max="4355" width="17.75" customWidth="1"/>
    <col min="4356" max="4356" width="10.875" customWidth="1"/>
    <col min="4357" max="4357" width="11.25" customWidth="1"/>
    <col min="4358" max="4358" width="11.5" customWidth="1"/>
    <col min="4359" max="4359" width="11.625" customWidth="1"/>
    <col min="4360" max="4360" width="15.5" customWidth="1"/>
    <col min="4361" max="4361" width="18.75" customWidth="1"/>
    <col min="4362" max="4362" width="15.375" customWidth="1"/>
    <col min="4363" max="4363" width="15.125" customWidth="1"/>
    <col min="4365" max="4365" width="11" customWidth="1"/>
    <col min="4366" max="4366" width="10.625" customWidth="1"/>
    <col min="4367" max="4367" width="9.625" customWidth="1"/>
    <col min="4610" max="4610" width="7" customWidth="1"/>
    <col min="4611" max="4611" width="17.75" customWidth="1"/>
    <col min="4612" max="4612" width="10.875" customWidth="1"/>
    <col min="4613" max="4613" width="11.25" customWidth="1"/>
    <col min="4614" max="4614" width="11.5" customWidth="1"/>
    <col min="4615" max="4615" width="11.625" customWidth="1"/>
    <col min="4616" max="4616" width="15.5" customWidth="1"/>
    <col min="4617" max="4617" width="18.75" customWidth="1"/>
    <col min="4618" max="4618" width="15.375" customWidth="1"/>
    <col min="4619" max="4619" width="15.125" customWidth="1"/>
    <col min="4621" max="4621" width="11" customWidth="1"/>
    <col min="4622" max="4622" width="10.625" customWidth="1"/>
    <col min="4623" max="4623" width="9.625" customWidth="1"/>
    <col min="4866" max="4866" width="7" customWidth="1"/>
    <col min="4867" max="4867" width="17.75" customWidth="1"/>
    <col min="4868" max="4868" width="10.875" customWidth="1"/>
    <col min="4869" max="4869" width="11.25" customWidth="1"/>
    <col min="4870" max="4870" width="11.5" customWidth="1"/>
    <col min="4871" max="4871" width="11.625" customWidth="1"/>
    <col min="4872" max="4872" width="15.5" customWidth="1"/>
    <col min="4873" max="4873" width="18.75" customWidth="1"/>
    <col min="4874" max="4874" width="15.375" customWidth="1"/>
    <col min="4875" max="4875" width="15.125" customWidth="1"/>
    <col min="4877" max="4877" width="11" customWidth="1"/>
    <col min="4878" max="4878" width="10.625" customWidth="1"/>
    <col min="4879" max="4879" width="9.625" customWidth="1"/>
    <col min="5122" max="5122" width="7" customWidth="1"/>
    <col min="5123" max="5123" width="17.75" customWidth="1"/>
    <col min="5124" max="5124" width="10.875" customWidth="1"/>
    <col min="5125" max="5125" width="11.25" customWidth="1"/>
    <col min="5126" max="5126" width="11.5" customWidth="1"/>
    <col min="5127" max="5127" width="11.625" customWidth="1"/>
    <col min="5128" max="5128" width="15.5" customWidth="1"/>
    <col min="5129" max="5129" width="18.75" customWidth="1"/>
    <col min="5130" max="5130" width="15.375" customWidth="1"/>
    <col min="5131" max="5131" width="15.125" customWidth="1"/>
    <col min="5133" max="5133" width="11" customWidth="1"/>
    <col min="5134" max="5134" width="10.625" customWidth="1"/>
    <col min="5135" max="5135" width="9.625" customWidth="1"/>
    <col min="5378" max="5378" width="7" customWidth="1"/>
    <col min="5379" max="5379" width="17.75" customWidth="1"/>
    <col min="5380" max="5380" width="10.875" customWidth="1"/>
    <col min="5381" max="5381" width="11.25" customWidth="1"/>
    <col min="5382" max="5382" width="11.5" customWidth="1"/>
    <col min="5383" max="5383" width="11.625" customWidth="1"/>
    <col min="5384" max="5384" width="15.5" customWidth="1"/>
    <col min="5385" max="5385" width="18.75" customWidth="1"/>
    <col min="5386" max="5386" width="15.375" customWidth="1"/>
    <col min="5387" max="5387" width="15.125" customWidth="1"/>
    <col min="5389" max="5389" width="11" customWidth="1"/>
    <col min="5390" max="5390" width="10.625" customWidth="1"/>
    <col min="5391" max="5391" width="9.625" customWidth="1"/>
    <col min="5634" max="5634" width="7" customWidth="1"/>
    <col min="5635" max="5635" width="17.75" customWidth="1"/>
    <col min="5636" max="5636" width="10.875" customWidth="1"/>
    <col min="5637" max="5637" width="11.25" customWidth="1"/>
    <col min="5638" max="5638" width="11.5" customWidth="1"/>
    <col min="5639" max="5639" width="11.625" customWidth="1"/>
    <col min="5640" max="5640" width="15.5" customWidth="1"/>
    <col min="5641" max="5641" width="18.75" customWidth="1"/>
    <col min="5642" max="5642" width="15.375" customWidth="1"/>
    <col min="5643" max="5643" width="15.125" customWidth="1"/>
    <col min="5645" max="5645" width="11" customWidth="1"/>
    <col min="5646" max="5646" width="10.625" customWidth="1"/>
    <col min="5647" max="5647" width="9.625" customWidth="1"/>
    <col min="5890" max="5890" width="7" customWidth="1"/>
    <col min="5891" max="5891" width="17.75" customWidth="1"/>
    <col min="5892" max="5892" width="10.875" customWidth="1"/>
    <col min="5893" max="5893" width="11.25" customWidth="1"/>
    <col min="5894" max="5894" width="11.5" customWidth="1"/>
    <col min="5895" max="5895" width="11.625" customWidth="1"/>
    <col min="5896" max="5896" width="15.5" customWidth="1"/>
    <col min="5897" max="5897" width="18.75" customWidth="1"/>
    <col min="5898" max="5898" width="15.375" customWidth="1"/>
    <col min="5899" max="5899" width="15.125" customWidth="1"/>
    <col min="5901" max="5901" width="11" customWidth="1"/>
    <col min="5902" max="5902" width="10.625" customWidth="1"/>
    <col min="5903" max="5903" width="9.625" customWidth="1"/>
    <col min="6146" max="6146" width="7" customWidth="1"/>
    <col min="6147" max="6147" width="17.75" customWidth="1"/>
    <col min="6148" max="6148" width="10.875" customWidth="1"/>
    <col min="6149" max="6149" width="11.25" customWidth="1"/>
    <col min="6150" max="6150" width="11.5" customWidth="1"/>
    <col min="6151" max="6151" width="11.625" customWidth="1"/>
    <col min="6152" max="6152" width="15.5" customWidth="1"/>
    <col min="6153" max="6153" width="18.75" customWidth="1"/>
    <col min="6154" max="6154" width="15.375" customWidth="1"/>
    <col min="6155" max="6155" width="15.125" customWidth="1"/>
    <col min="6157" max="6157" width="11" customWidth="1"/>
    <col min="6158" max="6158" width="10.625" customWidth="1"/>
    <col min="6159" max="6159" width="9.625" customWidth="1"/>
    <col min="6402" max="6402" width="7" customWidth="1"/>
    <col min="6403" max="6403" width="17.75" customWidth="1"/>
    <col min="6404" max="6404" width="10.875" customWidth="1"/>
    <col min="6405" max="6405" width="11.25" customWidth="1"/>
    <col min="6406" max="6406" width="11.5" customWidth="1"/>
    <col min="6407" max="6407" width="11.625" customWidth="1"/>
    <col min="6408" max="6408" width="15.5" customWidth="1"/>
    <col min="6409" max="6409" width="18.75" customWidth="1"/>
    <col min="6410" max="6410" width="15.375" customWidth="1"/>
    <col min="6411" max="6411" width="15.125" customWidth="1"/>
    <col min="6413" max="6413" width="11" customWidth="1"/>
    <col min="6414" max="6414" width="10.625" customWidth="1"/>
    <col min="6415" max="6415" width="9.625" customWidth="1"/>
    <col min="6658" max="6658" width="7" customWidth="1"/>
    <col min="6659" max="6659" width="17.75" customWidth="1"/>
    <col min="6660" max="6660" width="10.875" customWidth="1"/>
    <col min="6661" max="6661" width="11.25" customWidth="1"/>
    <col min="6662" max="6662" width="11.5" customWidth="1"/>
    <col min="6663" max="6663" width="11.625" customWidth="1"/>
    <col min="6664" max="6664" width="15.5" customWidth="1"/>
    <col min="6665" max="6665" width="18.75" customWidth="1"/>
    <col min="6666" max="6666" width="15.375" customWidth="1"/>
    <col min="6667" max="6667" width="15.125" customWidth="1"/>
    <col min="6669" max="6669" width="11" customWidth="1"/>
    <col min="6670" max="6670" width="10.625" customWidth="1"/>
    <col min="6671" max="6671" width="9.625" customWidth="1"/>
    <col min="6914" max="6914" width="7" customWidth="1"/>
    <col min="6915" max="6915" width="17.75" customWidth="1"/>
    <col min="6916" max="6916" width="10.875" customWidth="1"/>
    <col min="6917" max="6917" width="11.25" customWidth="1"/>
    <col min="6918" max="6918" width="11.5" customWidth="1"/>
    <col min="6919" max="6919" width="11.625" customWidth="1"/>
    <col min="6920" max="6920" width="15.5" customWidth="1"/>
    <col min="6921" max="6921" width="18.75" customWidth="1"/>
    <col min="6922" max="6922" width="15.375" customWidth="1"/>
    <col min="6923" max="6923" width="15.125" customWidth="1"/>
    <col min="6925" max="6925" width="11" customWidth="1"/>
    <col min="6926" max="6926" width="10.625" customWidth="1"/>
    <col min="6927" max="6927" width="9.625" customWidth="1"/>
    <col min="7170" max="7170" width="7" customWidth="1"/>
    <col min="7171" max="7171" width="17.75" customWidth="1"/>
    <col min="7172" max="7172" width="10.875" customWidth="1"/>
    <col min="7173" max="7173" width="11.25" customWidth="1"/>
    <col min="7174" max="7174" width="11.5" customWidth="1"/>
    <col min="7175" max="7175" width="11.625" customWidth="1"/>
    <col min="7176" max="7176" width="15.5" customWidth="1"/>
    <col min="7177" max="7177" width="18.75" customWidth="1"/>
    <col min="7178" max="7178" width="15.375" customWidth="1"/>
    <col min="7179" max="7179" width="15.125" customWidth="1"/>
    <col min="7181" max="7181" width="11" customWidth="1"/>
    <col min="7182" max="7182" width="10.625" customWidth="1"/>
    <col min="7183" max="7183" width="9.625" customWidth="1"/>
    <col min="7426" max="7426" width="7" customWidth="1"/>
    <col min="7427" max="7427" width="17.75" customWidth="1"/>
    <col min="7428" max="7428" width="10.875" customWidth="1"/>
    <col min="7429" max="7429" width="11.25" customWidth="1"/>
    <col min="7430" max="7430" width="11.5" customWidth="1"/>
    <col min="7431" max="7431" width="11.625" customWidth="1"/>
    <col min="7432" max="7432" width="15.5" customWidth="1"/>
    <col min="7433" max="7433" width="18.75" customWidth="1"/>
    <col min="7434" max="7434" width="15.375" customWidth="1"/>
    <col min="7435" max="7435" width="15.125" customWidth="1"/>
    <col min="7437" max="7437" width="11" customWidth="1"/>
    <col min="7438" max="7438" width="10.625" customWidth="1"/>
    <col min="7439" max="7439" width="9.625" customWidth="1"/>
    <col min="7682" max="7682" width="7" customWidth="1"/>
    <col min="7683" max="7683" width="17.75" customWidth="1"/>
    <col min="7684" max="7684" width="10.875" customWidth="1"/>
    <col min="7685" max="7685" width="11.25" customWidth="1"/>
    <col min="7686" max="7686" width="11.5" customWidth="1"/>
    <col min="7687" max="7687" width="11.625" customWidth="1"/>
    <col min="7688" max="7688" width="15.5" customWidth="1"/>
    <col min="7689" max="7689" width="18.75" customWidth="1"/>
    <col min="7690" max="7690" width="15.375" customWidth="1"/>
    <col min="7691" max="7691" width="15.125" customWidth="1"/>
    <col min="7693" max="7693" width="11" customWidth="1"/>
    <col min="7694" max="7694" width="10.625" customWidth="1"/>
    <col min="7695" max="7695" width="9.625" customWidth="1"/>
    <col min="7938" max="7938" width="7" customWidth="1"/>
    <col min="7939" max="7939" width="17.75" customWidth="1"/>
    <col min="7940" max="7940" width="10.875" customWidth="1"/>
    <col min="7941" max="7941" width="11.25" customWidth="1"/>
    <col min="7942" max="7942" width="11.5" customWidth="1"/>
    <col min="7943" max="7943" width="11.625" customWidth="1"/>
    <col min="7944" max="7944" width="15.5" customWidth="1"/>
    <col min="7945" max="7945" width="18.75" customWidth="1"/>
    <col min="7946" max="7946" width="15.375" customWidth="1"/>
    <col min="7947" max="7947" width="15.125" customWidth="1"/>
    <col min="7949" max="7949" width="11" customWidth="1"/>
    <col min="7950" max="7950" width="10.625" customWidth="1"/>
    <col min="7951" max="7951" width="9.625" customWidth="1"/>
    <col min="8194" max="8194" width="7" customWidth="1"/>
    <col min="8195" max="8195" width="17.75" customWidth="1"/>
    <col min="8196" max="8196" width="10.875" customWidth="1"/>
    <col min="8197" max="8197" width="11.25" customWidth="1"/>
    <col min="8198" max="8198" width="11.5" customWidth="1"/>
    <col min="8199" max="8199" width="11.625" customWidth="1"/>
    <col min="8200" max="8200" width="15.5" customWidth="1"/>
    <col min="8201" max="8201" width="18.75" customWidth="1"/>
    <col min="8202" max="8202" width="15.375" customWidth="1"/>
    <col min="8203" max="8203" width="15.125" customWidth="1"/>
    <col min="8205" max="8205" width="11" customWidth="1"/>
    <col min="8206" max="8206" width="10.625" customWidth="1"/>
    <col min="8207" max="8207" width="9.625" customWidth="1"/>
    <col min="8450" max="8450" width="7" customWidth="1"/>
    <col min="8451" max="8451" width="17.75" customWidth="1"/>
    <col min="8452" max="8452" width="10.875" customWidth="1"/>
    <col min="8453" max="8453" width="11.25" customWidth="1"/>
    <col min="8454" max="8454" width="11.5" customWidth="1"/>
    <col min="8455" max="8455" width="11.625" customWidth="1"/>
    <col min="8456" max="8456" width="15.5" customWidth="1"/>
    <col min="8457" max="8457" width="18.75" customWidth="1"/>
    <col min="8458" max="8458" width="15.375" customWidth="1"/>
    <col min="8459" max="8459" width="15.125" customWidth="1"/>
    <col min="8461" max="8461" width="11" customWidth="1"/>
    <col min="8462" max="8462" width="10.625" customWidth="1"/>
    <col min="8463" max="8463" width="9.625" customWidth="1"/>
    <col min="8706" max="8706" width="7" customWidth="1"/>
    <col min="8707" max="8707" width="17.75" customWidth="1"/>
    <col min="8708" max="8708" width="10.875" customWidth="1"/>
    <col min="8709" max="8709" width="11.25" customWidth="1"/>
    <col min="8710" max="8710" width="11.5" customWidth="1"/>
    <col min="8711" max="8711" width="11.625" customWidth="1"/>
    <col min="8712" max="8712" width="15.5" customWidth="1"/>
    <col min="8713" max="8713" width="18.75" customWidth="1"/>
    <col min="8714" max="8714" width="15.375" customWidth="1"/>
    <col min="8715" max="8715" width="15.125" customWidth="1"/>
    <col min="8717" max="8717" width="11" customWidth="1"/>
    <col min="8718" max="8718" width="10.625" customWidth="1"/>
    <col min="8719" max="8719" width="9.625" customWidth="1"/>
    <col min="8962" max="8962" width="7" customWidth="1"/>
    <col min="8963" max="8963" width="17.75" customWidth="1"/>
    <col min="8964" max="8964" width="10.875" customWidth="1"/>
    <col min="8965" max="8965" width="11.25" customWidth="1"/>
    <col min="8966" max="8966" width="11.5" customWidth="1"/>
    <col min="8967" max="8967" width="11.625" customWidth="1"/>
    <col min="8968" max="8968" width="15.5" customWidth="1"/>
    <col min="8969" max="8969" width="18.75" customWidth="1"/>
    <col min="8970" max="8970" width="15.375" customWidth="1"/>
    <col min="8971" max="8971" width="15.125" customWidth="1"/>
    <col min="8973" max="8973" width="11" customWidth="1"/>
    <col min="8974" max="8974" width="10.625" customWidth="1"/>
    <col min="8975" max="8975" width="9.625" customWidth="1"/>
    <col min="9218" max="9218" width="7" customWidth="1"/>
    <col min="9219" max="9219" width="17.75" customWidth="1"/>
    <col min="9220" max="9220" width="10.875" customWidth="1"/>
    <col min="9221" max="9221" width="11.25" customWidth="1"/>
    <col min="9222" max="9222" width="11.5" customWidth="1"/>
    <col min="9223" max="9223" width="11.625" customWidth="1"/>
    <col min="9224" max="9224" width="15.5" customWidth="1"/>
    <col min="9225" max="9225" width="18.75" customWidth="1"/>
    <col min="9226" max="9226" width="15.375" customWidth="1"/>
    <col min="9227" max="9227" width="15.125" customWidth="1"/>
    <col min="9229" max="9229" width="11" customWidth="1"/>
    <col min="9230" max="9230" width="10.625" customWidth="1"/>
    <col min="9231" max="9231" width="9.625" customWidth="1"/>
    <col min="9474" max="9474" width="7" customWidth="1"/>
    <col min="9475" max="9475" width="17.75" customWidth="1"/>
    <col min="9476" max="9476" width="10.875" customWidth="1"/>
    <col min="9477" max="9477" width="11.25" customWidth="1"/>
    <col min="9478" max="9478" width="11.5" customWidth="1"/>
    <col min="9479" max="9479" width="11.625" customWidth="1"/>
    <col min="9480" max="9480" width="15.5" customWidth="1"/>
    <col min="9481" max="9481" width="18.75" customWidth="1"/>
    <col min="9482" max="9482" width="15.375" customWidth="1"/>
    <col min="9483" max="9483" width="15.125" customWidth="1"/>
    <col min="9485" max="9485" width="11" customWidth="1"/>
    <col min="9486" max="9486" width="10.625" customWidth="1"/>
    <col min="9487" max="9487" width="9.625" customWidth="1"/>
    <col min="9730" max="9730" width="7" customWidth="1"/>
    <col min="9731" max="9731" width="17.75" customWidth="1"/>
    <col min="9732" max="9732" width="10.875" customWidth="1"/>
    <col min="9733" max="9733" width="11.25" customWidth="1"/>
    <col min="9734" max="9734" width="11.5" customWidth="1"/>
    <col min="9735" max="9735" width="11.625" customWidth="1"/>
    <col min="9736" max="9736" width="15.5" customWidth="1"/>
    <col min="9737" max="9737" width="18.75" customWidth="1"/>
    <col min="9738" max="9738" width="15.375" customWidth="1"/>
    <col min="9739" max="9739" width="15.125" customWidth="1"/>
    <col min="9741" max="9741" width="11" customWidth="1"/>
    <col min="9742" max="9742" width="10.625" customWidth="1"/>
    <col min="9743" max="9743" width="9.625" customWidth="1"/>
    <col min="9986" max="9986" width="7" customWidth="1"/>
    <col min="9987" max="9987" width="17.75" customWidth="1"/>
    <col min="9988" max="9988" width="10.875" customWidth="1"/>
    <col min="9989" max="9989" width="11.25" customWidth="1"/>
    <col min="9990" max="9990" width="11.5" customWidth="1"/>
    <col min="9991" max="9991" width="11.625" customWidth="1"/>
    <col min="9992" max="9992" width="15.5" customWidth="1"/>
    <col min="9993" max="9993" width="18.75" customWidth="1"/>
    <col min="9994" max="9994" width="15.375" customWidth="1"/>
    <col min="9995" max="9995" width="15.125" customWidth="1"/>
    <col min="9997" max="9997" width="11" customWidth="1"/>
    <col min="9998" max="9998" width="10.625" customWidth="1"/>
    <col min="9999" max="9999" width="9.625" customWidth="1"/>
    <col min="10242" max="10242" width="7" customWidth="1"/>
    <col min="10243" max="10243" width="17.75" customWidth="1"/>
    <col min="10244" max="10244" width="10.875" customWidth="1"/>
    <col min="10245" max="10245" width="11.25" customWidth="1"/>
    <col min="10246" max="10246" width="11.5" customWidth="1"/>
    <col min="10247" max="10247" width="11.625" customWidth="1"/>
    <col min="10248" max="10248" width="15.5" customWidth="1"/>
    <col min="10249" max="10249" width="18.75" customWidth="1"/>
    <col min="10250" max="10250" width="15.375" customWidth="1"/>
    <col min="10251" max="10251" width="15.125" customWidth="1"/>
    <col min="10253" max="10253" width="11" customWidth="1"/>
    <col min="10254" max="10254" width="10.625" customWidth="1"/>
    <col min="10255" max="10255" width="9.625" customWidth="1"/>
    <col min="10498" max="10498" width="7" customWidth="1"/>
    <col min="10499" max="10499" width="17.75" customWidth="1"/>
    <col min="10500" max="10500" width="10.875" customWidth="1"/>
    <col min="10501" max="10501" width="11.25" customWidth="1"/>
    <col min="10502" max="10502" width="11.5" customWidth="1"/>
    <col min="10503" max="10503" width="11.625" customWidth="1"/>
    <col min="10504" max="10504" width="15.5" customWidth="1"/>
    <col min="10505" max="10505" width="18.75" customWidth="1"/>
    <col min="10506" max="10506" width="15.375" customWidth="1"/>
    <col min="10507" max="10507" width="15.125" customWidth="1"/>
    <col min="10509" max="10509" width="11" customWidth="1"/>
    <col min="10510" max="10510" width="10.625" customWidth="1"/>
    <col min="10511" max="10511" width="9.625" customWidth="1"/>
    <col min="10754" max="10754" width="7" customWidth="1"/>
    <col min="10755" max="10755" width="17.75" customWidth="1"/>
    <col min="10756" max="10756" width="10.875" customWidth="1"/>
    <col min="10757" max="10757" width="11.25" customWidth="1"/>
    <col min="10758" max="10758" width="11.5" customWidth="1"/>
    <col min="10759" max="10759" width="11.625" customWidth="1"/>
    <col min="10760" max="10760" width="15.5" customWidth="1"/>
    <col min="10761" max="10761" width="18.75" customWidth="1"/>
    <col min="10762" max="10762" width="15.375" customWidth="1"/>
    <col min="10763" max="10763" width="15.125" customWidth="1"/>
    <col min="10765" max="10765" width="11" customWidth="1"/>
    <col min="10766" max="10766" width="10.625" customWidth="1"/>
    <col min="10767" max="10767" width="9.625" customWidth="1"/>
    <col min="11010" max="11010" width="7" customWidth="1"/>
    <col min="11011" max="11011" width="17.75" customWidth="1"/>
    <col min="11012" max="11012" width="10.875" customWidth="1"/>
    <col min="11013" max="11013" width="11.25" customWidth="1"/>
    <col min="11014" max="11014" width="11.5" customWidth="1"/>
    <col min="11015" max="11015" width="11.625" customWidth="1"/>
    <col min="11016" max="11016" width="15.5" customWidth="1"/>
    <col min="11017" max="11017" width="18.75" customWidth="1"/>
    <col min="11018" max="11018" width="15.375" customWidth="1"/>
    <col min="11019" max="11019" width="15.125" customWidth="1"/>
    <col min="11021" max="11021" width="11" customWidth="1"/>
    <col min="11022" max="11022" width="10.625" customWidth="1"/>
    <col min="11023" max="11023" width="9.625" customWidth="1"/>
    <col min="11266" max="11266" width="7" customWidth="1"/>
    <col min="11267" max="11267" width="17.75" customWidth="1"/>
    <col min="11268" max="11268" width="10.875" customWidth="1"/>
    <col min="11269" max="11269" width="11.25" customWidth="1"/>
    <col min="11270" max="11270" width="11.5" customWidth="1"/>
    <col min="11271" max="11271" width="11.625" customWidth="1"/>
    <col min="11272" max="11272" width="15.5" customWidth="1"/>
    <col min="11273" max="11273" width="18.75" customWidth="1"/>
    <col min="11274" max="11274" width="15.375" customWidth="1"/>
    <col min="11275" max="11275" width="15.125" customWidth="1"/>
    <col min="11277" max="11277" width="11" customWidth="1"/>
    <col min="11278" max="11278" width="10.625" customWidth="1"/>
    <col min="11279" max="11279" width="9.625" customWidth="1"/>
    <col min="11522" max="11522" width="7" customWidth="1"/>
    <col min="11523" max="11523" width="17.75" customWidth="1"/>
    <col min="11524" max="11524" width="10.875" customWidth="1"/>
    <col min="11525" max="11525" width="11.25" customWidth="1"/>
    <col min="11526" max="11526" width="11.5" customWidth="1"/>
    <col min="11527" max="11527" width="11.625" customWidth="1"/>
    <col min="11528" max="11528" width="15.5" customWidth="1"/>
    <col min="11529" max="11529" width="18.75" customWidth="1"/>
    <col min="11530" max="11530" width="15.375" customWidth="1"/>
    <col min="11531" max="11531" width="15.125" customWidth="1"/>
    <col min="11533" max="11533" width="11" customWidth="1"/>
    <col min="11534" max="11534" width="10.625" customWidth="1"/>
    <col min="11535" max="11535" width="9.625" customWidth="1"/>
    <col min="11778" max="11778" width="7" customWidth="1"/>
    <col min="11779" max="11779" width="17.75" customWidth="1"/>
    <col min="11780" max="11780" width="10.875" customWidth="1"/>
    <col min="11781" max="11781" width="11.25" customWidth="1"/>
    <col min="11782" max="11782" width="11.5" customWidth="1"/>
    <col min="11783" max="11783" width="11.625" customWidth="1"/>
    <col min="11784" max="11784" width="15.5" customWidth="1"/>
    <col min="11785" max="11785" width="18.75" customWidth="1"/>
    <col min="11786" max="11786" width="15.375" customWidth="1"/>
    <col min="11787" max="11787" width="15.125" customWidth="1"/>
    <col min="11789" max="11789" width="11" customWidth="1"/>
    <col min="11790" max="11790" width="10.625" customWidth="1"/>
    <col min="11791" max="11791" width="9.625" customWidth="1"/>
    <col min="12034" max="12034" width="7" customWidth="1"/>
    <col min="12035" max="12035" width="17.75" customWidth="1"/>
    <col min="12036" max="12036" width="10.875" customWidth="1"/>
    <col min="12037" max="12037" width="11.25" customWidth="1"/>
    <col min="12038" max="12038" width="11.5" customWidth="1"/>
    <col min="12039" max="12039" width="11.625" customWidth="1"/>
    <col min="12040" max="12040" width="15.5" customWidth="1"/>
    <col min="12041" max="12041" width="18.75" customWidth="1"/>
    <col min="12042" max="12042" width="15.375" customWidth="1"/>
    <col min="12043" max="12043" width="15.125" customWidth="1"/>
    <col min="12045" max="12045" width="11" customWidth="1"/>
    <col min="12046" max="12046" width="10.625" customWidth="1"/>
    <col min="12047" max="12047" width="9.625" customWidth="1"/>
    <col min="12290" max="12290" width="7" customWidth="1"/>
    <col min="12291" max="12291" width="17.75" customWidth="1"/>
    <col min="12292" max="12292" width="10.875" customWidth="1"/>
    <col min="12293" max="12293" width="11.25" customWidth="1"/>
    <col min="12294" max="12294" width="11.5" customWidth="1"/>
    <col min="12295" max="12295" width="11.625" customWidth="1"/>
    <col min="12296" max="12296" width="15.5" customWidth="1"/>
    <col min="12297" max="12297" width="18.75" customWidth="1"/>
    <col min="12298" max="12298" width="15.375" customWidth="1"/>
    <col min="12299" max="12299" width="15.125" customWidth="1"/>
    <col min="12301" max="12301" width="11" customWidth="1"/>
    <col min="12302" max="12302" width="10.625" customWidth="1"/>
    <col min="12303" max="12303" width="9.625" customWidth="1"/>
    <col min="12546" max="12546" width="7" customWidth="1"/>
    <col min="12547" max="12547" width="17.75" customWidth="1"/>
    <col min="12548" max="12548" width="10.875" customWidth="1"/>
    <col min="12549" max="12549" width="11.25" customWidth="1"/>
    <col min="12550" max="12550" width="11.5" customWidth="1"/>
    <col min="12551" max="12551" width="11.625" customWidth="1"/>
    <col min="12552" max="12552" width="15.5" customWidth="1"/>
    <col min="12553" max="12553" width="18.75" customWidth="1"/>
    <col min="12554" max="12554" width="15.375" customWidth="1"/>
    <col min="12555" max="12555" width="15.125" customWidth="1"/>
    <col min="12557" max="12557" width="11" customWidth="1"/>
    <col min="12558" max="12558" width="10.625" customWidth="1"/>
    <col min="12559" max="12559" width="9.625" customWidth="1"/>
    <col min="12802" max="12802" width="7" customWidth="1"/>
    <col min="12803" max="12803" width="17.75" customWidth="1"/>
    <col min="12804" max="12804" width="10.875" customWidth="1"/>
    <col min="12805" max="12805" width="11.25" customWidth="1"/>
    <col min="12806" max="12806" width="11.5" customWidth="1"/>
    <col min="12807" max="12807" width="11.625" customWidth="1"/>
    <col min="12808" max="12808" width="15.5" customWidth="1"/>
    <col min="12809" max="12809" width="18.75" customWidth="1"/>
    <col min="12810" max="12810" width="15.375" customWidth="1"/>
    <col min="12811" max="12811" width="15.125" customWidth="1"/>
    <col min="12813" max="12813" width="11" customWidth="1"/>
    <col min="12814" max="12814" width="10.625" customWidth="1"/>
    <col min="12815" max="12815" width="9.625" customWidth="1"/>
    <col min="13058" max="13058" width="7" customWidth="1"/>
    <col min="13059" max="13059" width="17.75" customWidth="1"/>
    <col min="13060" max="13060" width="10.875" customWidth="1"/>
    <col min="13061" max="13061" width="11.25" customWidth="1"/>
    <col min="13062" max="13062" width="11.5" customWidth="1"/>
    <col min="13063" max="13063" width="11.625" customWidth="1"/>
    <col min="13064" max="13064" width="15.5" customWidth="1"/>
    <col min="13065" max="13065" width="18.75" customWidth="1"/>
    <col min="13066" max="13066" width="15.375" customWidth="1"/>
    <col min="13067" max="13067" width="15.125" customWidth="1"/>
    <col min="13069" max="13069" width="11" customWidth="1"/>
    <col min="13070" max="13070" width="10.625" customWidth="1"/>
    <col min="13071" max="13071" width="9.625" customWidth="1"/>
    <col min="13314" max="13314" width="7" customWidth="1"/>
    <col min="13315" max="13315" width="17.75" customWidth="1"/>
    <col min="13316" max="13316" width="10.875" customWidth="1"/>
    <col min="13317" max="13317" width="11.25" customWidth="1"/>
    <col min="13318" max="13318" width="11.5" customWidth="1"/>
    <col min="13319" max="13319" width="11.625" customWidth="1"/>
    <col min="13320" max="13320" width="15.5" customWidth="1"/>
    <col min="13321" max="13321" width="18.75" customWidth="1"/>
    <col min="13322" max="13322" width="15.375" customWidth="1"/>
    <col min="13323" max="13323" width="15.125" customWidth="1"/>
    <col min="13325" max="13325" width="11" customWidth="1"/>
    <col min="13326" max="13326" width="10.625" customWidth="1"/>
    <col min="13327" max="13327" width="9.625" customWidth="1"/>
    <col min="13570" max="13570" width="7" customWidth="1"/>
    <col min="13571" max="13571" width="17.75" customWidth="1"/>
    <col min="13572" max="13572" width="10.875" customWidth="1"/>
    <col min="13573" max="13573" width="11.25" customWidth="1"/>
    <col min="13574" max="13574" width="11.5" customWidth="1"/>
    <col min="13575" max="13575" width="11.625" customWidth="1"/>
    <col min="13576" max="13576" width="15.5" customWidth="1"/>
    <col min="13577" max="13577" width="18.75" customWidth="1"/>
    <col min="13578" max="13578" width="15.375" customWidth="1"/>
    <col min="13579" max="13579" width="15.125" customWidth="1"/>
    <col min="13581" max="13581" width="11" customWidth="1"/>
    <col min="13582" max="13582" width="10.625" customWidth="1"/>
    <col min="13583" max="13583" width="9.625" customWidth="1"/>
    <col min="13826" max="13826" width="7" customWidth="1"/>
    <col min="13827" max="13827" width="17.75" customWidth="1"/>
    <col min="13828" max="13828" width="10.875" customWidth="1"/>
    <col min="13829" max="13829" width="11.25" customWidth="1"/>
    <col min="13830" max="13830" width="11.5" customWidth="1"/>
    <col min="13831" max="13831" width="11.625" customWidth="1"/>
    <col min="13832" max="13832" width="15.5" customWidth="1"/>
    <col min="13833" max="13833" width="18.75" customWidth="1"/>
    <col min="13834" max="13834" width="15.375" customWidth="1"/>
    <col min="13835" max="13835" width="15.125" customWidth="1"/>
    <col min="13837" max="13837" width="11" customWidth="1"/>
    <col min="13838" max="13838" width="10.625" customWidth="1"/>
    <col min="13839" max="13839" width="9.625" customWidth="1"/>
    <col min="14082" max="14082" width="7" customWidth="1"/>
    <col min="14083" max="14083" width="17.75" customWidth="1"/>
    <col min="14084" max="14084" width="10.875" customWidth="1"/>
    <col min="14085" max="14085" width="11.25" customWidth="1"/>
    <col min="14086" max="14086" width="11.5" customWidth="1"/>
    <col min="14087" max="14087" width="11.625" customWidth="1"/>
    <col min="14088" max="14088" width="15.5" customWidth="1"/>
    <col min="14089" max="14089" width="18.75" customWidth="1"/>
    <col min="14090" max="14090" width="15.375" customWidth="1"/>
    <col min="14091" max="14091" width="15.125" customWidth="1"/>
    <col min="14093" max="14093" width="11" customWidth="1"/>
    <col min="14094" max="14094" width="10.625" customWidth="1"/>
    <col min="14095" max="14095" width="9.625" customWidth="1"/>
    <col min="14338" max="14338" width="7" customWidth="1"/>
    <col min="14339" max="14339" width="17.75" customWidth="1"/>
    <col min="14340" max="14340" width="10.875" customWidth="1"/>
    <col min="14341" max="14341" width="11.25" customWidth="1"/>
    <col min="14342" max="14342" width="11.5" customWidth="1"/>
    <col min="14343" max="14343" width="11.625" customWidth="1"/>
    <col min="14344" max="14344" width="15.5" customWidth="1"/>
    <col min="14345" max="14345" width="18.75" customWidth="1"/>
    <col min="14346" max="14346" width="15.375" customWidth="1"/>
    <col min="14347" max="14347" width="15.125" customWidth="1"/>
    <col min="14349" max="14349" width="11" customWidth="1"/>
    <col min="14350" max="14350" width="10.625" customWidth="1"/>
    <col min="14351" max="14351" width="9.625" customWidth="1"/>
    <col min="14594" max="14594" width="7" customWidth="1"/>
    <col min="14595" max="14595" width="17.75" customWidth="1"/>
    <col min="14596" max="14596" width="10.875" customWidth="1"/>
    <col min="14597" max="14597" width="11.25" customWidth="1"/>
    <col min="14598" max="14598" width="11.5" customWidth="1"/>
    <col min="14599" max="14599" width="11.625" customWidth="1"/>
    <col min="14600" max="14600" width="15.5" customWidth="1"/>
    <col min="14601" max="14601" width="18.75" customWidth="1"/>
    <col min="14602" max="14602" width="15.375" customWidth="1"/>
    <col min="14603" max="14603" width="15.125" customWidth="1"/>
    <col min="14605" max="14605" width="11" customWidth="1"/>
    <col min="14606" max="14606" width="10.625" customWidth="1"/>
    <col min="14607" max="14607" width="9.625" customWidth="1"/>
    <col min="14850" max="14850" width="7" customWidth="1"/>
    <col min="14851" max="14851" width="17.75" customWidth="1"/>
    <col min="14852" max="14852" width="10.875" customWidth="1"/>
    <col min="14853" max="14853" width="11.25" customWidth="1"/>
    <col min="14854" max="14854" width="11.5" customWidth="1"/>
    <col min="14855" max="14855" width="11.625" customWidth="1"/>
    <col min="14856" max="14856" width="15.5" customWidth="1"/>
    <col min="14857" max="14857" width="18.75" customWidth="1"/>
    <col min="14858" max="14858" width="15.375" customWidth="1"/>
    <col min="14859" max="14859" width="15.125" customWidth="1"/>
    <col min="14861" max="14861" width="11" customWidth="1"/>
    <col min="14862" max="14862" width="10.625" customWidth="1"/>
    <col min="14863" max="14863" width="9.625" customWidth="1"/>
    <col min="15106" max="15106" width="7" customWidth="1"/>
    <col min="15107" max="15107" width="17.75" customWidth="1"/>
    <col min="15108" max="15108" width="10.875" customWidth="1"/>
    <col min="15109" max="15109" width="11.25" customWidth="1"/>
    <col min="15110" max="15110" width="11.5" customWidth="1"/>
    <col min="15111" max="15111" width="11.625" customWidth="1"/>
    <col min="15112" max="15112" width="15.5" customWidth="1"/>
    <col min="15113" max="15113" width="18.75" customWidth="1"/>
    <col min="15114" max="15114" width="15.375" customWidth="1"/>
    <col min="15115" max="15115" width="15.125" customWidth="1"/>
    <col min="15117" max="15117" width="11" customWidth="1"/>
    <col min="15118" max="15118" width="10.625" customWidth="1"/>
    <col min="15119" max="15119" width="9.625" customWidth="1"/>
    <col min="15362" max="15362" width="7" customWidth="1"/>
    <col min="15363" max="15363" width="17.75" customWidth="1"/>
    <col min="15364" max="15364" width="10.875" customWidth="1"/>
    <col min="15365" max="15365" width="11.25" customWidth="1"/>
    <col min="15366" max="15366" width="11.5" customWidth="1"/>
    <col min="15367" max="15367" width="11.625" customWidth="1"/>
    <col min="15368" max="15368" width="15.5" customWidth="1"/>
    <col min="15369" max="15369" width="18.75" customWidth="1"/>
    <col min="15370" max="15370" width="15.375" customWidth="1"/>
    <col min="15371" max="15371" width="15.125" customWidth="1"/>
    <col min="15373" max="15373" width="11" customWidth="1"/>
    <col min="15374" max="15374" width="10.625" customWidth="1"/>
    <col min="15375" max="15375" width="9.625" customWidth="1"/>
    <col min="15618" max="15618" width="7" customWidth="1"/>
    <col min="15619" max="15619" width="17.75" customWidth="1"/>
    <col min="15620" max="15620" width="10.875" customWidth="1"/>
    <col min="15621" max="15621" width="11.25" customWidth="1"/>
    <col min="15622" max="15622" width="11.5" customWidth="1"/>
    <col min="15623" max="15623" width="11.625" customWidth="1"/>
    <col min="15624" max="15624" width="15.5" customWidth="1"/>
    <col min="15625" max="15625" width="18.75" customWidth="1"/>
    <col min="15626" max="15626" width="15.375" customWidth="1"/>
    <col min="15627" max="15627" width="15.125" customWidth="1"/>
    <col min="15629" max="15629" width="11" customWidth="1"/>
    <col min="15630" max="15630" width="10.625" customWidth="1"/>
    <col min="15631" max="15631" width="9.625" customWidth="1"/>
    <col min="15874" max="15874" width="7" customWidth="1"/>
    <col min="15875" max="15875" width="17.75" customWidth="1"/>
    <col min="15876" max="15876" width="10.875" customWidth="1"/>
    <col min="15877" max="15877" width="11.25" customWidth="1"/>
    <col min="15878" max="15878" width="11.5" customWidth="1"/>
    <col min="15879" max="15879" width="11.625" customWidth="1"/>
    <col min="15880" max="15880" width="15.5" customWidth="1"/>
    <col min="15881" max="15881" width="18.75" customWidth="1"/>
    <col min="15882" max="15882" width="15.375" customWidth="1"/>
    <col min="15883" max="15883" width="15.125" customWidth="1"/>
    <col min="15885" max="15885" width="11" customWidth="1"/>
    <col min="15886" max="15886" width="10.625" customWidth="1"/>
    <col min="15887" max="15887" width="9.625" customWidth="1"/>
    <col min="16130" max="16130" width="7" customWidth="1"/>
    <col min="16131" max="16131" width="17.75" customWidth="1"/>
    <col min="16132" max="16132" width="10.875" customWidth="1"/>
    <col min="16133" max="16133" width="11.25" customWidth="1"/>
    <col min="16134" max="16134" width="11.5" customWidth="1"/>
    <col min="16135" max="16135" width="11.625" customWidth="1"/>
    <col min="16136" max="16136" width="15.5" customWidth="1"/>
    <col min="16137" max="16137" width="18.75" customWidth="1"/>
    <col min="16138" max="16138" width="15.375" customWidth="1"/>
    <col min="16139" max="16139" width="15.125" customWidth="1"/>
    <col min="16141" max="16141" width="11" customWidth="1"/>
    <col min="16142" max="16142" width="10.625" customWidth="1"/>
    <col min="16143" max="16143" width="9.625" customWidth="1"/>
  </cols>
  <sheetData>
    <row r="1" spans="1:15" ht="20.25" x14ac:dyDescent="0.3">
      <c r="A1" s="214"/>
      <c r="B1" s="214"/>
      <c r="C1" s="214"/>
      <c r="D1" s="214"/>
      <c r="E1" s="214"/>
      <c r="F1" s="214"/>
      <c r="G1" s="280" t="s">
        <v>0</v>
      </c>
      <c r="H1" s="214"/>
      <c r="I1" s="214"/>
      <c r="J1" s="214"/>
      <c r="K1" s="214"/>
      <c r="L1" s="214"/>
      <c r="M1" s="214"/>
      <c r="N1" s="214" t="s">
        <v>1</v>
      </c>
      <c r="O1" s="214"/>
    </row>
    <row r="2" spans="1:15" ht="18" x14ac:dyDescent="0.25">
      <c r="A2" s="214"/>
      <c r="B2" s="214"/>
      <c r="C2" s="214"/>
      <c r="D2" s="214"/>
      <c r="E2" s="214"/>
      <c r="F2" s="214"/>
      <c r="G2" s="331"/>
      <c r="H2" s="214"/>
      <c r="I2" s="214"/>
      <c r="J2" s="214"/>
      <c r="K2" s="214"/>
      <c r="L2" s="214"/>
      <c r="M2" s="214"/>
      <c r="N2" s="214"/>
      <c r="O2" s="214"/>
    </row>
    <row r="3" spans="1:15" ht="18" x14ac:dyDescent="0.25">
      <c r="A3" s="512" t="s">
        <v>2</v>
      </c>
      <c r="B3" s="512"/>
      <c r="C3" s="331" t="s">
        <v>38</v>
      </c>
      <c r="D3" s="214"/>
      <c r="E3" s="214"/>
      <c r="F3" s="214"/>
      <c r="G3" s="331"/>
      <c r="H3" s="214"/>
      <c r="I3" s="214"/>
      <c r="J3" s="214"/>
      <c r="K3" s="214"/>
      <c r="L3" s="214"/>
      <c r="M3" s="214"/>
      <c r="N3" s="214"/>
      <c r="O3" s="214"/>
    </row>
    <row r="4" spans="1:15" ht="18" x14ac:dyDescent="0.25">
      <c r="A4" s="512" t="s">
        <v>3</v>
      </c>
      <c r="B4" s="512"/>
      <c r="C4" s="331" t="s">
        <v>40</v>
      </c>
      <c r="D4" s="214"/>
      <c r="E4" s="214"/>
      <c r="F4" s="214"/>
      <c r="G4" s="331"/>
      <c r="H4" s="214"/>
      <c r="I4" s="214"/>
      <c r="J4" s="214"/>
      <c r="K4" s="214"/>
      <c r="L4" s="214"/>
      <c r="M4" s="214"/>
      <c r="N4" s="214"/>
      <c r="O4" s="214"/>
    </row>
    <row r="5" spans="1:15" ht="18" x14ac:dyDescent="0.25">
      <c r="A5" s="512" t="s">
        <v>4</v>
      </c>
      <c r="B5" s="512"/>
      <c r="C5" s="331" t="s">
        <v>41</v>
      </c>
      <c r="D5" s="214"/>
      <c r="E5" s="214"/>
      <c r="F5" s="214"/>
      <c r="G5" s="331"/>
      <c r="H5" s="214"/>
      <c r="I5" s="214"/>
      <c r="J5" s="214"/>
      <c r="K5" s="214"/>
      <c r="L5" s="214"/>
      <c r="M5" s="214"/>
      <c r="N5" s="214"/>
      <c r="O5" s="214"/>
    </row>
    <row r="6" spans="1:15" ht="18" x14ac:dyDescent="0.25">
      <c r="A6" s="512" t="s">
        <v>5</v>
      </c>
      <c r="B6" s="512"/>
      <c r="C6" s="331" t="s">
        <v>212</v>
      </c>
      <c r="D6" s="214"/>
      <c r="E6" s="214"/>
      <c r="F6" s="214"/>
      <c r="G6" s="331"/>
      <c r="H6" s="214"/>
      <c r="I6" s="214"/>
      <c r="J6" s="214"/>
      <c r="K6" s="214"/>
      <c r="L6" s="214"/>
      <c r="M6" s="214"/>
      <c r="N6" s="214"/>
      <c r="O6" s="214"/>
    </row>
    <row r="7" spans="1:15" ht="18" x14ac:dyDescent="0.25">
      <c r="A7" s="331"/>
      <c r="B7" s="331"/>
      <c r="C7" s="331"/>
      <c r="D7" s="214"/>
      <c r="E7" s="214"/>
      <c r="F7" s="214"/>
      <c r="G7" s="214"/>
      <c r="H7" s="214"/>
      <c r="I7" s="214"/>
      <c r="J7" s="214"/>
      <c r="K7" s="214"/>
      <c r="L7" s="214"/>
      <c r="M7" s="214"/>
      <c r="N7" s="214"/>
      <c r="O7" s="214"/>
    </row>
    <row r="8" spans="1:15" ht="18" x14ac:dyDescent="0.25">
      <c r="A8" s="331" t="s">
        <v>6</v>
      </c>
      <c r="B8" s="331"/>
      <c r="C8" s="331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</row>
    <row r="9" spans="1:15" ht="18" customHeight="1" x14ac:dyDescent="0.25">
      <c r="A9" s="317" t="s">
        <v>7</v>
      </c>
      <c r="B9" s="500" t="s">
        <v>8</v>
      </c>
      <c r="C9" s="500"/>
      <c r="D9" s="317" t="s">
        <v>9</v>
      </c>
      <c r="E9" s="317" t="s">
        <v>10</v>
      </c>
      <c r="F9" s="489" t="s">
        <v>11</v>
      </c>
      <c r="G9" s="489" t="s">
        <v>12</v>
      </c>
      <c r="H9" s="317" t="s">
        <v>13</v>
      </c>
      <c r="I9" s="317"/>
      <c r="J9" s="317" t="s">
        <v>15</v>
      </c>
      <c r="K9" s="317" t="s">
        <v>16</v>
      </c>
      <c r="L9" s="494" t="s">
        <v>17</v>
      </c>
      <c r="M9" s="494"/>
      <c r="N9" s="494"/>
      <c r="O9" s="317" t="s">
        <v>18</v>
      </c>
    </row>
    <row r="10" spans="1:15" ht="18" customHeight="1" x14ac:dyDescent="0.25">
      <c r="A10" s="490" t="s">
        <v>19</v>
      </c>
      <c r="B10" s="495" t="s">
        <v>20</v>
      </c>
      <c r="C10" s="496"/>
      <c r="D10" s="490" t="s">
        <v>21</v>
      </c>
      <c r="E10" s="490" t="s">
        <v>22</v>
      </c>
      <c r="F10" s="490"/>
      <c r="G10" s="490"/>
      <c r="H10" s="319" t="s">
        <v>23</v>
      </c>
      <c r="I10" s="319" t="s">
        <v>544</v>
      </c>
      <c r="J10" s="319" t="s">
        <v>24</v>
      </c>
      <c r="K10" s="319" t="s">
        <v>25</v>
      </c>
      <c r="L10" s="319" t="s">
        <v>26</v>
      </c>
      <c r="M10" s="319" t="s">
        <v>27</v>
      </c>
      <c r="N10" s="319" t="s">
        <v>28</v>
      </c>
      <c r="O10" s="481" t="s">
        <v>29</v>
      </c>
    </row>
    <row r="11" spans="1:15" ht="18" customHeight="1" x14ac:dyDescent="0.25">
      <c r="A11" s="491"/>
      <c r="B11" s="497"/>
      <c r="C11" s="498"/>
      <c r="D11" s="491"/>
      <c r="E11" s="491"/>
      <c r="F11" s="491"/>
      <c r="G11" s="491"/>
      <c r="H11" s="318" t="s">
        <v>30</v>
      </c>
      <c r="I11" s="318"/>
      <c r="J11" s="318" t="s">
        <v>31</v>
      </c>
      <c r="K11" s="318" t="s">
        <v>32</v>
      </c>
      <c r="L11" s="318" t="s">
        <v>33</v>
      </c>
      <c r="M11" s="318" t="s">
        <v>34</v>
      </c>
      <c r="N11" s="318" t="s">
        <v>35</v>
      </c>
      <c r="O11" s="482"/>
    </row>
    <row r="12" spans="1:15" ht="18" customHeight="1" x14ac:dyDescent="0.25">
      <c r="A12" s="263">
        <v>1</v>
      </c>
      <c r="B12" s="483">
        <v>2</v>
      </c>
      <c r="C12" s="484"/>
      <c r="D12" s="315">
        <v>3</v>
      </c>
      <c r="E12" s="315">
        <v>4</v>
      </c>
      <c r="F12" s="316">
        <v>5</v>
      </c>
      <c r="G12" s="316">
        <v>6</v>
      </c>
      <c r="H12" s="319">
        <v>7</v>
      </c>
      <c r="I12" s="319">
        <v>8</v>
      </c>
      <c r="J12" s="319">
        <v>9</v>
      </c>
      <c r="K12" s="319">
        <v>10</v>
      </c>
      <c r="L12" s="319">
        <v>11</v>
      </c>
      <c r="M12" s="319">
        <v>12</v>
      </c>
      <c r="N12" s="319">
        <v>13</v>
      </c>
      <c r="O12" s="315">
        <v>14</v>
      </c>
    </row>
    <row r="13" spans="1:15" ht="36" customHeight="1" x14ac:dyDescent="0.25">
      <c r="A13" s="266">
        <v>1</v>
      </c>
      <c r="B13" s="487" t="s">
        <v>99</v>
      </c>
      <c r="C13" s="488"/>
      <c r="D13" s="346" t="s">
        <v>216</v>
      </c>
      <c r="E13" s="347"/>
      <c r="F13" s="347"/>
      <c r="G13" s="273" t="s">
        <v>56</v>
      </c>
      <c r="H13" s="273">
        <v>2014</v>
      </c>
      <c r="I13" s="273" t="s">
        <v>101</v>
      </c>
      <c r="J13" s="274" t="s">
        <v>200</v>
      </c>
      <c r="K13" s="341">
        <v>3669674</v>
      </c>
      <c r="L13" s="273" t="s">
        <v>26</v>
      </c>
      <c r="M13" s="347"/>
      <c r="N13" s="347"/>
      <c r="O13" s="347"/>
    </row>
    <row r="14" spans="1:15" ht="36" customHeight="1" x14ac:dyDescent="0.25">
      <c r="A14" s="266">
        <f>A13+1</f>
        <v>2</v>
      </c>
      <c r="B14" s="487" t="s">
        <v>104</v>
      </c>
      <c r="C14" s="488"/>
      <c r="D14" s="271" t="s">
        <v>109</v>
      </c>
      <c r="E14" s="347"/>
      <c r="F14" s="347"/>
      <c r="G14" s="340" t="s">
        <v>56</v>
      </c>
      <c r="H14" s="273">
        <v>2014</v>
      </c>
      <c r="I14" s="273" t="s">
        <v>105</v>
      </c>
      <c r="J14" s="274" t="s">
        <v>60</v>
      </c>
      <c r="K14" s="341">
        <v>3292652</v>
      </c>
      <c r="L14" s="273" t="s">
        <v>26</v>
      </c>
      <c r="M14" s="347"/>
      <c r="N14" s="348"/>
      <c r="O14" s="347"/>
    </row>
    <row r="15" spans="1:15" ht="56.25" customHeight="1" x14ac:dyDescent="0.25">
      <c r="A15" s="374">
        <f t="shared" ref="A15:A21" si="0">A14+1</f>
        <v>3</v>
      </c>
      <c r="B15" s="509" t="s">
        <v>94</v>
      </c>
      <c r="C15" s="510"/>
      <c r="D15" s="402" t="s">
        <v>95</v>
      </c>
      <c r="E15" s="379"/>
      <c r="F15" s="379"/>
      <c r="G15" s="374"/>
      <c r="H15" s="374">
        <v>2018</v>
      </c>
      <c r="I15" s="374" t="s">
        <v>96</v>
      </c>
      <c r="J15" s="377" t="s">
        <v>67</v>
      </c>
      <c r="K15" s="382">
        <v>333232</v>
      </c>
      <c r="L15" s="374" t="s">
        <v>26</v>
      </c>
      <c r="M15" s="379"/>
      <c r="N15" s="379"/>
      <c r="O15" s="414" t="s">
        <v>566</v>
      </c>
    </row>
    <row r="16" spans="1:15" ht="36" customHeight="1" x14ac:dyDescent="0.25">
      <c r="A16" s="426">
        <f t="shared" si="0"/>
        <v>4</v>
      </c>
      <c r="B16" s="532" t="s">
        <v>52</v>
      </c>
      <c r="C16" s="533"/>
      <c r="D16" s="437" t="s">
        <v>425</v>
      </c>
      <c r="E16" s="438"/>
      <c r="F16" s="438"/>
      <c r="G16" s="426" t="s">
        <v>50</v>
      </c>
      <c r="H16" s="426">
        <v>2013</v>
      </c>
      <c r="I16" s="426" t="s">
        <v>53</v>
      </c>
      <c r="J16" s="439" t="s">
        <v>58</v>
      </c>
      <c r="K16" s="440">
        <v>4150000</v>
      </c>
      <c r="L16" s="426" t="s">
        <v>26</v>
      </c>
      <c r="M16" s="438"/>
      <c r="N16" s="438"/>
      <c r="O16" s="441" t="s">
        <v>570</v>
      </c>
    </row>
    <row r="17" spans="1:15" ht="18" customHeight="1" x14ac:dyDescent="0.25">
      <c r="A17" s="266">
        <f t="shared" si="0"/>
        <v>5</v>
      </c>
      <c r="B17" s="487" t="s">
        <v>61</v>
      </c>
      <c r="C17" s="488"/>
      <c r="D17" s="349" t="s">
        <v>217</v>
      </c>
      <c r="E17" s="347"/>
      <c r="F17" s="347"/>
      <c r="G17" s="273" t="s">
        <v>50</v>
      </c>
      <c r="H17" s="273">
        <v>2010</v>
      </c>
      <c r="I17" s="273" t="s">
        <v>62</v>
      </c>
      <c r="J17" s="274" t="s">
        <v>145</v>
      </c>
      <c r="K17" s="341">
        <v>320000</v>
      </c>
      <c r="L17" s="273" t="s">
        <v>26</v>
      </c>
      <c r="M17" s="350"/>
      <c r="N17" s="347"/>
      <c r="O17" s="347"/>
    </row>
    <row r="18" spans="1:15" ht="55.5" customHeight="1" x14ac:dyDescent="0.25">
      <c r="A18" s="398">
        <f t="shared" si="0"/>
        <v>6</v>
      </c>
      <c r="B18" s="530" t="s">
        <v>133</v>
      </c>
      <c r="C18" s="531"/>
      <c r="D18" s="401" t="s">
        <v>138</v>
      </c>
      <c r="E18" s="399"/>
      <c r="F18" s="399"/>
      <c r="G18" s="433" t="s">
        <v>50</v>
      </c>
      <c r="H18" s="398">
        <v>2015</v>
      </c>
      <c r="I18" s="398" t="s">
        <v>136</v>
      </c>
      <c r="J18" s="400" t="s">
        <v>83</v>
      </c>
      <c r="K18" s="434">
        <v>6026316</v>
      </c>
      <c r="L18" s="398" t="s">
        <v>26</v>
      </c>
      <c r="M18" s="399"/>
      <c r="N18" s="435"/>
      <c r="O18" s="436" t="s">
        <v>569</v>
      </c>
    </row>
    <row r="19" spans="1:15" ht="18" customHeight="1" x14ac:dyDescent="0.25">
      <c r="A19" s="266">
        <f t="shared" si="0"/>
        <v>7</v>
      </c>
      <c r="B19" s="487" t="s">
        <v>84</v>
      </c>
      <c r="C19" s="488"/>
      <c r="D19" s="346" t="s">
        <v>168</v>
      </c>
      <c r="E19" s="347"/>
      <c r="F19" s="347"/>
      <c r="G19" s="273" t="s">
        <v>50</v>
      </c>
      <c r="H19" s="273">
        <v>2016</v>
      </c>
      <c r="I19" s="273" t="s">
        <v>92</v>
      </c>
      <c r="J19" s="274" t="s">
        <v>215</v>
      </c>
      <c r="K19" s="341">
        <v>3142612</v>
      </c>
      <c r="L19" s="273" t="s">
        <v>26</v>
      </c>
      <c r="M19" s="347"/>
      <c r="N19" s="347"/>
      <c r="O19" s="347"/>
    </row>
    <row r="20" spans="1:15" ht="54" customHeight="1" x14ac:dyDescent="0.25">
      <c r="A20" s="266">
        <f t="shared" si="0"/>
        <v>8</v>
      </c>
      <c r="B20" s="487" t="s">
        <v>175</v>
      </c>
      <c r="C20" s="488"/>
      <c r="D20" s="271" t="s">
        <v>213</v>
      </c>
      <c r="E20" s="347"/>
      <c r="F20" s="347"/>
      <c r="G20" s="273" t="s">
        <v>214</v>
      </c>
      <c r="H20" s="273">
        <v>2014</v>
      </c>
      <c r="I20" s="273" t="s">
        <v>177</v>
      </c>
      <c r="J20" s="274" t="s">
        <v>107</v>
      </c>
      <c r="K20" s="341">
        <v>5126984</v>
      </c>
      <c r="L20" s="273" t="s">
        <v>26</v>
      </c>
      <c r="M20" s="347"/>
      <c r="N20" s="347"/>
      <c r="O20" s="271"/>
    </row>
    <row r="21" spans="1:15" ht="36" customHeight="1" x14ac:dyDescent="0.25">
      <c r="A21" s="266">
        <f t="shared" si="0"/>
        <v>9</v>
      </c>
      <c r="B21" s="487" t="s">
        <v>146</v>
      </c>
      <c r="C21" s="488"/>
      <c r="D21" s="346" t="s">
        <v>426</v>
      </c>
      <c r="E21" s="347"/>
      <c r="F21" s="347"/>
      <c r="G21" s="273" t="s">
        <v>50</v>
      </c>
      <c r="H21" s="273">
        <v>2010</v>
      </c>
      <c r="I21" s="273" t="s">
        <v>147</v>
      </c>
      <c r="J21" s="274" t="s">
        <v>74</v>
      </c>
      <c r="K21" s="341">
        <v>942500</v>
      </c>
      <c r="L21" s="273" t="s">
        <v>26</v>
      </c>
      <c r="M21" s="347"/>
      <c r="N21" s="347"/>
      <c r="O21" s="347"/>
    </row>
    <row r="22" spans="1:15" ht="36" customHeight="1" x14ac:dyDescent="0.25">
      <c r="A22" s="266">
        <v>10</v>
      </c>
      <c r="B22" s="372" t="s">
        <v>122</v>
      </c>
      <c r="C22" s="373"/>
      <c r="D22" s="423" t="s">
        <v>95</v>
      </c>
      <c r="E22" s="347"/>
      <c r="F22" s="347"/>
      <c r="G22" s="273" t="s">
        <v>56</v>
      </c>
      <c r="H22" s="273">
        <v>2020</v>
      </c>
      <c r="I22" s="273" t="s">
        <v>190</v>
      </c>
      <c r="J22" s="274" t="s">
        <v>43</v>
      </c>
      <c r="K22" s="341">
        <v>315616</v>
      </c>
      <c r="L22" s="273" t="s">
        <v>26</v>
      </c>
      <c r="M22" s="347"/>
      <c r="N22" s="347"/>
      <c r="O22" s="347"/>
    </row>
    <row r="23" spans="1:15" ht="36" customHeight="1" x14ac:dyDescent="0.25">
      <c r="A23" s="266">
        <v>10</v>
      </c>
      <c r="B23" s="372" t="s">
        <v>122</v>
      </c>
      <c r="C23" s="373"/>
      <c r="D23" s="423" t="s">
        <v>95</v>
      </c>
      <c r="E23" s="347"/>
      <c r="F23" s="347"/>
      <c r="G23" s="273" t="s">
        <v>56</v>
      </c>
      <c r="H23" s="273">
        <v>2020</v>
      </c>
      <c r="I23" s="273" t="s">
        <v>190</v>
      </c>
      <c r="J23" s="274" t="s">
        <v>303</v>
      </c>
      <c r="K23" s="341">
        <v>315616</v>
      </c>
      <c r="L23" s="273" t="s">
        <v>26</v>
      </c>
      <c r="M23" s="347"/>
      <c r="N23" s="347"/>
      <c r="O23" s="347"/>
    </row>
    <row r="24" spans="1:15" ht="36" customHeight="1" x14ac:dyDescent="0.25">
      <c r="A24" s="266">
        <v>11</v>
      </c>
      <c r="B24" s="487" t="s">
        <v>85</v>
      </c>
      <c r="C24" s="488"/>
      <c r="D24" s="346"/>
      <c r="E24" s="347"/>
      <c r="F24" s="347"/>
      <c r="G24" s="273"/>
      <c r="H24" s="273"/>
      <c r="I24" s="273"/>
      <c r="J24" s="274"/>
      <c r="K24" s="341"/>
      <c r="L24" s="273"/>
      <c r="M24" s="347"/>
      <c r="N24" s="347"/>
      <c r="O24" s="347"/>
    </row>
    <row r="25" spans="1:15" ht="18" x14ac:dyDescent="0.25">
      <c r="A25" s="351"/>
      <c r="B25" s="352"/>
      <c r="C25" s="352"/>
      <c r="D25" s="352"/>
      <c r="E25" s="352"/>
      <c r="F25" s="352"/>
      <c r="G25" s="352"/>
      <c r="H25" s="352"/>
      <c r="I25" s="352"/>
      <c r="J25" s="352"/>
      <c r="K25" s="352"/>
      <c r="L25" s="352"/>
      <c r="M25" s="352"/>
      <c r="N25" s="352"/>
      <c r="O25" s="352"/>
    </row>
    <row r="26" spans="1:15" ht="18" x14ac:dyDescent="0.25">
      <c r="A26" s="214"/>
      <c r="B26" s="214"/>
      <c r="C26" s="277" t="s">
        <v>36</v>
      </c>
      <c r="D26" s="214"/>
      <c r="E26" s="214"/>
      <c r="F26" s="214"/>
      <c r="G26" s="214"/>
      <c r="H26" s="214"/>
      <c r="I26" s="214"/>
      <c r="J26" s="214"/>
      <c r="K26" s="214"/>
      <c r="L26" s="277" t="s">
        <v>581</v>
      </c>
      <c r="M26" s="214"/>
      <c r="N26" s="214"/>
      <c r="O26" s="214"/>
    </row>
    <row r="27" spans="1:15" ht="18" x14ac:dyDescent="0.25">
      <c r="A27" s="214"/>
      <c r="B27" s="214"/>
      <c r="C27" s="5" t="s">
        <v>572</v>
      </c>
      <c r="D27" s="214"/>
      <c r="E27" s="214"/>
      <c r="F27" s="214"/>
      <c r="G27" s="214"/>
      <c r="H27" s="214"/>
      <c r="I27" s="214"/>
      <c r="J27" s="214"/>
      <c r="K27" s="214"/>
      <c r="L27" s="5" t="s">
        <v>580</v>
      </c>
      <c r="M27" s="214"/>
      <c r="N27" s="214"/>
      <c r="O27" s="214"/>
    </row>
    <row r="28" spans="1:15" ht="18" x14ac:dyDescent="0.25">
      <c r="A28" s="214"/>
      <c r="B28" s="214"/>
      <c r="C28" s="5"/>
      <c r="D28" s="214"/>
      <c r="E28" s="214"/>
      <c r="F28" s="214"/>
      <c r="G28" s="214"/>
      <c r="H28" s="214"/>
      <c r="I28" s="214"/>
      <c r="J28" s="214"/>
      <c r="K28" s="214"/>
      <c r="L28" s="5"/>
      <c r="M28" s="214"/>
      <c r="N28" s="214"/>
      <c r="O28" s="214"/>
    </row>
    <row r="29" spans="1:15" ht="18" x14ac:dyDescent="0.25">
      <c r="A29" s="214"/>
      <c r="B29" s="214"/>
      <c r="C29" s="5"/>
      <c r="D29" s="214"/>
      <c r="E29" s="214"/>
      <c r="F29" s="214"/>
      <c r="G29" s="214"/>
      <c r="H29" s="214"/>
      <c r="I29" s="214"/>
      <c r="J29" s="214"/>
      <c r="K29" s="214"/>
      <c r="L29" s="5"/>
      <c r="M29" s="214"/>
      <c r="N29" s="214"/>
      <c r="O29" s="214"/>
    </row>
    <row r="30" spans="1:15" ht="18" x14ac:dyDescent="0.25">
      <c r="A30" s="214"/>
      <c r="B30" s="214"/>
      <c r="C30" s="5"/>
      <c r="D30" s="214"/>
      <c r="E30" s="214"/>
      <c r="F30" s="214"/>
      <c r="G30" s="214"/>
      <c r="H30" s="214"/>
      <c r="I30" s="214"/>
      <c r="J30" s="214"/>
      <c r="K30" s="214"/>
      <c r="L30" s="5"/>
      <c r="M30" s="214"/>
      <c r="N30" s="214"/>
      <c r="O30" s="214"/>
    </row>
    <row r="31" spans="1:15" ht="18" x14ac:dyDescent="0.25">
      <c r="A31" s="214"/>
      <c r="B31" s="214"/>
      <c r="C31" s="6" t="s">
        <v>573</v>
      </c>
      <c r="D31" s="214"/>
      <c r="E31" s="214"/>
      <c r="F31" s="214"/>
      <c r="G31" s="214"/>
      <c r="H31" s="214"/>
      <c r="I31" s="214"/>
      <c r="J31" s="214"/>
      <c r="K31" s="214"/>
      <c r="L31" s="6" t="s">
        <v>576</v>
      </c>
      <c r="M31" s="214"/>
      <c r="N31" s="214"/>
      <c r="O31" s="214"/>
    </row>
    <row r="32" spans="1:15" ht="18" x14ac:dyDescent="0.25">
      <c r="A32" s="214"/>
      <c r="B32" s="214"/>
      <c r="C32" s="5" t="s">
        <v>39</v>
      </c>
      <c r="D32" s="214"/>
      <c r="E32" s="214"/>
      <c r="F32" s="214"/>
      <c r="G32" s="214"/>
      <c r="H32" s="214"/>
      <c r="I32" s="214"/>
      <c r="J32" s="214"/>
      <c r="K32" s="214"/>
      <c r="L32" s="23" t="str">
        <f>'RUANG KABID IDEOLOGI'!L30</f>
        <v>NIP. 19721124 200604 2 005</v>
      </c>
      <c r="M32" s="214"/>
      <c r="N32" s="214"/>
      <c r="O32" s="214"/>
    </row>
    <row r="33" spans="1:15" ht="18" x14ac:dyDescent="0.25">
      <c r="A33" s="214"/>
      <c r="B33" s="214"/>
      <c r="C33" s="23" t="s">
        <v>574</v>
      </c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</row>
    <row r="34" spans="1:15" x14ac:dyDescent="0.25">
      <c r="K34" s="24"/>
    </row>
    <row r="35" spans="1:15" x14ac:dyDescent="0.25">
      <c r="B35" s="21"/>
      <c r="K35" s="25"/>
    </row>
    <row r="36" spans="1:15" x14ac:dyDescent="0.25">
      <c r="B36" s="22"/>
    </row>
    <row r="37" spans="1:15" x14ac:dyDescent="0.25">
      <c r="B37" s="22"/>
    </row>
  </sheetData>
  <mergeCells count="24">
    <mergeCell ref="A3:B3"/>
    <mergeCell ref="A4:B4"/>
    <mergeCell ref="A5:B5"/>
    <mergeCell ref="A6:B6"/>
    <mergeCell ref="B9:C9"/>
    <mergeCell ref="A10:A11"/>
    <mergeCell ref="B10:C11"/>
    <mergeCell ref="D10:D11"/>
    <mergeCell ref="E10:E11"/>
    <mergeCell ref="F9:F11"/>
    <mergeCell ref="B24:C24"/>
    <mergeCell ref="O10:O11"/>
    <mergeCell ref="B12:C12"/>
    <mergeCell ref="B20:C20"/>
    <mergeCell ref="B21:C21"/>
    <mergeCell ref="B19:C19"/>
    <mergeCell ref="B17:C17"/>
    <mergeCell ref="B15:C15"/>
    <mergeCell ref="B14:C14"/>
    <mergeCell ref="B18:C18"/>
    <mergeCell ref="B16:C16"/>
    <mergeCell ref="B13:C13"/>
    <mergeCell ref="G9:G11"/>
    <mergeCell ref="L9:N9"/>
  </mergeCells>
  <printOptions horizontalCentered="1"/>
  <pageMargins left="0.11811023622047245" right="0.35433070866141736" top="0.19685039370078741" bottom="0.15748031496062992" header="0" footer="0"/>
  <pageSetup paperSize="5" scale="70" orientation="landscape" horizontalDpi="4294967293" verticalDpi="180" r:id="rId1"/>
  <headerFooter alignWithMargins="0">
    <oddFooter>&amp;L&amp;9&amp;F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33"/>
  <sheetViews>
    <sheetView view="pageBreakPreview" topLeftCell="A14" zoomScaleNormal="55" workbookViewId="0">
      <selection activeCell="N32" sqref="N32"/>
    </sheetView>
  </sheetViews>
  <sheetFormatPr defaultRowHeight="15.75" x14ac:dyDescent="0.25"/>
  <cols>
    <col min="1" max="1" width="5.875" customWidth="1"/>
    <col min="2" max="2" width="7" customWidth="1"/>
    <col min="3" max="3" width="24.5" customWidth="1"/>
    <col min="4" max="4" width="13.25" customWidth="1"/>
    <col min="5" max="5" width="9.625" customWidth="1"/>
    <col min="6" max="6" width="11.5" customWidth="1"/>
    <col min="7" max="7" width="15.5" customWidth="1"/>
    <col min="8" max="8" width="18.125" customWidth="1"/>
    <col min="9" max="9" width="20.125" customWidth="1"/>
    <col min="10" max="10" width="13.375" customWidth="1"/>
    <col min="11" max="11" width="14.25" customWidth="1"/>
    <col min="12" max="12" width="6.625" customWidth="1"/>
    <col min="13" max="13" width="14.5" customWidth="1"/>
    <col min="14" max="14" width="14.875" customWidth="1"/>
    <col min="15" max="15" width="13.375" customWidth="1"/>
    <col min="258" max="258" width="7" customWidth="1"/>
    <col min="259" max="259" width="17.75" customWidth="1"/>
    <col min="260" max="260" width="10.875" customWidth="1"/>
    <col min="261" max="261" width="11.25" customWidth="1"/>
    <col min="262" max="262" width="11.5" customWidth="1"/>
    <col min="263" max="263" width="11.625" customWidth="1"/>
    <col min="264" max="264" width="15.5" customWidth="1"/>
    <col min="265" max="265" width="18.75" customWidth="1"/>
    <col min="266" max="266" width="15.375" customWidth="1"/>
    <col min="267" max="267" width="15.125" customWidth="1"/>
    <col min="269" max="269" width="11" customWidth="1"/>
    <col min="270" max="270" width="10.625" customWidth="1"/>
    <col min="271" max="271" width="9.625" customWidth="1"/>
    <col min="514" max="514" width="7" customWidth="1"/>
    <col min="515" max="515" width="17.75" customWidth="1"/>
    <col min="516" max="516" width="10.875" customWidth="1"/>
    <col min="517" max="517" width="11.25" customWidth="1"/>
    <col min="518" max="518" width="11.5" customWidth="1"/>
    <col min="519" max="519" width="11.625" customWidth="1"/>
    <col min="520" max="520" width="15.5" customWidth="1"/>
    <col min="521" max="521" width="18.75" customWidth="1"/>
    <col min="522" max="522" width="15.375" customWidth="1"/>
    <col min="523" max="523" width="15.125" customWidth="1"/>
    <col min="525" max="525" width="11" customWidth="1"/>
    <col min="526" max="526" width="10.625" customWidth="1"/>
    <col min="527" max="527" width="9.625" customWidth="1"/>
    <col min="770" max="770" width="7" customWidth="1"/>
    <col min="771" max="771" width="17.75" customWidth="1"/>
    <col min="772" max="772" width="10.875" customWidth="1"/>
    <col min="773" max="773" width="11.25" customWidth="1"/>
    <col min="774" max="774" width="11.5" customWidth="1"/>
    <col min="775" max="775" width="11.625" customWidth="1"/>
    <col min="776" max="776" width="15.5" customWidth="1"/>
    <col min="777" max="777" width="18.75" customWidth="1"/>
    <col min="778" max="778" width="15.375" customWidth="1"/>
    <col min="779" max="779" width="15.125" customWidth="1"/>
    <col min="781" max="781" width="11" customWidth="1"/>
    <col min="782" max="782" width="10.625" customWidth="1"/>
    <col min="783" max="783" width="9.625" customWidth="1"/>
    <col min="1026" max="1026" width="7" customWidth="1"/>
    <col min="1027" max="1027" width="17.75" customWidth="1"/>
    <col min="1028" max="1028" width="10.875" customWidth="1"/>
    <col min="1029" max="1029" width="11.25" customWidth="1"/>
    <col min="1030" max="1030" width="11.5" customWidth="1"/>
    <col min="1031" max="1031" width="11.625" customWidth="1"/>
    <col min="1032" max="1032" width="15.5" customWidth="1"/>
    <col min="1033" max="1033" width="18.75" customWidth="1"/>
    <col min="1034" max="1034" width="15.375" customWidth="1"/>
    <col min="1035" max="1035" width="15.125" customWidth="1"/>
    <col min="1037" max="1037" width="11" customWidth="1"/>
    <col min="1038" max="1038" width="10.625" customWidth="1"/>
    <col min="1039" max="1039" width="9.625" customWidth="1"/>
    <col min="1282" max="1282" width="7" customWidth="1"/>
    <col min="1283" max="1283" width="17.75" customWidth="1"/>
    <col min="1284" max="1284" width="10.875" customWidth="1"/>
    <col min="1285" max="1285" width="11.25" customWidth="1"/>
    <col min="1286" max="1286" width="11.5" customWidth="1"/>
    <col min="1287" max="1287" width="11.625" customWidth="1"/>
    <col min="1288" max="1288" width="15.5" customWidth="1"/>
    <col min="1289" max="1289" width="18.75" customWidth="1"/>
    <col min="1290" max="1290" width="15.375" customWidth="1"/>
    <col min="1291" max="1291" width="15.125" customWidth="1"/>
    <col min="1293" max="1293" width="11" customWidth="1"/>
    <col min="1294" max="1294" width="10.625" customWidth="1"/>
    <col min="1295" max="1295" width="9.625" customWidth="1"/>
    <col min="1538" max="1538" width="7" customWidth="1"/>
    <col min="1539" max="1539" width="17.75" customWidth="1"/>
    <col min="1540" max="1540" width="10.875" customWidth="1"/>
    <col min="1541" max="1541" width="11.25" customWidth="1"/>
    <col min="1542" max="1542" width="11.5" customWidth="1"/>
    <col min="1543" max="1543" width="11.625" customWidth="1"/>
    <col min="1544" max="1544" width="15.5" customWidth="1"/>
    <col min="1545" max="1545" width="18.75" customWidth="1"/>
    <col min="1546" max="1546" width="15.375" customWidth="1"/>
    <col min="1547" max="1547" width="15.125" customWidth="1"/>
    <col min="1549" max="1549" width="11" customWidth="1"/>
    <col min="1550" max="1550" width="10.625" customWidth="1"/>
    <col min="1551" max="1551" width="9.625" customWidth="1"/>
    <col min="1794" max="1794" width="7" customWidth="1"/>
    <col min="1795" max="1795" width="17.75" customWidth="1"/>
    <col min="1796" max="1796" width="10.875" customWidth="1"/>
    <col min="1797" max="1797" width="11.25" customWidth="1"/>
    <col min="1798" max="1798" width="11.5" customWidth="1"/>
    <col min="1799" max="1799" width="11.625" customWidth="1"/>
    <col min="1800" max="1800" width="15.5" customWidth="1"/>
    <col min="1801" max="1801" width="18.75" customWidth="1"/>
    <col min="1802" max="1802" width="15.375" customWidth="1"/>
    <col min="1803" max="1803" width="15.125" customWidth="1"/>
    <col min="1805" max="1805" width="11" customWidth="1"/>
    <col min="1806" max="1806" width="10.625" customWidth="1"/>
    <col min="1807" max="1807" width="9.625" customWidth="1"/>
    <col min="2050" max="2050" width="7" customWidth="1"/>
    <col min="2051" max="2051" width="17.75" customWidth="1"/>
    <col min="2052" max="2052" width="10.875" customWidth="1"/>
    <col min="2053" max="2053" width="11.25" customWidth="1"/>
    <col min="2054" max="2054" width="11.5" customWidth="1"/>
    <col min="2055" max="2055" width="11.625" customWidth="1"/>
    <col min="2056" max="2056" width="15.5" customWidth="1"/>
    <col min="2057" max="2057" width="18.75" customWidth="1"/>
    <col min="2058" max="2058" width="15.375" customWidth="1"/>
    <col min="2059" max="2059" width="15.125" customWidth="1"/>
    <col min="2061" max="2061" width="11" customWidth="1"/>
    <col min="2062" max="2062" width="10.625" customWidth="1"/>
    <col min="2063" max="2063" width="9.625" customWidth="1"/>
    <col min="2306" max="2306" width="7" customWidth="1"/>
    <col min="2307" max="2307" width="17.75" customWidth="1"/>
    <col min="2308" max="2308" width="10.875" customWidth="1"/>
    <col min="2309" max="2309" width="11.25" customWidth="1"/>
    <col min="2310" max="2310" width="11.5" customWidth="1"/>
    <col min="2311" max="2311" width="11.625" customWidth="1"/>
    <col min="2312" max="2312" width="15.5" customWidth="1"/>
    <col min="2313" max="2313" width="18.75" customWidth="1"/>
    <col min="2314" max="2314" width="15.375" customWidth="1"/>
    <col min="2315" max="2315" width="15.125" customWidth="1"/>
    <col min="2317" max="2317" width="11" customWidth="1"/>
    <col min="2318" max="2318" width="10.625" customWidth="1"/>
    <col min="2319" max="2319" width="9.625" customWidth="1"/>
    <col min="2562" max="2562" width="7" customWidth="1"/>
    <col min="2563" max="2563" width="17.75" customWidth="1"/>
    <col min="2564" max="2564" width="10.875" customWidth="1"/>
    <col min="2565" max="2565" width="11.25" customWidth="1"/>
    <col min="2566" max="2566" width="11.5" customWidth="1"/>
    <col min="2567" max="2567" width="11.625" customWidth="1"/>
    <col min="2568" max="2568" width="15.5" customWidth="1"/>
    <col min="2569" max="2569" width="18.75" customWidth="1"/>
    <col min="2570" max="2570" width="15.375" customWidth="1"/>
    <col min="2571" max="2571" width="15.125" customWidth="1"/>
    <col min="2573" max="2573" width="11" customWidth="1"/>
    <col min="2574" max="2574" width="10.625" customWidth="1"/>
    <col min="2575" max="2575" width="9.625" customWidth="1"/>
    <col min="2818" max="2818" width="7" customWidth="1"/>
    <col min="2819" max="2819" width="17.75" customWidth="1"/>
    <col min="2820" max="2820" width="10.875" customWidth="1"/>
    <col min="2821" max="2821" width="11.25" customWidth="1"/>
    <col min="2822" max="2822" width="11.5" customWidth="1"/>
    <col min="2823" max="2823" width="11.625" customWidth="1"/>
    <col min="2824" max="2824" width="15.5" customWidth="1"/>
    <col min="2825" max="2825" width="18.75" customWidth="1"/>
    <col min="2826" max="2826" width="15.375" customWidth="1"/>
    <col min="2827" max="2827" width="15.125" customWidth="1"/>
    <col min="2829" max="2829" width="11" customWidth="1"/>
    <col min="2830" max="2830" width="10.625" customWidth="1"/>
    <col min="2831" max="2831" width="9.625" customWidth="1"/>
    <col min="3074" max="3074" width="7" customWidth="1"/>
    <col min="3075" max="3075" width="17.75" customWidth="1"/>
    <col min="3076" max="3076" width="10.875" customWidth="1"/>
    <col min="3077" max="3077" width="11.25" customWidth="1"/>
    <col min="3078" max="3078" width="11.5" customWidth="1"/>
    <col min="3079" max="3079" width="11.625" customWidth="1"/>
    <col min="3080" max="3080" width="15.5" customWidth="1"/>
    <col min="3081" max="3081" width="18.75" customWidth="1"/>
    <col min="3082" max="3082" width="15.375" customWidth="1"/>
    <col min="3083" max="3083" width="15.125" customWidth="1"/>
    <col min="3085" max="3085" width="11" customWidth="1"/>
    <col min="3086" max="3086" width="10.625" customWidth="1"/>
    <col min="3087" max="3087" width="9.625" customWidth="1"/>
    <col min="3330" max="3330" width="7" customWidth="1"/>
    <col min="3331" max="3331" width="17.75" customWidth="1"/>
    <col min="3332" max="3332" width="10.875" customWidth="1"/>
    <col min="3333" max="3333" width="11.25" customWidth="1"/>
    <col min="3334" max="3334" width="11.5" customWidth="1"/>
    <col min="3335" max="3335" width="11.625" customWidth="1"/>
    <col min="3336" max="3336" width="15.5" customWidth="1"/>
    <col min="3337" max="3337" width="18.75" customWidth="1"/>
    <col min="3338" max="3338" width="15.375" customWidth="1"/>
    <col min="3339" max="3339" width="15.125" customWidth="1"/>
    <col min="3341" max="3341" width="11" customWidth="1"/>
    <col min="3342" max="3342" width="10.625" customWidth="1"/>
    <col min="3343" max="3343" width="9.625" customWidth="1"/>
    <col min="3586" max="3586" width="7" customWidth="1"/>
    <col min="3587" max="3587" width="17.75" customWidth="1"/>
    <col min="3588" max="3588" width="10.875" customWidth="1"/>
    <col min="3589" max="3589" width="11.25" customWidth="1"/>
    <col min="3590" max="3590" width="11.5" customWidth="1"/>
    <col min="3591" max="3591" width="11.625" customWidth="1"/>
    <col min="3592" max="3592" width="15.5" customWidth="1"/>
    <col min="3593" max="3593" width="18.75" customWidth="1"/>
    <col min="3594" max="3594" width="15.375" customWidth="1"/>
    <col min="3595" max="3595" width="15.125" customWidth="1"/>
    <col min="3597" max="3597" width="11" customWidth="1"/>
    <col min="3598" max="3598" width="10.625" customWidth="1"/>
    <col min="3599" max="3599" width="9.625" customWidth="1"/>
    <col min="3842" max="3842" width="7" customWidth="1"/>
    <col min="3843" max="3843" width="17.75" customWidth="1"/>
    <col min="3844" max="3844" width="10.875" customWidth="1"/>
    <col min="3845" max="3845" width="11.25" customWidth="1"/>
    <col min="3846" max="3846" width="11.5" customWidth="1"/>
    <col min="3847" max="3847" width="11.625" customWidth="1"/>
    <col min="3848" max="3848" width="15.5" customWidth="1"/>
    <col min="3849" max="3849" width="18.75" customWidth="1"/>
    <col min="3850" max="3850" width="15.375" customWidth="1"/>
    <col min="3851" max="3851" width="15.125" customWidth="1"/>
    <col min="3853" max="3853" width="11" customWidth="1"/>
    <col min="3854" max="3854" width="10.625" customWidth="1"/>
    <col min="3855" max="3855" width="9.625" customWidth="1"/>
    <col min="4098" max="4098" width="7" customWidth="1"/>
    <col min="4099" max="4099" width="17.75" customWidth="1"/>
    <col min="4100" max="4100" width="10.875" customWidth="1"/>
    <col min="4101" max="4101" width="11.25" customWidth="1"/>
    <col min="4102" max="4102" width="11.5" customWidth="1"/>
    <col min="4103" max="4103" width="11.625" customWidth="1"/>
    <col min="4104" max="4104" width="15.5" customWidth="1"/>
    <col min="4105" max="4105" width="18.75" customWidth="1"/>
    <col min="4106" max="4106" width="15.375" customWidth="1"/>
    <col min="4107" max="4107" width="15.125" customWidth="1"/>
    <col min="4109" max="4109" width="11" customWidth="1"/>
    <col min="4110" max="4110" width="10.625" customWidth="1"/>
    <col min="4111" max="4111" width="9.625" customWidth="1"/>
    <col min="4354" max="4354" width="7" customWidth="1"/>
    <col min="4355" max="4355" width="17.75" customWidth="1"/>
    <col min="4356" max="4356" width="10.875" customWidth="1"/>
    <col min="4357" max="4357" width="11.25" customWidth="1"/>
    <col min="4358" max="4358" width="11.5" customWidth="1"/>
    <col min="4359" max="4359" width="11.625" customWidth="1"/>
    <col min="4360" max="4360" width="15.5" customWidth="1"/>
    <col min="4361" max="4361" width="18.75" customWidth="1"/>
    <col min="4362" max="4362" width="15.375" customWidth="1"/>
    <col min="4363" max="4363" width="15.125" customWidth="1"/>
    <col min="4365" max="4365" width="11" customWidth="1"/>
    <col min="4366" max="4366" width="10.625" customWidth="1"/>
    <col min="4367" max="4367" width="9.625" customWidth="1"/>
    <col min="4610" max="4610" width="7" customWidth="1"/>
    <col min="4611" max="4611" width="17.75" customWidth="1"/>
    <col min="4612" max="4612" width="10.875" customWidth="1"/>
    <col min="4613" max="4613" width="11.25" customWidth="1"/>
    <col min="4614" max="4614" width="11.5" customWidth="1"/>
    <col min="4615" max="4615" width="11.625" customWidth="1"/>
    <col min="4616" max="4616" width="15.5" customWidth="1"/>
    <col min="4617" max="4617" width="18.75" customWidth="1"/>
    <col min="4618" max="4618" width="15.375" customWidth="1"/>
    <col min="4619" max="4619" width="15.125" customWidth="1"/>
    <col min="4621" max="4621" width="11" customWidth="1"/>
    <col min="4622" max="4622" width="10.625" customWidth="1"/>
    <col min="4623" max="4623" width="9.625" customWidth="1"/>
    <col min="4866" max="4866" width="7" customWidth="1"/>
    <col min="4867" max="4867" width="17.75" customWidth="1"/>
    <col min="4868" max="4868" width="10.875" customWidth="1"/>
    <col min="4869" max="4869" width="11.25" customWidth="1"/>
    <col min="4870" max="4870" width="11.5" customWidth="1"/>
    <col min="4871" max="4871" width="11.625" customWidth="1"/>
    <col min="4872" max="4872" width="15.5" customWidth="1"/>
    <col min="4873" max="4873" width="18.75" customWidth="1"/>
    <col min="4874" max="4874" width="15.375" customWidth="1"/>
    <col min="4875" max="4875" width="15.125" customWidth="1"/>
    <col min="4877" max="4877" width="11" customWidth="1"/>
    <col min="4878" max="4878" width="10.625" customWidth="1"/>
    <col min="4879" max="4879" width="9.625" customWidth="1"/>
    <col min="5122" max="5122" width="7" customWidth="1"/>
    <col min="5123" max="5123" width="17.75" customWidth="1"/>
    <col min="5124" max="5124" width="10.875" customWidth="1"/>
    <col min="5125" max="5125" width="11.25" customWidth="1"/>
    <col min="5126" max="5126" width="11.5" customWidth="1"/>
    <col min="5127" max="5127" width="11.625" customWidth="1"/>
    <col min="5128" max="5128" width="15.5" customWidth="1"/>
    <col min="5129" max="5129" width="18.75" customWidth="1"/>
    <col min="5130" max="5130" width="15.375" customWidth="1"/>
    <col min="5131" max="5131" width="15.125" customWidth="1"/>
    <col min="5133" max="5133" width="11" customWidth="1"/>
    <col min="5134" max="5134" width="10.625" customWidth="1"/>
    <col min="5135" max="5135" width="9.625" customWidth="1"/>
    <col min="5378" max="5378" width="7" customWidth="1"/>
    <col min="5379" max="5379" width="17.75" customWidth="1"/>
    <col min="5380" max="5380" width="10.875" customWidth="1"/>
    <col min="5381" max="5381" width="11.25" customWidth="1"/>
    <col min="5382" max="5382" width="11.5" customWidth="1"/>
    <col min="5383" max="5383" width="11.625" customWidth="1"/>
    <col min="5384" max="5384" width="15.5" customWidth="1"/>
    <col min="5385" max="5385" width="18.75" customWidth="1"/>
    <col min="5386" max="5386" width="15.375" customWidth="1"/>
    <col min="5387" max="5387" width="15.125" customWidth="1"/>
    <col min="5389" max="5389" width="11" customWidth="1"/>
    <col min="5390" max="5390" width="10.625" customWidth="1"/>
    <col min="5391" max="5391" width="9.625" customWidth="1"/>
    <col min="5634" max="5634" width="7" customWidth="1"/>
    <col min="5635" max="5635" width="17.75" customWidth="1"/>
    <col min="5636" max="5636" width="10.875" customWidth="1"/>
    <col min="5637" max="5637" width="11.25" customWidth="1"/>
    <col min="5638" max="5638" width="11.5" customWidth="1"/>
    <col min="5639" max="5639" width="11.625" customWidth="1"/>
    <col min="5640" max="5640" width="15.5" customWidth="1"/>
    <col min="5641" max="5641" width="18.75" customWidth="1"/>
    <col min="5642" max="5642" width="15.375" customWidth="1"/>
    <col min="5643" max="5643" width="15.125" customWidth="1"/>
    <col min="5645" max="5645" width="11" customWidth="1"/>
    <col min="5646" max="5646" width="10.625" customWidth="1"/>
    <col min="5647" max="5647" width="9.625" customWidth="1"/>
    <col min="5890" max="5890" width="7" customWidth="1"/>
    <col min="5891" max="5891" width="17.75" customWidth="1"/>
    <col min="5892" max="5892" width="10.875" customWidth="1"/>
    <col min="5893" max="5893" width="11.25" customWidth="1"/>
    <col min="5894" max="5894" width="11.5" customWidth="1"/>
    <col min="5895" max="5895" width="11.625" customWidth="1"/>
    <col min="5896" max="5896" width="15.5" customWidth="1"/>
    <col min="5897" max="5897" width="18.75" customWidth="1"/>
    <col min="5898" max="5898" width="15.375" customWidth="1"/>
    <col min="5899" max="5899" width="15.125" customWidth="1"/>
    <col min="5901" max="5901" width="11" customWidth="1"/>
    <col min="5902" max="5902" width="10.625" customWidth="1"/>
    <col min="5903" max="5903" width="9.625" customWidth="1"/>
    <col min="6146" max="6146" width="7" customWidth="1"/>
    <col min="6147" max="6147" width="17.75" customWidth="1"/>
    <col min="6148" max="6148" width="10.875" customWidth="1"/>
    <col min="6149" max="6149" width="11.25" customWidth="1"/>
    <col min="6150" max="6150" width="11.5" customWidth="1"/>
    <col min="6151" max="6151" width="11.625" customWidth="1"/>
    <col min="6152" max="6152" width="15.5" customWidth="1"/>
    <col min="6153" max="6153" width="18.75" customWidth="1"/>
    <col min="6154" max="6154" width="15.375" customWidth="1"/>
    <col min="6155" max="6155" width="15.125" customWidth="1"/>
    <col min="6157" max="6157" width="11" customWidth="1"/>
    <col min="6158" max="6158" width="10.625" customWidth="1"/>
    <col min="6159" max="6159" width="9.625" customWidth="1"/>
    <col min="6402" max="6402" width="7" customWidth="1"/>
    <col min="6403" max="6403" width="17.75" customWidth="1"/>
    <col min="6404" max="6404" width="10.875" customWidth="1"/>
    <col min="6405" max="6405" width="11.25" customWidth="1"/>
    <col min="6406" max="6406" width="11.5" customWidth="1"/>
    <col min="6407" max="6407" width="11.625" customWidth="1"/>
    <col min="6408" max="6408" width="15.5" customWidth="1"/>
    <col min="6409" max="6409" width="18.75" customWidth="1"/>
    <col min="6410" max="6410" width="15.375" customWidth="1"/>
    <col min="6411" max="6411" width="15.125" customWidth="1"/>
    <col min="6413" max="6413" width="11" customWidth="1"/>
    <col min="6414" max="6414" width="10.625" customWidth="1"/>
    <col min="6415" max="6415" width="9.625" customWidth="1"/>
    <col min="6658" max="6658" width="7" customWidth="1"/>
    <col min="6659" max="6659" width="17.75" customWidth="1"/>
    <col min="6660" max="6660" width="10.875" customWidth="1"/>
    <col min="6661" max="6661" width="11.25" customWidth="1"/>
    <col min="6662" max="6662" width="11.5" customWidth="1"/>
    <col min="6663" max="6663" width="11.625" customWidth="1"/>
    <col min="6664" max="6664" width="15.5" customWidth="1"/>
    <col min="6665" max="6665" width="18.75" customWidth="1"/>
    <col min="6666" max="6666" width="15.375" customWidth="1"/>
    <col min="6667" max="6667" width="15.125" customWidth="1"/>
    <col min="6669" max="6669" width="11" customWidth="1"/>
    <col min="6670" max="6670" width="10.625" customWidth="1"/>
    <col min="6671" max="6671" width="9.625" customWidth="1"/>
    <col min="6914" max="6914" width="7" customWidth="1"/>
    <col min="6915" max="6915" width="17.75" customWidth="1"/>
    <col min="6916" max="6916" width="10.875" customWidth="1"/>
    <col min="6917" max="6917" width="11.25" customWidth="1"/>
    <col min="6918" max="6918" width="11.5" customWidth="1"/>
    <col min="6919" max="6919" width="11.625" customWidth="1"/>
    <col min="6920" max="6920" width="15.5" customWidth="1"/>
    <col min="6921" max="6921" width="18.75" customWidth="1"/>
    <col min="6922" max="6922" width="15.375" customWidth="1"/>
    <col min="6923" max="6923" width="15.125" customWidth="1"/>
    <col min="6925" max="6925" width="11" customWidth="1"/>
    <col min="6926" max="6926" width="10.625" customWidth="1"/>
    <col min="6927" max="6927" width="9.625" customWidth="1"/>
    <col min="7170" max="7170" width="7" customWidth="1"/>
    <col min="7171" max="7171" width="17.75" customWidth="1"/>
    <col min="7172" max="7172" width="10.875" customWidth="1"/>
    <col min="7173" max="7173" width="11.25" customWidth="1"/>
    <col min="7174" max="7174" width="11.5" customWidth="1"/>
    <col min="7175" max="7175" width="11.625" customWidth="1"/>
    <col min="7176" max="7176" width="15.5" customWidth="1"/>
    <col min="7177" max="7177" width="18.75" customWidth="1"/>
    <col min="7178" max="7178" width="15.375" customWidth="1"/>
    <col min="7179" max="7179" width="15.125" customWidth="1"/>
    <col min="7181" max="7181" width="11" customWidth="1"/>
    <col min="7182" max="7182" width="10.625" customWidth="1"/>
    <col min="7183" max="7183" width="9.625" customWidth="1"/>
    <col min="7426" max="7426" width="7" customWidth="1"/>
    <col min="7427" max="7427" width="17.75" customWidth="1"/>
    <col min="7428" max="7428" width="10.875" customWidth="1"/>
    <col min="7429" max="7429" width="11.25" customWidth="1"/>
    <col min="7430" max="7430" width="11.5" customWidth="1"/>
    <col min="7431" max="7431" width="11.625" customWidth="1"/>
    <col min="7432" max="7432" width="15.5" customWidth="1"/>
    <col min="7433" max="7433" width="18.75" customWidth="1"/>
    <col min="7434" max="7434" width="15.375" customWidth="1"/>
    <col min="7435" max="7435" width="15.125" customWidth="1"/>
    <col min="7437" max="7437" width="11" customWidth="1"/>
    <col min="7438" max="7438" width="10.625" customWidth="1"/>
    <col min="7439" max="7439" width="9.625" customWidth="1"/>
    <col min="7682" max="7682" width="7" customWidth="1"/>
    <col min="7683" max="7683" width="17.75" customWidth="1"/>
    <col min="7684" max="7684" width="10.875" customWidth="1"/>
    <col min="7685" max="7685" width="11.25" customWidth="1"/>
    <col min="7686" max="7686" width="11.5" customWidth="1"/>
    <col min="7687" max="7687" width="11.625" customWidth="1"/>
    <col min="7688" max="7688" width="15.5" customWidth="1"/>
    <col min="7689" max="7689" width="18.75" customWidth="1"/>
    <col min="7690" max="7690" width="15.375" customWidth="1"/>
    <col min="7691" max="7691" width="15.125" customWidth="1"/>
    <col min="7693" max="7693" width="11" customWidth="1"/>
    <col min="7694" max="7694" width="10.625" customWidth="1"/>
    <col min="7695" max="7695" width="9.625" customWidth="1"/>
    <col min="7938" max="7938" width="7" customWidth="1"/>
    <col min="7939" max="7939" width="17.75" customWidth="1"/>
    <col min="7940" max="7940" width="10.875" customWidth="1"/>
    <col min="7941" max="7941" width="11.25" customWidth="1"/>
    <col min="7942" max="7942" width="11.5" customWidth="1"/>
    <col min="7943" max="7943" width="11.625" customWidth="1"/>
    <col min="7944" max="7944" width="15.5" customWidth="1"/>
    <col min="7945" max="7945" width="18.75" customWidth="1"/>
    <col min="7946" max="7946" width="15.375" customWidth="1"/>
    <col min="7947" max="7947" width="15.125" customWidth="1"/>
    <col min="7949" max="7949" width="11" customWidth="1"/>
    <col min="7950" max="7950" width="10.625" customWidth="1"/>
    <col min="7951" max="7951" width="9.625" customWidth="1"/>
    <col min="8194" max="8194" width="7" customWidth="1"/>
    <col min="8195" max="8195" width="17.75" customWidth="1"/>
    <col min="8196" max="8196" width="10.875" customWidth="1"/>
    <col min="8197" max="8197" width="11.25" customWidth="1"/>
    <col min="8198" max="8198" width="11.5" customWidth="1"/>
    <col min="8199" max="8199" width="11.625" customWidth="1"/>
    <col min="8200" max="8200" width="15.5" customWidth="1"/>
    <col min="8201" max="8201" width="18.75" customWidth="1"/>
    <col min="8202" max="8202" width="15.375" customWidth="1"/>
    <col min="8203" max="8203" width="15.125" customWidth="1"/>
    <col min="8205" max="8205" width="11" customWidth="1"/>
    <col min="8206" max="8206" width="10.625" customWidth="1"/>
    <col min="8207" max="8207" width="9.625" customWidth="1"/>
    <col min="8450" max="8450" width="7" customWidth="1"/>
    <col min="8451" max="8451" width="17.75" customWidth="1"/>
    <col min="8452" max="8452" width="10.875" customWidth="1"/>
    <col min="8453" max="8453" width="11.25" customWidth="1"/>
    <col min="8454" max="8454" width="11.5" customWidth="1"/>
    <col min="8455" max="8455" width="11.625" customWidth="1"/>
    <col min="8456" max="8456" width="15.5" customWidth="1"/>
    <col min="8457" max="8457" width="18.75" customWidth="1"/>
    <col min="8458" max="8458" width="15.375" customWidth="1"/>
    <col min="8459" max="8459" width="15.125" customWidth="1"/>
    <col min="8461" max="8461" width="11" customWidth="1"/>
    <col min="8462" max="8462" width="10.625" customWidth="1"/>
    <col min="8463" max="8463" width="9.625" customWidth="1"/>
    <col min="8706" max="8706" width="7" customWidth="1"/>
    <col min="8707" max="8707" width="17.75" customWidth="1"/>
    <col min="8708" max="8708" width="10.875" customWidth="1"/>
    <col min="8709" max="8709" width="11.25" customWidth="1"/>
    <col min="8710" max="8710" width="11.5" customWidth="1"/>
    <col min="8711" max="8711" width="11.625" customWidth="1"/>
    <col min="8712" max="8712" width="15.5" customWidth="1"/>
    <col min="8713" max="8713" width="18.75" customWidth="1"/>
    <col min="8714" max="8714" width="15.375" customWidth="1"/>
    <col min="8715" max="8715" width="15.125" customWidth="1"/>
    <col min="8717" max="8717" width="11" customWidth="1"/>
    <col min="8718" max="8718" width="10.625" customWidth="1"/>
    <col min="8719" max="8719" width="9.625" customWidth="1"/>
    <col min="8962" max="8962" width="7" customWidth="1"/>
    <col min="8963" max="8963" width="17.75" customWidth="1"/>
    <col min="8964" max="8964" width="10.875" customWidth="1"/>
    <col min="8965" max="8965" width="11.25" customWidth="1"/>
    <col min="8966" max="8966" width="11.5" customWidth="1"/>
    <col min="8967" max="8967" width="11.625" customWidth="1"/>
    <col min="8968" max="8968" width="15.5" customWidth="1"/>
    <col min="8969" max="8969" width="18.75" customWidth="1"/>
    <col min="8970" max="8970" width="15.375" customWidth="1"/>
    <col min="8971" max="8971" width="15.125" customWidth="1"/>
    <col min="8973" max="8973" width="11" customWidth="1"/>
    <col min="8974" max="8974" width="10.625" customWidth="1"/>
    <col min="8975" max="8975" width="9.625" customWidth="1"/>
    <col min="9218" max="9218" width="7" customWidth="1"/>
    <col min="9219" max="9219" width="17.75" customWidth="1"/>
    <col min="9220" max="9220" width="10.875" customWidth="1"/>
    <col min="9221" max="9221" width="11.25" customWidth="1"/>
    <col min="9222" max="9222" width="11.5" customWidth="1"/>
    <col min="9223" max="9223" width="11.625" customWidth="1"/>
    <col min="9224" max="9224" width="15.5" customWidth="1"/>
    <col min="9225" max="9225" width="18.75" customWidth="1"/>
    <col min="9226" max="9226" width="15.375" customWidth="1"/>
    <col min="9227" max="9227" width="15.125" customWidth="1"/>
    <col min="9229" max="9229" width="11" customWidth="1"/>
    <col min="9230" max="9230" width="10.625" customWidth="1"/>
    <col min="9231" max="9231" width="9.625" customWidth="1"/>
    <col min="9474" max="9474" width="7" customWidth="1"/>
    <col min="9475" max="9475" width="17.75" customWidth="1"/>
    <col min="9476" max="9476" width="10.875" customWidth="1"/>
    <col min="9477" max="9477" width="11.25" customWidth="1"/>
    <col min="9478" max="9478" width="11.5" customWidth="1"/>
    <col min="9479" max="9479" width="11.625" customWidth="1"/>
    <col min="9480" max="9480" width="15.5" customWidth="1"/>
    <col min="9481" max="9481" width="18.75" customWidth="1"/>
    <col min="9482" max="9482" width="15.375" customWidth="1"/>
    <col min="9483" max="9483" width="15.125" customWidth="1"/>
    <col min="9485" max="9485" width="11" customWidth="1"/>
    <col min="9486" max="9486" width="10.625" customWidth="1"/>
    <col min="9487" max="9487" width="9.625" customWidth="1"/>
    <col min="9730" max="9730" width="7" customWidth="1"/>
    <col min="9731" max="9731" width="17.75" customWidth="1"/>
    <col min="9732" max="9732" width="10.875" customWidth="1"/>
    <col min="9733" max="9733" width="11.25" customWidth="1"/>
    <col min="9734" max="9734" width="11.5" customWidth="1"/>
    <col min="9735" max="9735" width="11.625" customWidth="1"/>
    <col min="9736" max="9736" width="15.5" customWidth="1"/>
    <col min="9737" max="9737" width="18.75" customWidth="1"/>
    <col min="9738" max="9738" width="15.375" customWidth="1"/>
    <col min="9739" max="9739" width="15.125" customWidth="1"/>
    <col min="9741" max="9741" width="11" customWidth="1"/>
    <col min="9742" max="9742" width="10.625" customWidth="1"/>
    <col min="9743" max="9743" width="9.625" customWidth="1"/>
    <col min="9986" max="9986" width="7" customWidth="1"/>
    <col min="9987" max="9987" width="17.75" customWidth="1"/>
    <col min="9988" max="9988" width="10.875" customWidth="1"/>
    <col min="9989" max="9989" width="11.25" customWidth="1"/>
    <col min="9990" max="9990" width="11.5" customWidth="1"/>
    <col min="9991" max="9991" width="11.625" customWidth="1"/>
    <col min="9992" max="9992" width="15.5" customWidth="1"/>
    <col min="9993" max="9993" width="18.75" customWidth="1"/>
    <col min="9994" max="9994" width="15.375" customWidth="1"/>
    <col min="9995" max="9995" width="15.125" customWidth="1"/>
    <col min="9997" max="9997" width="11" customWidth="1"/>
    <col min="9998" max="9998" width="10.625" customWidth="1"/>
    <col min="9999" max="9999" width="9.625" customWidth="1"/>
    <col min="10242" max="10242" width="7" customWidth="1"/>
    <col min="10243" max="10243" width="17.75" customWidth="1"/>
    <col min="10244" max="10244" width="10.875" customWidth="1"/>
    <col min="10245" max="10245" width="11.25" customWidth="1"/>
    <col min="10246" max="10246" width="11.5" customWidth="1"/>
    <col min="10247" max="10247" width="11.625" customWidth="1"/>
    <col min="10248" max="10248" width="15.5" customWidth="1"/>
    <col min="10249" max="10249" width="18.75" customWidth="1"/>
    <col min="10250" max="10250" width="15.375" customWidth="1"/>
    <col min="10251" max="10251" width="15.125" customWidth="1"/>
    <col min="10253" max="10253" width="11" customWidth="1"/>
    <col min="10254" max="10254" width="10.625" customWidth="1"/>
    <col min="10255" max="10255" width="9.625" customWidth="1"/>
    <col min="10498" max="10498" width="7" customWidth="1"/>
    <col min="10499" max="10499" width="17.75" customWidth="1"/>
    <col min="10500" max="10500" width="10.875" customWidth="1"/>
    <col min="10501" max="10501" width="11.25" customWidth="1"/>
    <col min="10502" max="10502" width="11.5" customWidth="1"/>
    <col min="10503" max="10503" width="11.625" customWidth="1"/>
    <col min="10504" max="10504" width="15.5" customWidth="1"/>
    <col min="10505" max="10505" width="18.75" customWidth="1"/>
    <col min="10506" max="10506" width="15.375" customWidth="1"/>
    <col min="10507" max="10507" width="15.125" customWidth="1"/>
    <col min="10509" max="10509" width="11" customWidth="1"/>
    <col min="10510" max="10510" width="10.625" customWidth="1"/>
    <col min="10511" max="10511" width="9.625" customWidth="1"/>
    <col min="10754" max="10754" width="7" customWidth="1"/>
    <col min="10755" max="10755" width="17.75" customWidth="1"/>
    <col min="10756" max="10756" width="10.875" customWidth="1"/>
    <col min="10757" max="10757" width="11.25" customWidth="1"/>
    <col min="10758" max="10758" width="11.5" customWidth="1"/>
    <col min="10759" max="10759" width="11.625" customWidth="1"/>
    <col min="10760" max="10760" width="15.5" customWidth="1"/>
    <col min="10761" max="10761" width="18.75" customWidth="1"/>
    <col min="10762" max="10762" width="15.375" customWidth="1"/>
    <col min="10763" max="10763" width="15.125" customWidth="1"/>
    <col min="10765" max="10765" width="11" customWidth="1"/>
    <col min="10766" max="10766" width="10.625" customWidth="1"/>
    <col min="10767" max="10767" width="9.625" customWidth="1"/>
    <col min="11010" max="11010" width="7" customWidth="1"/>
    <col min="11011" max="11011" width="17.75" customWidth="1"/>
    <col min="11012" max="11012" width="10.875" customWidth="1"/>
    <col min="11013" max="11013" width="11.25" customWidth="1"/>
    <col min="11014" max="11014" width="11.5" customWidth="1"/>
    <col min="11015" max="11015" width="11.625" customWidth="1"/>
    <col min="11016" max="11016" width="15.5" customWidth="1"/>
    <col min="11017" max="11017" width="18.75" customWidth="1"/>
    <col min="11018" max="11018" width="15.375" customWidth="1"/>
    <col min="11019" max="11019" width="15.125" customWidth="1"/>
    <col min="11021" max="11021" width="11" customWidth="1"/>
    <col min="11022" max="11022" width="10.625" customWidth="1"/>
    <col min="11023" max="11023" width="9.625" customWidth="1"/>
    <col min="11266" max="11266" width="7" customWidth="1"/>
    <col min="11267" max="11267" width="17.75" customWidth="1"/>
    <col min="11268" max="11268" width="10.875" customWidth="1"/>
    <col min="11269" max="11269" width="11.25" customWidth="1"/>
    <col min="11270" max="11270" width="11.5" customWidth="1"/>
    <col min="11271" max="11271" width="11.625" customWidth="1"/>
    <col min="11272" max="11272" width="15.5" customWidth="1"/>
    <col min="11273" max="11273" width="18.75" customWidth="1"/>
    <col min="11274" max="11274" width="15.375" customWidth="1"/>
    <col min="11275" max="11275" width="15.125" customWidth="1"/>
    <col min="11277" max="11277" width="11" customWidth="1"/>
    <col min="11278" max="11278" width="10.625" customWidth="1"/>
    <col min="11279" max="11279" width="9.625" customWidth="1"/>
    <col min="11522" max="11522" width="7" customWidth="1"/>
    <col min="11523" max="11523" width="17.75" customWidth="1"/>
    <col min="11524" max="11524" width="10.875" customWidth="1"/>
    <col min="11525" max="11525" width="11.25" customWidth="1"/>
    <col min="11526" max="11526" width="11.5" customWidth="1"/>
    <col min="11527" max="11527" width="11.625" customWidth="1"/>
    <col min="11528" max="11528" width="15.5" customWidth="1"/>
    <col min="11529" max="11529" width="18.75" customWidth="1"/>
    <col min="11530" max="11530" width="15.375" customWidth="1"/>
    <col min="11531" max="11531" width="15.125" customWidth="1"/>
    <col min="11533" max="11533" width="11" customWidth="1"/>
    <col min="11534" max="11534" width="10.625" customWidth="1"/>
    <col min="11535" max="11535" width="9.625" customWidth="1"/>
    <col min="11778" max="11778" width="7" customWidth="1"/>
    <col min="11779" max="11779" width="17.75" customWidth="1"/>
    <col min="11780" max="11780" width="10.875" customWidth="1"/>
    <col min="11781" max="11781" width="11.25" customWidth="1"/>
    <col min="11782" max="11782" width="11.5" customWidth="1"/>
    <col min="11783" max="11783" width="11.625" customWidth="1"/>
    <col min="11784" max="11784" width="15.5" customWidth="1"/>
    <col min="11785" max="11785" width="18.75" customWidth="1"/>
    <col min="11786" max="11786" width="15.375" customWidth="1"/>
    <col min="11787" max="11787" width="15.125" customWidth="1"/>
    <col min="11789" max="11789" width="11" customWidth="1"/>
    <col min="11790" max="11790" width="10.625" customWidth="1"/>
    <col min="11791" max="11791" width="9.625" customWidth="1"/>
    <col min="12034" max="12034" width="7" customWidth="1"/>
    <col min="12035" max="12035" width="17.75" customWidth="1"/>
    <col min="12036" max="12036" width="10.875" customWidth="1"/>
    <col min="12037" max="12037" width="11.25" customWidth="1"/>
    <col min="12038" max="12038" width="11.5" customWidth="1"/>
    <col min="12039" max="12039" width="11.625" customWidth="1"/>
    <col min="12040" max="12040" width="15.5" customWidth="1"/>
    <col min="12041" max="12041" width="18.75" customWidth="1"/>
    <col min="12042" max="12042" width="15.375" customWidth="1"/>
    <col min="12043" max="12043" width="15.125" customWidth="1"/>
    <col min="12045" max="12045" width="11" customWidth="1"/>
    <col min="12046" max="12046" width="10.625" customWidth="1"/>
    <col min="12047" max="12047" width="9.625" customWidth="1"/>
    <col min="12290" max="12290" width="7" customWidth="1"/>
    <col min="12291" max="12291" width="17.75" customWidth="1"/>
    <col min="12292" max="12292" width="10.875" customWidth="1"/>
    <col min="12293" max="12293" width="11.25" customWidth="1"/>
    <col min="12294" max="12294" width="11.5" customWidth="1"/>
    <col min="12295" max="12295" width="11.625" customWidth="1"/>
    <col min="12296" max="12296" width="15.5" customWidth="1"/>
    <col min="12297" max="12297" width="18.75" customWidth="1"/>
    <col min="12298" max="12298" width="15.375" customWidth="1"/>
    <col min="12299" max="12299" width="15.125" customWidth="1"/>
    <col min="12301" max="12301" width="11" customWidth="1"/>
    <col min="12302" max="12302" width="10.625" customWidth="1"/>
    <col min="12303" max="12303" width="9.625" customWidth="1"/>
    <col min="12546" max="12546" width="7" customWidth="1"/>
    <col min="12547" max="12547" width="17.75" customWidth="1"/>
    <col min="12548" max="12548" width="10.875" customWidth="1"/>
    <col min="12549" max="12549" width="11.25" customWidth="1"/>
    <col min="12550" max="12550" width="11.5" customWidth="1"/>
    <col min="12551" max="12551" width="11.625" customWidth="1"/>
    <col min="12552" max="12552" width="15.5" customWidth="1"/>
    <col min="12553" max="12553" width="18.75" customWidth="1"/>
    <col min="12554" max="12554" width="15.375" customWidth="1"/>
    <col min="12555" max="12555" width="15.125" customWidth="1"/>
    <col min="12557" max="12557" width="11" customWidth="1"/>
    <col min="12558" max="12558" width="10.625" customWidth="1"/>
    <col min="12559" max="12559" width="9.625" customWidth="1"/>
    <col min="12802" max="12802" width="7" customWidth="1"/>
    <col min="12803" max="12803" width="17.75" customWidth="1"/>
    <col min="12804" max="12804" width="10.875" customWidth="1"/>
    <col min="12805" max="12805" width="11.25" customWidth="1"/>
    <col min="12806" max="12806" width="11.5" customWidth="1"/>
    <col min="12807" max="12807" width="11.625" customWidth="1"/>
    <col min="12808" max="12808" width="15.5" customWidth="1"/>
    <col min="12809" max="12809" width="18.75" customWidth="1"/>
    <col min="12810" max="12810" width="15.375" customWidth="1"/>
    <col min="12811" max="12811" width="15.125" customWidth="1"/>
    <col min="12813" max="12813" width="11" customWidth="1"/>
    <col min="12814" max="12814" width="10.625" customWidth="1"/>
    <col min="12815" max="12815" width="9.625" customWidth="1"/>
    <col min="13058" max="13058" width="7" customWidth="1"/>
    <col min="13059" max="13059" width="17.75" customWidth="1"/>
    <col min="13060" max="13060" width="10.875" customWidth="1"/>
    <col min="13061" max="13061" width="11.25" customWidth="1"/>
    <col min="13062" max="13062" width="11.5" customWidth="1"/>
    <col min="13063" max="13063" width="11.625" customWidth="1"/>
    <col min="13064" max="13064" width="15.5" customWidth="1"/>
    <col min="13065" max="13065" width="18.75" customWidth="1"/>
    <col min="13066" max="13066" width="15.375" customWidth="1"/>
    <col min="13067" max="13067" width="15.125" customWidth="1"/>
    <col min="13069" max="13069" width="11" customWidth="1"/>
    <col min="13070" max="13070" width="10.625" customWidth="1"/>
    <col min="13071" max="13071" width="9.625" customWidth="1"/>
    <col min="13314" max="13314" width="7" customWidth="1"/>
    <col min="13315" max="13315" width="17.75" customWidth="1"/>
    <col min="13316" max="13316" width="10.875" customWidth="1"/>
    <col min="13317" max="13317" width="11.25" customWidth="1"/>
    <col min="13318" max="13318" width="11.5" customWidth="1"/>
    <col min="13319" max="13319" width="11.625" customWidth="1"/>
    <col min="13320" max="13320" width="15.5" customWidth="1"/>
    <col min="13321" max="13321" width="18.75" customWidth="1"/>
    <col min="13322" max="13322" width="15.375" customWidth="1"/>
    <col min="13323" max="13323" width="15.125" customWidth="1"/>
    <col min="13325" max="13325" width="11" customWidth="1"/>
    <col min="13326" max="13326" width="10.625" customWidth="1"/>
    <col min="13327" max="13327" width="9.625" customWidth="1"/>
    <col min="13570" max="13570" width="7" customWidth="1"/>
    <col min="13571" max="13571" width="17.75" customWidth="1"/>
    <col min="13572" max="13572" width="10.875" customWidth="1"/>
    <col min="13573" max="13573" width="11.25" customWidth="1"/>
    <col min="13574" max="13574" width="11.5" customWidth="1"/>
    <col min="13575" max="13575" width="11.625" customWidth="1"/>
    <col min="13576" max="13576" width="15.5" customWidth="1"/>
    <col min="13577" max="13577" width="18.75" customWidth="1"/>
    <col min="13578" max="13578" width="15.375" customWidth="1"/>
    <col min="13579" max="13579" width="15.125" customWidth="1"/>
    <col min="13581" max="13581" width="11" customWidth="1"/>
    <col min="13582" max="13582" width="10.625" customWidth="1"/>
    <col min="13583" max="13583" width="9.625" customWidth="1"/>
    <col min="13826" max="13826" width="7" customWidth="1"/>
    <col min="13827" max="13827" width="17.75" customWidth="1"/>
    <col min="13828" max="13828" width="10.875" customWidth="1"/>
    <col min="13829" max="13829" width="11.25" customWidth="1"/>
    <col min="13830" max="13830" width="11.5" customWidth="1"/>
    <col min="13831" max="13831" width="11.625" customWidth="1"/>
    <col min="13832" max="13832" width="15.5" customWidth="1"/>
    <col min="13833" max="13833" width="18.75" customWidth="1"/>
    <col min="13834" max="13834" width="15.375" customWidth="1"/>
    <col min="13835" max="13835" width="15.125" customWidth="1"/>
    <col min="13837" max="13837" width="11" customWidth="1"/>
    <col min="13838" max="13838" width="10.625" customWidth="1"/>
    <col min="13839" max="13839" width="9.625" customWidth="1"/>
    <col min="14082" max="14082" width="7" customWidth="1"/>
    <col min="14083" max="14083" width="17.75" customWidth="1"/>
    <col min="14084" max="14084" width="10.875" customWidth="1"/>
    <col min="14085" max="14085" width="11.25" customWidth="1"/>
    <col min="14086" max="14086" width="11.5" customWidth="1"/>
    <col min="14087" max="14087" width="11.625" customWidth="1"/>
    <col min="14088" max="14088" width="15.5" customWidth="1"/>
    <col min="14089" max="14089" width="18.75" customWidth="1"/>
    <col min="14090" max="14090" width="15.375" customWidth="1"/>
    <col min="14091" max="14091" width="15.125" customWidth="1"/>
    <col min="14093" max="14093" width="11" customWidth="1"/>
    <col min="14094" max="14094" width="10.625" customWidth="1"/>
    <col min="14095" max="14095" width="9.625" customWidth="1"/>
    <col min="14338" max="14338" width="7" customWidth="1"/>
    <col min="14339" max="14339" width="17.75" customWidth="1"/>
    <col min="14340" max="14340" width="10.875" customWidth="1"/>
    <col min="14341" max="14341" width="11.25" customWidth="1"/>
    <col min="14342" max="14342" width="11.5" customWidth="1"/>
    <col min="14343" max="14343" width="11.625" customWidth="1"/>
    <col min="14344" max="14344" width="15.5" customWidth="1"/>
    <col min="14345" max="14345" width="18.75" customWidth="1"/>
    <col min="14346" max="14346" width="15.375" customWidth="1"/>
    <col min="14347" max="14347" width="15.125" customWidth="1"/>
    <col min="14349" max="14349" width="11" customWidth="1"/>
    <col min="14350" max="14350" width="10.625" customWidth="1"/>
    <col min="14351" max="14351" width="9.625" customWidth="1"/>
    <col min="14594" max="14594" width="7" customWidth="1"/>
    <col min="14595" max="14595" width="17.75" customWidth="1"/>
    <col min="14596" max="14596" width="10.875" customWidth="1"/>
    <col min="14597" max="14597" width="11.25" customWidth="1"/>
    <col min="14598" max="14598" width="11.5" customWidth="1"/>
    <col min="14599" max="14599" width="11.625" customWidth="1"/>
    <col min="14600" max="14600" width="15.5" customWidth="1"/>
    <col min="14601" max="14601" width="18.75" customWidth="1"/>
    <col min="14602" max="14602" width="15.375" customWidth="1"/>
    <col min="14603" max="14603" width="15.125" customWidth="1"/>
    <col min="14605" max="14605" width="11" customWidth="1"/>
    <col min="14606" max="14606" width="10.625" customWidth="1"/>
    <col min="14607" max="14607" width="9.625" customWidth="1"/>
    <col min="14850" max="14850" width="7" customWidth="1"/>
    <col min="14851" max="14851" width="17.75" customWidth="1"/>
    <col min="14852" max="14852" width="10.875" customWidth="1"/>
    <col min="14853" max="14853" width="11.25" customWidth="1"/>
    <col min="14854" max="14854" width="11.5" customWidth="1"/>
    <col min="14855" max="14855" width="11.625" customWidth="1"/>
    <col min="14856" max="14856" width="15.5" customWidth="1"/>
    <col min="14857" max="14857" width="18.75" customWidth="1"/>
    <col min="14858" max="14858" width="15.375" customWidth="1"/>
    <col min="14859" max="14859" width="15.125" customWidth="1"/>
    <col min="14861" max="14861" width="11" customWidth="1"/>
    <col min="14862" max="14862" width="10.625" customWidth="1"/>
    <col min="14863" max="14863" width="9.625" customWidth="1"/>
    <col min="15106" max="15106" width="7" customWidth="1"/>
    <col min="15107" max="15107" width="17.75" customWidth="1"/>
    <col min="15108" max="15108" width="10.875" customWidth="1"/>
    <col min="15109" max="15109" width="11.25" customWidth="1"/>
    <col min="15110" max="15110" width="11.5" customWidth="1"/>
    <col min="15111" max="15111" width="11.625" customWidth="1"/>
    <col min="15112" max="15112" width="15.5" customWidth="1"/>
    <col min="15113" max="15113" width="18.75" customWidth="1"/>
    <col min="15114" max="15114" width="15.375" customWidth="1"/>
    <col min="15115" max="15115" width="15.125" customWidth="1"/>
    <col min="15117" max="15117" width="11" customWidth="1"/>
    <col min="15118" max="15118" width="10.625" customWidth="1"/>
    <col min="15119" max="15119" width="9.625" customWidth="1"/>
    <col min="15362" max="15362" width="7" customWidth="1"/>
    <col min="15363" max="15363" width="17.75" customWidth="1"/>
    <col min="15364" max="15364" width="10.875" customWidth="1"/>
    <col min="15365" max="15365" width="11.25" customWidth="1"/>
    <col min="15366" max="15366" width="11.5" customWidth="1"/>
    <col min="15367" max="15367" width="11.625" customWidth="1"/>
    <col min="15368" max="15368" width="15.5" customWidth="1"/>
    <col min="15369" max="15369" width="18.75" customWidth="1"/>
    <col min="15370" max="15370" width="15.375" customWidth="1"/>
    <col min="15371" max="15371" width="15.125" customWidth="1"/>
    <col min="15373" max="15373" width="11" customWidth="1"/>
    <col min="15374" max="15374" width="10.625" customWidth="1"/>
    <col min="15375" max="15375" width="9.625" customWidth="1"/>
    <col min="15618" max="15618" width="7" customWidth="1"/>
    <col min="15619" max="15619" width="17.75" customWidth="1"/>
    <col min="15620" max="15620" width="10.875" customWidth="1"/>
    <col min="15621" max="15621" width="11.25" customWidth="1"/>
    <col min="15622" max="15622" width="11.5" customWidth="1"/>
    <col min="15623" max="15623" width="11.625" customWidth="1"/>
    <col min="15624" max="15624" width="15.5" customWidth="1"/>
    <col min="15625" max="15625" width="18.75" customWidth="1"/>
    <col min="15626" max="15626" width="15.375" customWidth="1"/>
    <col min="15627" max="15627" width="15.125" customWidth="1"/>
    <col min="15629" max="15629" width="11" customWidth="1"/>
    <col min="15630" max="15630" width="10.625" customWidth="1"/>
    <col min="15631" max="15631" width="9.625" customWidth="1"/>
    <col min="15874" max="15874" width="7" customWidth="1"/>
    <col min="15875" max="15875" width="17.75" customWidth="1"/>
    <col min="15876" max="15876" width="10.875" customWidth="1"/>
    <col min="15877" max="15877" width="11.25" customWidth="1"/>
    <col min="15878" max="15878" width="11.5" customWidth="1"/>
    <col min="15879" max="15879" width="11.625" customWidth="1"/>
    <col min="15880" max="15880" width="15.5" customWidth="1"/>
    <col min="15881" max="15881" width="18.75" customWidth="1"/>
    <col min="15882" max="15882" width="15.375" customWidth="1"/>
    <col min="15883" max="15883" width="15.125" customWidth="1"/>
    <col min="15885" max="15885" width="11" customWidth="1"/>
    <col min="15886" max="15886" width="10.625" customWidth="1"/>
    <col min="15887" max="15887" width="9.625" customWidth="1"/>
    <col min="16130" max="16130" width="7" customWidth="1"/>
    <col min="16131" max="16131" width="17.75" customWidth="1"/>
    <col min="16132" max="16132" width="10.875" customWidth="1"/>
    <col min="16133" max="16133" width="11.25" customWidth="1"/>
    <col min="16134" max="16134" width="11.5" customWidth="1"/>
    <col min="16135" max="16135" width="11.625" customWidth="1"/>
    <col min="16136" max="16136" width="15.5" customWidth="1"/>
    <col min="16137" max="16137" width="18.75" customWidth="1"/>
    <col min="16138" max="16138" width="15.375" customWidth="1"/>
    <col min="16139" max="16139" width="15.125" customWidth="1"/>
    <col min="16141" max="16141" width="11" customWidth="1"/>
    <col min="16142" max="16142" width="10.625" customWidth="1"/>
    <col min="16143" max="16143" width="9.625" customWidth="1"/>
  </cols>
  <sheetData>
    <row r="1" spans="1:15" ht="20.25" x14ac:dyDescent="0.3">
      <c r="A1" s="214"/>
      <c r="B1" s="214"/>
      <c r="C1" s="214"/>
      <c r="D1" s="214"/>
      <c r="E1" s="214"/>
      <c r="F1" s="214"/>
      <c r="G1" s="280" t="s">
        <v>0</v>
      </c>
      <c r="H1" s="214"/>
      <c r="I1" s="214"/>
      <c r="J1" s="214"/>
      <c r="K1" s="214"/>
      <c r="L1" s="214"/>
      <c r="M1" s="214"/>
      <c r="N1" s="214" t="s">
        <v>1</v>
      </c>
      <c r="O1" s="214"/>
    </row>
    <row r="2" spans="1:15" ht="18" x14ac:dyDescent="0.25">
      <c r="A2" s="214"/>
      <c r="B2" s="214"/>
      <c r="C2" s="214"/>
      <c r="D2" s="214"/>
      <c r="E2" s="214"/>
      <c r="F2" s="214"/>
      <c r="G2" s="331"/>
      <c r="H2" s="214"/>
      <c r="I2" s="214"/>
      <c r="J2" s="214"/>
      <c r="K2" s="214"/>
      <c r="L2" s="214"/>
      <c r="M2" s="214"/>
      <c r="N2" s="214"/>
      <c r="O2" s="214"/>
    </row>
    <row r="3" spans="1:15" ht="18" x14ac:dyDescent="0.25">
      <c r="A3" s="512" t="s">
        <v>2</v>
      </c>
      <c r="B3" s="512"/>
      <c r="C3" s="331" t="s">
        <v>38</v>
      </c>
      <c r="D3" s="214"/>
      <c r="E3" s="214"/>
      <c r="F3" s="214"/>
      <c r="G3" s="331"/>
      <c r="H3" s="214"/>
      <c r="I3" s="214"/>
      <c r="J3" s="214"/>
      <c r="K3" s="214"/>
      <c r="L3" s="214"/>
      <c r="M3" s="214"/>
      <c r="N3" s="214"/>
      <c r="O3" s="214"/>
    </row>
    <row r="4" spans="1:15" ht="18" x14ac:dyDescent="0.25">
      <c r="A4" s="512" t="s">
        <v>3</v>
      </c>
      <c r="B4" s="512"/>
      <c r="C4" s="331" t="s">
        <v>40</v>
      </c>
      <c r="D4" s="214"/>
      <c r="E4" s="214"/>
      <c r="F4" s="214"/>
      <c r="G4" s="331"/>
      <c r="H4" s="214"/>
      <c r="I4" s="214"/>
      <c r="J4" s="214"/>
      <c r="K4" s="214"/>
      <c r="L4" s="214"/>
      <c r="M4" s="214"/>
      <c r="N4" s="214"/>
      <c r="O4" s="214"/>
    </row>
    <row r="5" spans="1:15" ht="18" x14ac:dyDescent="0.25">
      <c r="A5" s="512" t="s">
        <v>4</v>
      </c>
      <c r="B5" s="512"/>
      <c r="C5" s="331" t="s">
        <v>41</v>
      </c>
      <c r="D5" s="214"/>
      <c r="E5" s="214"/>
      <c r="F5" s="214"/>
      <c r="G5" s="331"/>
      <c r="H5" s="214"/>
      <c r="I5" s="214"/>
      <c r="J5" s="214"/>
      <c r="K5" s="214"/>
      <c r="L5" s="214"/>
      <c r="M5" s="214"/>
      <c r="N5" s="214"/>
      <c r="O5" s="214"/>
    </row>
    <row r="6" spans="1:15" ht="18" x14ac:dyDescent="0.25">
      <c r="A6" s="512" t="s">
        <v>5</v>
      </c>
      <c r="B6" s="512"/>
      <c r="C6" s="331" t="s">
        <v>219</v>
      </c>
      <c r="D6" s="214"/>
      <c r="E6" s="214"/>
      <c r="F6" s="214"/>
      <c r="G6" s="331"/>
      <c r="H6" s="214"/>
      <c r="I6" s="214"/>
      <c r="J6" s="214"/>
      <c r="K6" s="214"/>
      <c r="L6" s="214"/>
      <c r="M6" s="214"/>
      <c r="N6" s="214"/>
      <c r="O6" s="214"/>
    </row>
    <row r="7" spans="1:15" ht="18" x14ac:dyDescent="0.25">
      <c r="A7" s="331"/>
      <c r="B7" s="331"/>
      <c r="C7" s="331"/>
      <c r="D7" s="214"/>
      <c r="E7" s="214"/>
      <c r="F7" s="214"/>
      <c r="G7" s="214"/>
      <c r="H7" s="214"/>
      <c r="I7" s="214"/>
      <c r="J7" s="214"/>
      <c r="K7" s="214"/>
      <c r="L7" s="214"/>
      <c r="M7" s="214"/>
      <c r="N7" s="214"/>
      <c r="O7" s="214"/>
    </row>
    <row r="8" spans="1:15" ht="18" x14ac:dyDescent="0.25">
      <c r="A8" s="331" t="s">
        <v>6</v>
      </c>
      <c r="B8" s="331"/>
      <c r="C8" s="331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</row>
    <row r="9" spans="1:15" ht="18" customHeight="1" x14ac:dyDescent="0.25">
      <c r="A9" s="317" t="s">
        <v>7</v>
      </c>
      <c r="B9" s="500" t="s">
        <v>8</v>
      </c>
      <c r="C9" s="500"/>
      <c r="D9" s="317" t="s">
        <v>9</v>
      </c>
      <c r="E9" s="317" t="s">
        <v>10</v>
      </c>
      <c r="F9" s="489" t="s">
        <v>11</v>
      </c>
      <c r="G9" s="489" t="s">
        <v>12</v>
      </c>
      <c r="H9" s="317" t="s">
        <v>13</v>
      </c>
      <c r="I9" s="317"/>
      <c r="J9" s="317" t="s">
        <v>15</v>
      </c>
      <c r="K9" s="317" t="s">
        <v>16</v>
      </c>
      <c r="L9" s="494" t="s">
        <v>17</v>
      </c>
      <c r="M9" s="494"/>
      <c r="N9" s="494"/>
      <c r="O9" s="317" t="s">
        <v>18</v>
      </c>
    </row>
    <row r="10" spans="1:15" ht="18" customHeight="1" x14ac:dyDescent="0.25">
      <c r="A10" s="490" t="s">
        <v>19</v>
      </c>
      <c r="B10" s="495" t="s">
        <v>20</v>
      </c>
      <c r="C10" s="496"/>
      <c r="D10" s="490" t="s">
        <v>21</v>
      </c>
      <c r="E10" s="490" t="s">
        <v>22</v>
      </c>
      <c r="F10" s="490"/>
      <c r="G10" s="490"/>
      <c r="H10" s="319" t="s">
        <v>23</v>
      </c>
      <c r="I10" s="319" t="s">
        <v>544</v>
      </c>
      <c r="J10" s="319" t="s">
        <v>24</v>
      </c>
      <c r="K10" s="319" t="s">
        <v>25</v>
      </c>
      <c r="L10" s="319" t="s">
        <v>26</v>
      </c>
      <c r="M10" s="319" t="s">
        <v>27</v>
      </c>
      <c r="N10" s="319" t="s">
        <v>28</v>
      </c>
      <c r="O10" s="481" t="s">
        <v>29</v>
      </c>
    </row>
    <row r="11" spans="1:15" ht="18" customHeight="1" x14ac:dyDescent="0.25">
      <c r="A11" s="491"/>
      <c r="B11" s="497"/>
      <c r="C11" s="498"/>
      <c r="D11" s="491"/>
      <c r="E11" s="491"/>
      <c r="F11" s="491"/>
      <c r="G11" s="491"/>
      <c r="H11" s="318" t="s">
        <v>30</v>
      </c>
      <c r="I11" s="318"/>
      <c r="J11" s="318" t="s">
        <v>31</v>
      </c>
      <c r="K11" s="318" t="s">
        <v>32</v>
      </c>
      <c r="L11" s="318" t="s">
        <v>33</v>
      </c>
      <c r="M11" s="318" t="s">
        <v>34</v>
      </c>
      <c r="N11" s="318" t="s">
        <v>35</v>
      </c>
      <c r="O11" s="482"/>
    </row>
    <row r="12" spans="1:15" ht="18" customHeight="1" x14ac:dyDescent="0.25">
      <c r="A12" s="263">
        <v>1</v>
      </c>
      <c r="B12" s="483">
        <v>2</v>
      </c>
      <c r="C12" s="484"/>
      <c r="D12" s="315">
        <v>3</v>
      </c>
      <c r="E12" s="315">
        <v>4</v>
      </c>
      <c r="F12" s="316">
        <v>5</v>
      </c>
      <c r="G12" s="316">
        <v>6</v>
      </c>
      <c r="H12" s="319">
        <v>7</v>
      </c>
      <c r="I12" s="319">
        <v>8</v>
      </c>
      <c r="J12" s="319">
        <v>9</v>
      </c>
      <c r="K12" s="319">
        <v>10</v>
      </c>
      <c r="L12" s="319">
        <v>11</v>
      </c>
      <c r="M12" s="319">
        <v>12</v>
      </c>
      <c r="N12" s="319">
        <v>13</v>
      </c>
      <c r="O12" s="315">
        <v>14</v>
      </c>
    </row>
    <row r="13" spans="1:15" ht="54" customHeight="1" x14ac:dyDescent="0.25">
      <c r="A13" s="266">
        <v>1</v>
      </c>
      <c r="B13" s="492" t="s">
        <v>99</v>
      </c>
      <c r="C13" s="493"/>
      <c r="D13" s="338" t="s">
        <v>224</v>
      </c>
      <c r="E13" s="335"/>
      <c r="F13" s="335"/>
      <c r="G13" s="266" t="s">
        <v>56</v>
      </c>
      <c r="H13" s="266">
        <v>2012</v>
      </c>
      <c r="I13" s="266" t="s">
        <v>101</v>
      </c>
      <c r="J13" s="269" t="s">
        <v>137</v>
      </c>
      <c r="K13" s="343">
        <v>3400000</v>
      </c>
      <c r="L13" s="266" t="s">
        <v>26</v>
      </c>
      <c r="M13" s="335"/>
      <c r="N13" s="335"/>
      <c r="O13" s="335"/>
    </row>
    <row r="14" spans="1:15" ht="36" customHeight="1" x14ac:dyDescent="0.25">
      <c r="A14" s="266">
        <f>A13+1</f>
        <v>2</v>
      </c>
      <c r="B14" s="492" t="s">
        <v>104</v>
      </c>
      <c r="C14" s="493"/>
      <c r="D14" s="267" t="s">
        <v>109</v>
      </c>
      <c r="E14" s="335"/>
      <c r="F14" s="335"/>
      <c r="G14" s="282" t="s">
        <v>56</v>
      </c>
      <c r="H14" s="266">
        <v>2014</v>
      </c>
      <c r="I14" s="266" t="s">
        <v>105</v>
      </c>
      <c r="J14" s="269" t="s">
        <v>137</v>
      </c>
      <c r="K14" s="343">
        <v>3292653</v>
      </c>
      <c r="L14" s="266" t="s">
        <v>26</v>
      </c>
      <c r="M14" s="335"/>
      <c r="N14" s="335"/>
      <c r="O14" s="335"/>
    </row>
    <row r="15" spans="1:15" ht="36" customHeight="1" x14ac:dyDescent="0.25">
      <c r="A15" s="266">
        <f t="shared" ref="A15:A19" si="0">A14+1</f>
        <v>3</v>
      </c>
      <c r="B15" s="492" t="s">
        <v>222</v>
      </c>
      <c r="C15" s="493"/>
      <c r="D15" s="345" t="s">
        <v>223</v>
      </c>
      <c r="E15" s="335"/>
      <c r="F15" s="335"/>
      <c r="G15" s="263" t="s">
        <v>56</v>
      </c>
      <c r="H15" s="266">
        <v>1997</v>
      </c>
      <c r="I15" s="266" t="s">
        <v>210</v>
      </c>
      <c r="J15" s="269" t="s">
        <v>107</v>
      </c>
      <c r="K15" s="343" t="s">
        <v>211</v>
      </c>
      <c r="L15" s="266"/>
      <c r="M15" s="268" t="s">
        <v>27</v>
      </c>
      <c r="N15" s="335"/>
      <c r="O15" s="267"/>
    </row>
    <row r="16" spans="1:15" ht="36" x14ac:dyDescent="0.25">
      <c r="A16" s="266">
        <f t="shared" si="0"/>
        <v>4</v>
      </c>
      <c r="B16" s="492" t="s">
        <v>222</v>
      </c>
      <c r="C16" s="493"/>
      <c r="D16" s="345" t="s">
        <v>223</v>
      </c>
      <c r="E16" s="335"/>
      <c r="F16" s="335"/>
      <c r="G16" s="266" t="s">
        <v>56</v>
      </c>
      <c r="H16" s="266">
        <v>1997</v>
      </c>
      <c r="I16" s="266" t="s">
        <v>210</v>
      </c>
      <c r="J16" s="269" t="s">
        <v>74</v>
      </c>
      <c r="K16" s="343" t="s">
        <v>211</v>
      </c>
      <c r="L16" s="266"/>
      <c r="M16" s="268" t="s">
        <v>27</v>
      </c>
      <c r="N16" s="335"/>
      <c r="O16" s="267"/>
    </row>
    <row r="17" spans="1:15" ht="36" customHeight="1" x14ac:dyDescent="0.25">
      <c r="A17" s="266">
        <f t="shared" si="0"/>
        <v>5</v>
      </c>
      <c r="B17" s="492" t="s">
        <v>225</v>
      </c>
      <c r="C17" s="493"/>
      <c r="D17" s="267" t="s">
        <v>226</v>
      </c>
      <c r="E17" s="335"/>
      <c r="F17" s="335"/>
      <c r="G17" s="282" t="s">
        <v>227</v>
      </c>
      <c r="H17" s="266">
        <v>2013</v>
      </c>
      <c r="I17" s="266" t="s">
        <v>228</v>
      </c>
      <c r="J17" s="269" t="s">
        <v>54</v>
      </c>
      <c r="K17" s="343" t="s">
        <v>229</v>
      </c>
      <c r="L17" s="266" t="s">
        <v>26</v>
      </c>
      <c r="M17" s="335"/>
      <c r="N17" s="335"/>
      <c r="O17" s="335"/>
    </row>
    <row r="18" spans="1:15" ht="36" customHeight="1" x14ac:dyDescent="0.25">
      <c r="A18" s="266">
        <f t="shared" si="0"/>
        <v>6</v>
      </c>
      <c r="B18" s="492" t="s">
        <v>175</v>
      </c>
      <c r="C18" s="493"/>
      <c r="D18" s="267" t="s">
        <v>220</v>
      </c>
      <c r="E18" s="335"/>
      <c r="F18" s="335"/>
      <c r="G18" s="266" t="s">
        <v>214</v>
      </c>
      <c r="H18" s="266">
        <v>2017</v>
      </c>
      <c r="I18" s="266" t="s">
        <v>177</v>
      </c>
      <c r="J18" s="269" t="s">
        <v>67</v>
      </c>
      <c r="K18" s="343">
        <v>2284351</v>
      </c>
      <c r="L18" s="266" t="s">
        <v>26</v>
      </c>
      <c r="M18" s="335"/>
      <c r="N18" s="335"/>
      <c r="O18" s="267"/>
    </row>
    <row r="19" spans="1:15" ht="36" customHeight="1" x14ac:dyDescent="0.25">
      <c r="A19" s="266">
        <f t="shared" si="0"/>
        <v>7</v>
      </c>
      <c r="B19" s="492" t="s">
        <v>146</v>
      </c>
      <c r="C19" s="493"/>
      <c r="D19" s="338" t="s">
        <v>221</v>
      </c>
      <c r="E19" s="335"/>
      <c r="F19" s="335"/>
      <c r="G19" s="266" t="s">
        <v>214</v>
      </c>
      <c r="H19" s="266">
        <v>2015</v>
      </c>
      <c r="I19" s="266" t="s">
        <v>147</v>
      </c>
      <c r="J19" s="269" t="s">
        <v>58</v>
      </c>
      <c r="K19" s="343">
        <v>2181159</v>
      </c>
      <c r="L19" s="266" t="s">
        <v>26</v>
      </c>
      <c r="M19" s="335"/>
      <c r="N19" s="335"/>
      <c r="O19" s="335"/>
    </row>
    <row r="20" spans="1:15" ht="18" x14ac:dyDescent="0.25">
      <c r="A20" s="214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</row>
    <row r="21" spans="1:15" ht="18" x14ac:dyDescent="0.25">
      <c r="A21" s="214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</row>
    <row r="22" spans="1:15" ht="18" x14ac:dyDescent="0.25">
      <c r="A22" s="214"/>
      <c r="B22" s="214"/>
      <c r="C22" s="277" t="s">
        <v>36</v>
      </c>
      <c r="D22" s="214"/>
      <c r="E22" s="214"/>
      <c r="F22" s="214"/>
      <c r="G22" s="214"/>
      <c r="H22" s="214"/>
      <c r="I22" s="214"/>
      <c r="J22" s="214"/>
      <c r="K22" s="214"/>
      <c r="L22" s="277" t="s">
        <v>578</v>
      </c>
      <c r="M22" s="214"/>
      <c r="N22" s="214"/>
      <c r="O22" s="214"/>
    </row>
    <row r="23" spans="1:15" ht="18" x14ac:dyDescent="0.25">
      <c r="A23" s="214"/>
      <c r="B23" s="214"/>
      <c r="C23" s="5" t="s">
        <v>572</v>
      </c>
      <c r="D23" s="214"/>
      <c r="E23" s="214"/>
      <c r="F23" s="214"/>
      <c r="G23" s="214"/>
      <c r="H23" s="214"/>
      <c r="I23" s="214"/>
      <c r="J23" s="214"/>
      <c r="K23" s="214"/>
      <c r="L23" s="5" t="s">
        <v>580</v>
      </c>
      <c r="M23" s="214"/>
      <c r="N23" s="214"/>
      <c r="O23" s="214"/>
    </row>
    <row r="24" spans="1:15" ht="18" x14ac:dyDescent="0.25">
      <c r="A24" s="214"/>
      <c r="B24" s="214"/>
      <c r="C24" s="5"/>
      <c r="D24" s="214"/>
      <c r="E24" s="214"/>
      <c r="F24" s="214"/>
      <c r="G24" s="214"/>
      <c r="H24" s="214"/>
      <c r="I24" s="214"/>
      <c r="J24" s="214"/>
      <c r="K24" s="214"/>
      <c r="L24" s="5"/>
      <c r="M24" s="214"/>
      <c r="N24" s="214"/>
      <c r="O24" s="214"/>
    </row>
    <row r="25" spans="1:15" ht="18" x14ac:dyDescent="0.25">
      <c r="A25" s="214"/>
      <c r="B25" s="214"/>
      <c r="C25" s="5"/>
      <c r="D25" s="214"/>
      <c r="E25" s="214"/>
      <c r="F25" s="214"/>
      <c r="G25" s="214"/>
      <c r="H25" s="214"/>
      <c r="I25" s="214"/>
      <c r="J25" s="214"/>
      <c r="K25" s="214"/>
      <c r="L25" s="5"/>
      <c r="M25" s="214"/>
      <c r="N25" s="214"/>
      <c r="O25" s="214"/>
    </row>
    <row r="26" spans="1:15" ht="18" x14ac:dyDescent="0.25">
      <c r="A26" s="214"/>
      <c r="B26" s="214"/>
      <c r="C26" s="5"/>
      <c r="D26" s="214"/>
      <c r="E26" s="214"/>
      <c r="F26" s="214"/>
      <c r="G26" s="214"/>
      <c r="H26" s="214"/>
      <c r="I26" s="214"/>
      <c r="J26" s="214"/>
      <c r="K26" s="214"/>
      <c r="L26" s="5"/>
      <c r="M26" s="214"/>
      <c r="N26" s="214"/>
      <c r="O26" s="214"/>
    </row>
    <row r="27" spans="1:15" ht="18" x14ac:dyDescent="0.25">
      <c r="A27" s="214"/>
      <c r="B27" s="214"/>
      <c r="C27" s="6" t="s">
        <v>573</v>
      </c>
      <c r="D27" s="214"/>
      <c r="E27" s="214"/>
      <c r="F27" s="214"/>
      <c r="G27" s="214"/>
      <c r="H27" s="214"/>
      <c r="I27" s="214"/>
      <c r="J27" s="214"/>
      <c r="K27" s="214"/>
      <c r="L27" s="6" t="s">
        <v>576</v>
      </c>
      <c r="M27" s="214"/>
      <c r="N27" s="214"/>
      <c r="O27" s="214"/>
    </row>
    <row r="28" spans="1:15" ht="18" x14ac:dyDescent="0.25">
      <c r="A28" s="214"/>
      <c r="B28" s="214"/>
      <c r="C28" s="5" t="s">
        <v>39</v>
      </c>
      <c r="D28" s="214"/>
      <c r="E28" s="214"/>
      <c r="F28" s="214"/>
      <c r="G28" s="214"/>
      <c r="H28" s="214"/>
      <c r="I28" s="214"/>
      <c r="J28" s="214"/>
      <c r="K28" s="214"/>
      <c r="L28" s="23" t="str">
        <f>'RUANG KABID HANSENIBUD'!L32</f>
        <v>NIP. 19721124 200604 2 005</v>
      </c>
      <c r="M28" s="214"/>
      <c r="N28" s="214"/>
      <c r="O28" s="214"/>
    </row>
    <row r="29" spans="1:15" ht="18" x14ac:dyDescent="0.25">
      <c r="A29" s="214"/>
      <c r="B29" s="214"/>
      <c r="C29" s="23" t="s">
        <v>574</v>
      </c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</row>
    <row r="30" spans="1:15" x14ac:dyDescent="0.25">
      <c r="K30" s="24"/>
    </row>
    <row r="31" spans="1:15" x14ac:dyDescent="0.25">
      <c r="B31" s="21"/>
      <c r="K31" s="25"/>
    </row>
    <row r="32" spans="1:15" x14ac:dyDescent="0.25">
      <c r="B32" s="22"/>
    </row>
    <row r="33" spans="2:2" x14ac:dyDescent="0.25">
      <c r="B33" s="22"/>
    </row>
  </sheetData>
  <mergeCells count="21">
    <mergeCell ref="A3:B3"/>
    <mergeCell ref="A4:B4"/>
    <mergeCell ref="A5:B5"/>
    <mergeCell ref="A6:B6"/>
    <mergeCell ref="B9:C9"/>
    <mergeCell ref="O10:O11"/>
    <mergeCell ref="B12:C12"/>
    <mergeCell ref="A10:A11"/>
    <mergeCell ref="B10:C11"/>
    <mergeCell ref="D10:D11"/>
    <mergeCell ref="E10:E11"/>
    <mergeCell ref="L9:N9"/>
    <mergeCell ref="F9:F11"/>
    <mergeCell ref="B18:C18"/>
    <mergeCell ref="B19:C19"/>
    <mergeCell ref="B15:C15"/>
    <mergeCell ref="B16:C16"/>
    <mergeCell ref="G9:G11"/>
    <mergeCell ref="B13:C13"/>
    <mergeCell ref="B14:C14"/>
    <mergeCell ref="B17:C17"/>
  </mergeCells>
  <printOptions horizontalCentered="1"/>
  <pageMargins left="0.11811023622047245" right="0.35433070866141736" top="0.19685039370078741" bottom="0.15748031496062992" header="0" footer="0"/>
  <pageSetup paperSize="5" scale="70" orientation="landscape" horizontalDpi="4294967293" verticalDpi="180" r:id="rId1"/>
  <headerFooter alignWithMargins="0">
    <oddFooter>&amp;L&amp;9&amp;F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33"/>
  <sheetViews>
    <sheetView view="pageBreakPreview" topLeftCell="A10" zoomScaleNormal="55" workbookViewId="0">
      <selection activeCell="N27" sqref="N27"/>
    </sheetView>
  </sheetViews>
  <sheetFormatPr defaultRowHeight="15.75" x14ac:dyDescent="0.25"/>
  <cols>
    <col min="1" max="1" width="6.125" customWidth="1"/>
    <col min="2" max="2" width="7" customWidth="1"/>
    <col min="3" max="3" width="24" customWidth="1"/>
    <col min="4" max="4" width="14" customWidth="1"/>
    <col min="5" max="5" width="9.375" customWidth="1"/>
    <col min="6" max="6" width="9.25" customWidth="1"/>
    <col min="7" max="7" width="14.875" customWidth="1"/>
    <col min="8" max="8" width="18.625" customWidth="1"/>
    <col min="9" max="9" width="19.75" customWidth="1"/>
    <col min="10" max="10" width="13.375" customWidth="1"/>
    <col min="11" max="11" width="15.125" customWidth="1"/>
    <col min="12" max="12" width="6.125" customWidth="1"/>
    <col min="13" max="13" width="14.125" customWidth="1"/>
    <col min="14" max="14" width="14.375" customWidth="1"/>
    <col min="15" max="15" width="13.625" customWidth="1"/>
    <col min="258" max="258" width="7" customWidth="1"/>
    <col min="259" max="259" width="17.75" customWidth="1"/>
    <col min="260" max="260" width="10.875" customWidth="1"/>
    <col min="261" max="261" width="11.25" customWidth="1"/>
    <col min="262" max="262" width="11.5" customWidth="1"/>
    <col min="263" max="263" width="11.625" customWidth="1"/>
    <col min="264" max="264" width="15.5" customWidth="1"/>
    <col min="265" max="265" width="18.75" customWidth="1"/>
    <col min="266" max="266" width="15.375" customWidth="1"/>
    <col min="267" max="267" width="15.125" customWidth="1"/>
    <col min="269" max="269" width="11" customWidth="1"/>
    <col min="270" max="270" width="10.625" customWidth="1"/>
    <col min="271" max="271" width="9.625" customWidth="1"/>
    <col min="514" max="514" width="7" customWidth="1"/>
    <col min="515" max="515" width="17.75" customWidth="1"/>
    <col min="516" max="516" width="10.875" customWidth="1"/>
    <col min="517" max="517" width="11.25" customWidth="1"/>
    <col min="518" max="518" width="11.5" customWidth="1"/>
    <col min="519" max="519" width="11.625" customWidth="1"/>
    <col min="520" max="520" width="15.5" customWidth="1"/>
    <col min="521" max="521" width="18.75" customWidth="1"/>
    <col min="522" max="522" width="15.375" customWidth="1"/>
    <col min="523" max="523" width="15.125" customWidth="1"/>
    <col min="525" max="525" width="11" customWidth="1"/>
    <col min="526" max="526" width="10.625" customWidth="1"/>
    <col min="527" max="527" width="9.625" customWidth="1"/>
    <col min="770" max="770" width="7" customWidth="1"/>
    <col min="771" max="771" width="17.75" customWidth="1"/>
    <col min="772" max="772" width="10.875" customWidth="1"/>
    <col min="773" max="773" width="11.25" customWidth="1"/>
    <col min="774" max="774" width="11.5" customWidth="1"/>
    <col min="775" max="775" width="11.625" customWidth="1"/>
    <col min="776" max="776" width="15.5" customWidth="1"/>
    <col min="777" max="777" width="18.75" customWidth="1"/>
    <col min="778" max="778" width="15.375" customWidth="1"/>
    <col min="779" max="779" width="15.125" customWidth="1"/>
    <col min="781" max="781" width="11" customWidth="1"/>
    <col min="782" max="782" width="10.625" customWidth="1"/>
    <col min="783" max="783" width="9.625" customWidth="1"/>
    <col min="1026" max="1026" width="7" customWidth="1"/>
    <col min="1027" max="1027" width="17.75" customWidth="1"/>
    <col min="1028" max="1028" width="10.875" customWidth="1"/>
    <col min="1029" max="1029" width="11.25" customWidth="1"/>
    <col min="1030" max="1030" width="11.5" customWidth="1"/>
    <col min="1031" max="1031" width="11.625" customWidth="1"/>
    <col min="1032" max="1032" width="15.5" customWidth="1"/>
    <col min="1033" max="1033" width="18.75" customWidth="1"/>
    <col min="1034" max="1034" width="15.375" customWidth="1"/>
    <col min="1035" max="1035" width="15.125" customWidth="1"/>
    <col min="1037" max="1037" width="11" customWidth="1"/>
    <col min="1038" max="1038" width="10.625" customWidth="1"/>
    <col min="1039" max="1039" width="9.625" customWidth="1"/>
    <col min="1282" max="1282" width="7" customWidth="1"/>
    <col min="1283" max="1283" width="17.75" customWidth="1"/>
    <col min="1284" max="1284" width="10.875" customWidth="1"/>
    <col min="1285" max="1285" width="11.25" customWidth="1"/>
    <col min="1286" max="1286" width="11.5" customWidth="1"/>
    <col min="1287" max="1287" width="11.625" customWidth="1"/>
    <col min="1288" max="1288" width="15.5" customWidth="1"/>
    <col min="1289" max="1289" width="18.75" customWidth="1"/>
    <col min="1290" max="1290" width="15.375" customWidth="1"/>
    <col min="1291" max="1291" width="15.125" customWidth="1"/>
    <col min="1293" max="1293" width="11" customWidth="1"/>
    <col min="1294" max="1294" width="10.625" customWidth="1"/>
    <col min="1295" max="1295" width="9.625" customWidth="1"/>
    <col min="1538" max="1538" width="7" customWidth="1"/>
    <col min="1539" max="1539" width="17.75" customWidth="1"/>
    <col min="1540" max="1540" width="10.875" customWidth="1"/>
    <col min="1541" max="1541" width="11.25" customWidth="1"/>
    <col min="1542" max="1542" width="11.5" customWidth="1"/>
    <col min="1543" max="1543" width="11.625" customWidth="1"/>
    <col min="1544" max="1544" width="15.5" customWidth="1"/>
    <col min="1545" max="1545" width="18.75" customWidth="1"/>
    <col min="1546" max="1546" width="15.375" customWidth="1"/>
    <col min="1547" max="1547" width="15.125" customWidth="1"/>
    <col min="1549" max="1549" width="11" customWidth="1"/>
    <col min="1550" max="1550" width="10.625" customWidth="1"/>
    <col min="1551" max="1551" width="9.625" customWidth="1"/>
    <col min="1794" max="1794" width="7" customWidth="1"/>
    <col min="1795" max="1795" width="17.75" customWidth="1"/>
    <col min="1796" max="1796" width="10.875" customWidth="1"/>
    <col min="1797" max="1797" width="11.25" customWidth="1"/>
    <col min="1798" max="1798" width="11.5" customWidth="1"/>
    <col min="1799" max="1799" width="11.625" customWidth="1"/>
    <col min="1800" max="1800" width="15.5" customWidth="1"/>
    <col min="1801" max="1801" width="18.75" customWidth="1"/>
    <col min="1802" max="1802" width="15.375" customWidth="1"/>
    <col min="1803" max="1803" width="15.125" customWidth="1"/>
    <col min="1805" max="1805" width="11" customWidth="1"/>
    <col min="1806" max="1806" width="10.625" customWidth="1"/>
    <col min="1807" max="1807" width="9.625" customWidth="1"/>
    <col min="2050" max="2050" width="7" customWidth="1"/>
    <col min="2051" max="2051" width="17.75" customWidth="1"/>
    <col min="2052" max="2052" width="10.875" customWidth="1"/>
    <col min="2053" max="2053" width="11.25" customWidth="1"/>
    <col min="2054" max="2054" width="11.5" customWidth="1"/>
    <col min="2055" max="2055" width="11.625" customWidth="1"/>
    <col min="2056" max="2056" width="15.5" customWidth="1"/>
    <col min="2057" max="2057" width="18.75" customWidth="1"/>
    <col min="2058" max="2058" width="15.375" customWidth="1"/>
    <col min="2059" max="2059" width="15.125" customWidth="1"/>
    <col min="2061" max="2061" width="11" customWidth="1"/>
    <col min="2062" max="2062" width="10.625" customWidth="1"/>
    <col min="2063" max="2063" width="9.625" customWidth="1"/>
    <col min="2306" max="2306" width="7" customWidth="1"/>
    <col min="2307" max="2307" width="17.75" customWidth="1"/>
    <col min="2308" max="2308" width="10.875" customWidth="1"/>
    <col min="2309" max="2309" width="11.25" customWidth="1"/>
    <col min="2310" max="2310" width="11.5" customWidth="1"/>
    <col min="2311" max="2311" width="11.625" customWidth="1"/>
    <col min="2312" max="2312" width="15.5" customWidth="1"/>
    <col min="2313" max="2313" width="18.75" customWidth="1"/>
    <col min="2314" max="2314" width="15.375" customWidth="1"/>
    <col min="2315" max="2315" width="15.125" customWidth="1"/>
    <col min="2317" max="2317" width="11" customWidth="1"/>
    <col min="2318" max="2318" width="10.625" customWidth="1"/>
    <col min="2319" max="2319" width="9.625" customWidth="1"/>
    <col min="2562" max="2562" width="7" customWidth="1"/>
    <col min="2563" max="2563" width="17.75" customWidth="1"/>
    <col min="2564" max="2564" width="10.875" customWidth="1"/>
    <col min="2565" max="2565" width="11.25" customWidth="1"/>
    <col min="2566" max="2566" width="11.5" customWidth="1"/>
    <col min="2567" max="2567" width="11.625" customWidth="1"/>
    <col min="2568" max="2568" width="15.5" customWidth="1"/>
    <col min="2569" max="2569" width="18.75" customWidth="1"/>
    <col min="2570" max="2570" width="15.375" customWidth="1"/>
    <col min="2571" max="2571" width="15.125" customWidth="1"/>
    <col min="2573" max="2573" width="11" customWidth="1"/>
    <col min="2574" max="2574" width="10.625" customWidth="1"/>
    <col min="2575" max="2575" width="9.625" customWidth="1"/>
    <col min="2818" max="2818" width="7" customWidth="1"/>
    <col min="2819" max="2819" width="17.75" customWidth="1"/>
    <col min="2820" max="2820" width="10.875" customWidth="1"/>
    <col min="2821" max="2821" width="11.25" customWidth="1"/>
    <col min="2822" max="2822" width="11.5" customWidth="1"/>
    <col min="2823" max="2823" width="11.625" customWidth="1"/>
    <col min="2824" max="2824" width="15.5" customWidth="1"/>
    <col min="2825" max="2825" width="18.75" customWidth="1"/>
    <col min="2826" max="2826" width="15.375" customWidth="1"/>
    <col min="2827" max="2827" width="15.125" customWidth="1"/>
    <col min="2829" max="2829" width="11" customWidth="1"/>
    <col min="2830" max="2830" width="10.625" customWidth="1"/>
    <col min="2831" max="2831" width="9.625" customWidth="1"/>
    <col min="3074" max="3074" width="7" customWidth="1"/>
    <col min="3075" max="3075" width="17.75" customWidth="1"/>
    <col min="3076" max="3076" width="10.875" customWidth="1"/>
    <col min="3077" max="3077" width="11.25" customWidth="1"/>
    <col min="3078" max="3078" width="11.5" customWidth="1"/>
    <col min="3079" max="3079" width="11.625" customWidth="1"/>
    <col min="3080" max="3080" width="15.5" customWidth="1"/>
    <col min="3081" max="3081" width="18.75" customWidth="1"/>
    <col min="3082" max="3082" width="15.375" customWidth="1"/>
    <col min="3083" max="3083" width="15.125" customWidth="1"/>
    <col min="3085" max="3085" width="11" customWidth="1"/>
    <col min="3086" max="3086" width="10.625" customWidth="1"/>
    <col min="3087" max="3087" width="9.625" customWidth="1"/>
    <col min="3330" max="3330" width="7" customWidth="1"/>
    <col min="3331" max="3331" width="17.75" customWidth="1"/>
    <col min="3332" max="3332" width="10.875" customWidth="1"/>
    <col min="3333" max="3333" width="11.25" customWidth="1"/>
    <col min="3334" max="3334" width="11.5" customWidth="1"/>
    <col min="3335" max="3335" width="11.625" customWidth="1"/>
    <col min="3336" max="3336" width="15.5" customWidth="1"/>
    <col min="3337" max="3337" width="18.75" customWidth="1"/>
    <col min="3338" max="3338" width="15.375" customWidth="1"/>
    <col min="3339" max="3339" width="15.125" customWidth="1"/>
    <col min="3341" max="3341" width="11" customWidth="1"/>
    <col min="3342" max="3342" width="10.625" customWidth="1"/>
    <col min="3343" max="3343" width="9.625" customWidth="1"/>
    <col min="3586" max="3586" width="7" customWidth="1"/>
    <col min="3587" max="3587" width="17.75" customWidth="1"/>
    <col min="3588" max="3588" width="10.875" customWidth="1"/>
    <col min="3589" max="3589" width="11.25" customWidth="1"/>
    <col min="3590" max="3590" width="11.5" customWidth="1"/>
    <col min="3591" max="3591" width="11.625" customWidth="1"/>
    <col min="3592" max="3592" width="15.5" customWidth="1"/>
    <col min="3593" max="3593" width="18.75" customWidth="1"/>
    <col min="3594" max="3594" width="15.375" customWidth="1"/>
    <col min="3595" max="3595" width="15.125" customWidth="1"/>
    <col min="3597" max="3597" width="11" customWidth="1"/>
    <col min="3598" max="3598" width="10.625" customWidth="1"/>
    <col min="3599" max="3599" width="9.625" customWidth="1"/>
    <col min="3842" max="3842" width="7" customWidth="1"/>
    <col min="3843" max="3843" width="17.75" customWidth="1"/>
    <col min="3844" max="3844" width="10.875" customWidth="1"/>
    <col min="3845" max="3845" width="11.25" customWidth="1"/>
    <col min="3846" max="3846" width="11.5" customWidth="1"/>
    <col min="3847" max="3847" width="11.625" customWidth="1"/>
    <col min="3848" max="3848" width="15.5" customWidth="1"/>
    <col min="3849" max="3849" width="18.75" customWidth="1"/>
    <col min="3850" max="3850" width="15.375" customWidth="1"/>
    <col min="3851" max="3851" width="15.125" customWidth="1"/>
    <col min="3853" max="3853" width="11" customWidth="1"/>
    <col min="3854" max="3854" width="10.625" customWidth="1"/>
    <col min="3855" max="3855" width="9.625" customWidth="1"/>
    <col min="4098" max="4098" width="7" customWidth="1"/>
    <col min="4099" max="4099" width="17.75" customWidth="1"/>
    <col min="4100" max="4100" width="10.875" customWidth="1"/>
    <col min="4101" max="4101" width="11.25" customWidth="1"/>
    <col min="4102" max="4102" width="11.5" customWidth="1"/>
    <col min="4103" max="4103" width="11.625" customWidth="1"/>
    <col min="4104" max="4104" width="15.5" customWidth="1"/>
    <col min="4105" max="4105" width="18.75" customWidth="1"/>
    <col min="4106" max="4106" width="15.375" customWidth="1"/>
    <col min="4107" max="4107" width="15.125" customWidth="1"/>
    <col min="4109" max="4109" width="11" customWidth="1"/>
    <col min="4110" max="4110" width="10.625" customWidth="1"/>
    <col min="4111" max="4111" width="9.625" customWidth="1"/>
    <col min="4354" max="4354" width="7" customWidth="1"/>
    <col min="4355" max="4355" width="17.75" customWidth="1"/>
    <col min="4356" max="4356" width="10.875" customWidth="1"/>
    <col min="4357" max="4357" width="11.25" customWidth="1"/>
    <col min="4358" max="4358" width="11.5" customWidth="1"/>
    <col min="4359" max="4359" width="11.625" customWidth="1"/>
    <col min="4360" max="4360" width="15.5" customWidth="1"/>
    <col min="4361" max="4361" width="18.75" customWidth="1"/>
    <col min="4362" max="4362" width="15.375" customWidth="1"/>
    <col min="4363" max="4363" width="15.125" customWidth="1"/>
    <col min="4365" max="4365" width="11" customWidth="1"/>
    <col min="4366" max="4366" width="10.625" customWidth="1"/>
    <col min="4367" max="4367" width="9.625" customWidth="1"/>
    <col min="4610" max="4610" width="7" customWidth="1"/>
    <col min="4611" max="4611" width="17.75" customWidth="1"/>
    <col min="4612" max="4612" width="10.875" customWidth="1"/>
    <col min="4613" max="4613" width="11.25" customWidth="1"/>
    <col min="4614" max="4614" width="11.5" customWidth="1"/>
    <col min="4615" max="4615" width="11.625" customWidth="1"/>
    <col min="4616" max="4616" width="15.5" customWidth="1"/>
    <col min="4617" max="4617" width="18.75" customWidth="1"/>
    <col min="4618" max="4618" width="15.375" customWidth="1"/>
    <col min="4619" max="4619" width="15.125" customWidth="1"/>
    <col min="4621" max="4621" width="11" customWidth="1"/>
    <col min="4622" max="4622" width="10.625" customWidth="1"/>
    <col min="4623" max="4623" width="9.625" customWidth="1"/>
    <col min="4866" max="4866" width="7" customWidth="1"/>
    <col min="4867" max="4867" width="17.75" customWidth="1"/>
    <col min="4868" max="4868" width="10.875" customWidth="1"/>
    <col min="4869" max="4869" width="11.25" customWidth="1"/>
    <col min="4870" max="4870" width="11.5" customWidth="1"/>
    <col min="4871" max="4871" width="11.625" customWidth="1"/>
    <col min="4872" max="4872" width="15.5" customWidth="1"/>
    <col min="4873" max="4873" width="18.75" customWidth="1"/>
    <col min="4874" max="4874" width="15.375" customWidth="1"/>
    <col min="4875" max="4875" width="15.125" customWidth="1"/>
    <col min="4877" max="4877" width="11" customWidth="1"/>
    <col min="4878" max="4878" width="10.625" customWidth="1"/>
    <col min="4879" max="4879" width="9.625" customWidth="1"/>
    <col min="5122" max="5122" width="7" customWidth="1"/>
    <col min="5123" max="5123" width="17.75" customWidth="1"/>
    <col min="5124" max="5124" width="10.875" customWidth="1"/>
    <col min="5125" max="5125" width="11.25" customWidth="1"/>
    <col min="5126" max="5126" width="11.5" customWidth="1"/>
    <col min="5127" max="5127" width="11.625" customWidth="1"/>
    <col min="5128" max="5128" width="15.5" customWidth="1"/>
    <col min="5129" max="5129" width="18.75" customWidth="1"/>
    <col min="5130" max="5130" width="15.375" customWidth="1"/>
    <col min="5131" max="5131" width="15.125" customWidth="1"/>
    <col min="5133" max="5133" width="11" customWidth="1"/>
    <col min="5134" max="5134" width="10.625" customWidth="1"/>
    <col min="5135" max="5135" width="9.625" customWidth="1"/>
    <col min="5378" max="5378" width="7" customWidth="1"/>
    <col min="5379" max="5379" width="17.75" customWidth="1"/>
    <col min="5380" max="5380" width="10.875" customWidth="1"/>
    <col min="5381" max="5381" width="11.25" customWidth="1"/>
    <col min="5382" max="5382" width="11.5" customWidth="1"/>
    <col min="5383" max="5383" width="11.625" customWidth="1"/>
    <col min="5384" max="5384" width="15.5" customWidth="1"/>
    <col min="5385" max="5385" width="18.75" customWidth="1"/>
    <col min="5386" max="5386" width="15.375" customWidth="1"/>
    <col min="5387" max="5387" width="15.125" customWidth="1"/>
    <col min="5389" max="5389" width="11" customWidth="1"/>
    <col min="5390" max="5390" width="10.625" customWidth="1"/>
    <col min="5391" max="5391" width="9.625" customWidth="1"/>
    <col min="5634" max="5634" width="7" customWidth="1"/>
    <col min="5635" max="5635" width="17.75" customWidth="1"/>
    <col min="5636" max="5636" width="10.875" customWidth="1"/>
    <col min="5637" max="5637" width="11.25" customWidth="1"/>
    <col min="5638" max="5638" width="11.5" customWidth="1"/>
    <col min="5639" max="5639" width="11.625" customWidth="1"/>
    <col min="5640" max="5640" width="15.5" customWidth="1"/>
    <col min="5641" max="5641" width="18.75" customWidth="1"/>
    <col min="5642" max="5642" width="15.375" customWidth="1"/>
    <col min="5643" max="5643" width="15.125" customWidth="1"/>
    <col min="5645" max="5645" width="11" customWidth="1"/>
    <col min="5646" max="5646" width="10.625" customWidth="1"/>
    <col min="5647" max="5647" width="9.625" customWidth="1"/>
    <col min="5890" max="5890" width="7" customWidth="1"/>
    <col min="5891" max="5891" width="17.75" customWidth="1"/>
    <col min="5892" max="5892" width="10.875" customWidth="1"/>
    <col min="5893" max="5893" width="11.25" customWidth="1"/>
    <col min="5894" max="5894" width="11.5" customWidth="1"/>
    <col min="5895" max="5895" width="11.625" customWidth="1"/>
    <col min="5896" max="5896" width="15.5" customWidth="1"/>
    <col min="5897" max="5897" width="18.75" customWidth="1"/>
    <col min="5898" max="5898" width="15.375" customWidth="1"/>
    <col min="5899" max="5899" width="15.125" customWidth="1"/>
    <col min="5901" max="5901" width="11" customWidth="1"/>
    <col min="5902" max="5902" width="10.625" customWidth="1"/>
    <col min="5903" max="5903" width="9.625" customWidth="1"/>
    <col min="6146" max="6146" width="7" customWidth="1"/>
    <col min="6147" max="6147" width="17.75" customWidth="1"/>
    <col min="6148" max="6148" width="10.875" customWidth="1"/>
    <col min="6149" max="6149" width="11.25" customWidth="1"/>
    <col min="6150" max="6150" width="11.5" customWidth="1"/>
    <col min="6151" max="6151" width="11.625" customWidth="1"/>
    <col min="6152" max="6152" width="15.5" customWidth="1"/>
    <col min="6153" max="6153" width="18.75" customWidth="1"/>
    <col min="6154" max="6154" width="15.375" customWidth="1"/>
    <col min="6155" max="6155" width="15.125" customWidth="1"/>
    <col min="6157" max="6157" width="11" customWidth="1"/>
    <col min="6158" max="6158" width="10.625" customWidth="1"/>
    <col min="6159" max="6159" width="9.625" customWidth="1"/>
    <col min="6402" max="6402" width="7" customWidth="1"/>
    <col min="6403" max="6403" width="17.75" customWidth="1"/>
    <col min="6404" max="6404" width="10.875" customWidth="1"/>
    <col min="6405" max="6405" width="11.25" customWidth="1"/>
    <col min="6406" max="6406" width="11.5" customWidth="1"/>
    <col min="6407" max="6407" width="11.625" customWidth="1"/>
    <col min="6408" max="6408" width="15.5" customWidth="1"/>
    <col min="6409" max="6409" width="18.75" customWidth="1"/>
    <col min="6410" max="6410" width="15.375" customWidth="1"/>
    <col min="6411" max="6411" width="15.125" customWidth="1"/>
    <col min="6413" max="6413" width="11" customWidth="1"/>
    <col min="6414" max="6414" width="10.625" customWidth="1"/>
    <col min="6415" max="6415" width="9.625" customWidth="1"/>
    <col min="6658" max="6658" width="7" customWidth="1"/>
    <col min="6659" max="6659" width="17.75" customWidth="1"/>
    <col min="6660" max="6660" width="10.875" customWidth="1"/>
    <col min="6661" max="6661" width="11.25" customWidth="1"/>
    <col min="6662" max="6662" width="11.5" customWidth="1"/>
    <col min="6663" max="6663" width="11.625" customWidth="1"/>
    <col min="6664" max="6664" width="15.5" customWidth="1"/>
    <col min="6665" max="6665" width="18.75" customWidth="1"/>
    <col min="6666" max="6666" width="15.375" customWidth="1"/>
    <col min="6667" max="6667" width="15.125" customWidth="1"/>
    <col min="6669" max="6669" width="11" customWidth="1"/>
    <col min="6670" max="6670" width="10.625" customWidth="1"/>
    <col min="6671" max="6671" width="9.625" customWidth="1"/>
    <col min="6914" max="6914" width="7" customWidth="1"/>
    <col min="6915" max="6915" width="17.75" customWidth="1"/>
    <col min="6916" max="6916" width="10.875" customWidth="1"/>
    <col min="6917" max="6917" width="11.25" customWidth="1"/>
    <col min="6918" max="6918" width="11.5" customWidth="1"/>
    <col min="6919" max="6919" width="11.625" customWidth="1"/>
    <col min="6920" max="6920" width="15.5" customWidth="1"/>
    <col min="6921" max="6921" width="18.75" customWidth="1"/>
    <col min="6922" max="6922" width="15.375" customWidth="1"/>
    <col min="6923" max="6923" width="15.125" customWidth="1"/>
    <col min="6925" max="6925" width="11" customWidth="1"/>
    <col min="6926" max="6926" width="10.625" customWidth="1"/>
    <col min="6927" max="6927" width="9.625" customWidth="1"/>
    <col min="7170" max="7170" width="7" customWidth="1"/>
    <col min="7171" max="7171" width="17.75" customWidth="1"/>
    <col min="7172" max="7172" width="10.875" customWidth="1"/>
    <col min="7173" max="7173" width="11.25" customWidth="1"/>
    <col min="7174" max="7174" width="11.5" customWidth="1"/>
    <col min="7175" max="7175" width="11.625" customWidth="1"/>
    <col min="7176" max="7176" width="15.5" customWidth="1"/>
    <col min="7177" max="7177" width="18.75" customWidth="1"/>
    <col min="7178" max="7178" width="15.375" customWidth="1"/>
    <col min="7179" max="7179" width="15.125" customWidth="1"/>
    <col min="7181" max="7181" width="11" customWidth="1"/>
    <col min="7182" max="7182" width="10.625" customWidth="1"/>
    <col min="7183" max="7183" width="9.625" customWidth="1"/>
    <col min="7426" max="7426" width="7" customWidth="1"/>
    <col min="7427" max="7427" width="17.75" customWidth="1"/>
    <col min="7428" max="7428" width="10.875" customWidth="1"/>
    <col min="7429" max="7429" width="11.25" customWidth="1"/>
    <col min="7430" max="7430" width="11.5" customWidth="1"/>
    <col min="7431" max="7431" width="11.625" customWidth="1"/>
    <col min="7432" max="7432" width="15.5" customWidth="1"/>
    <col min="7433" max="7433" width="18.75" customWidth="1"/>
    <col min="7434" max="7434" width="15.375" customWidth="1"/>
    <col min="7435" max="7435" width="15.125" customWidth="1"/>
    <col min="7437" max="7437" width="11" customWidth="1"/>
    <col min="7438" max="7438" width="10.625" customWidth="1"/>
    <col min="7439" max="7439" width="9.625" customWidth="1"/>
    <col min="7682" max="7682" width="7" customWidth="1"/>
    <col min="7683" max="7683" width="17.75" customWidth="1"/>
    <col min="7684" max="7684" width="10.875" customWidth="1"/>
    <col min="7685" max="7685" width="11.25" customWidth="1"/>
    <col min="7686" max="7686" width="11.5" customWidth="1"/>
    <col min="7687" max="7687" width="11.625" customWidth="1"/>
    <col min="7688" max="7688" width="15.5" customWidth="1"/>
    <col min="7689" max="7689" width="18.75" customWidth="1"/>
    <col min="7690" max="7690" width="15.375" customWidth="1"/>
    <col min="7691" max="7691" width="15.125" customWidth="1"/>
    <col min="7693" max="7693" width="11" customWidth="1"/>
    <col min="7694" max="7694" width="10.625" customWidth="1"/>
    <col min="7695" max="7695" width="9.625" customWidth="1"/>
    <col min="7938" max="7938" width="7" customWidth="1"/>
    <col min="7939" max="7939" width="17.75" customWidth="1"/>
    <col min="7940" max="7940" width="10.875" customWidth="1"/>
    <col min="7941" max="7941" width="11.25" customWidth="1"/>
    <col min="7942" max="7942" width="11.5" customWidth="1"/>
    <col min="7943" max="7943" width="11.625" customWidth="1"/>
    <col min="7944" max="7944" width="15.5" customWidth="1"/>
    <col min="7945" max="7945" width="18.75" customWidth="1"/>
    <col min="7946" max="7946" width="15.375" customWidth="1"/>
    <col min="7947" max="7947" width="15.125" customWidth="1"/>
    <col min="7949" max="7949" width="11" customWidth="1"/>
    <col min="7950" max="7950" width="10.625" customWidth="1"/>
    <col min="7951" max="7951" width="9.625" customWidth="1"/>
    <col min="8194" max="8194" width="7" customWidth="1"/>
    <col min="8195" max="8195" width="17.75" customWidth="1"/>
    <col min="8196" max="8196" width="10.875" customWidth="1"/>
    <col min="8197" max="8197" width="11.25" customWidth="1"/>
    <col min="8198" max="8198" width="11.5" customWidth="1"/>
    <col min="8199" max="8199" width="11.625" customWidth="1"/>
    <col min="8200" max="8200" width="15.5" customWidth="1"/>
    <col min="8201" max="8201" width="18.75" customWidth="1"/>
    <col min="8202" max="8202" width="15.375" customWidth="1"/>
    <col min="8203" max="8203" width="15.125" customWidth="1"/>
    <col min="8205" max="8205" width="11" customWidth="1"/>
    <col min="8206" max="8206" width="10.625" customWidth="1"/>
    <col min="8207" max="8207" width="9.625" customWidth="1"/>
    <col min="8450" max="8450" width="7" customWidth="1"/>
    <col min="8451" max="8451" width="17.75" customWidth="1"/>
    <col min="8452" max="8452" width="10.875" customWidth="1"/>
    <col min="8453" max="8453" width="11.25" customWidth="1"/>
    <col min="8454" max="8454" width="11.5" customWidth="1"/>
    <col min="8455" max="8455" width="11.625" customWidth="1"/>
    <col min="8456" max="8456" width="15.5" customWidth="1"/>
    <col min="8457" max="8457" width="18.75" customWidth="1"/>
    <col min="8458" max="8458" width="15.375" customWidth="1"/>
    <col min="8459" max="8459" width="15.125" customWidth="1"/>
    <col min="8461" max="8461" width="11" customWidth="1"/>
    <col min="8462" max="8462" width="10.625" customWidth="1"/>
    <col min="8463" max="8463" width="9.625" customWidth="1"/>
    <col min="8706" max="8706" width="7" customWidth="1"/>
    <col min="8707" max="8707" width="17.75" customWidth="1"/>
    <col min="8708" max="8708" width="10.875" customWidth="1"/>
    <col min="8709" max="8709" width="11.25" customWidth="1"/>
    <col min="8710" max="8710" width="11.5" customWidth="1"/>
    <col min="8711" max="8711" width="11.625" customWidth="1"/>
    <col min="8712" max="8712" width="15.5" customWidth="1"/>
    <col min="8713" max="8713" width="18.75" customWidth="1"/>
    <col min="8714" max="8714" width="15.375" customWidth="1"/>
    <col min="8715" max="8715" width="15.125" customWidth="1"/>
    <col min="8717" max="8717" width="11" customWidth="1"/>
    <col min="8718" max="8718" width="10.625" customWidth="1"/>
    <col min="8719" max="8719" width="9.625" customWidth="1"/>
    <col min="8962" max="8962" width="7" customWidth="1"/>
    <col min="8963" max="8963" width="17.75" customWidth="1"/>
    <col min="8964" max="8964" width="10.875" customWidth="1"/>
    <col min="8965" max="8965" width="11.25" customWidth="1"/>
    <col min="8966" max="8966" width="11.5" customWidth="1"/>
    <col min="8967" max="8967" width="11.625" customWidth="1"/>
    <col min="8968" max="8968" width="15.5" customWidth="1"/>
    <col min="8969" max="8969" width="18.75" customWidth="1"/>
    <col min="8970" max="8970" width="15.375" customWidth="1"/>
    <col min="8971" max="8971" width="15.125" customWidth="1"/>
    <col min="8973" max="8973" width="11" customWidth="1"/>
    <col min="8974" max="8974" width="10.625" customWidth="1"/>
    <col min="8975" max="8975" width="9.625" customWidth="1"/>
    <col min="9218" max="9218" width="7" customWidth="1"/>
    <col min="9219" max="9219" width="17.75" customWidth="1"/>
    <col min="9220" max="9220" width="10.875" customWidth="1"/>
    <col min="9221" max="9221" width="11.25" customWidth="1"/>
    <col min="9222" max="9222" width="11.5" customWidth="1"/>
    <col min="9223" max="9223" width="11.625" customWidth="1"/>
    <col min="9224" max="9224" width="15.5" customWidth="1"/>
    <col min="9225" max="9225" width="18.75" customWidth="1"/>
    <col min="9226" max="9226" width="15.375" customWidth="1"/>
    <col min="9227" max="9227" width="15.125" customWidth="1"/>
    <col min="9229" max="9229" width="11" customWidth="1"/>
    <col min="9230" max="9230" width="10.625" customWidth="1"/>
    <col min="9231" max="9231" width="9.625" customWidth="1"/>
    <col min="9474" max="9474" width="7" customWidth="1"/>
    <col min="9475" max="9475" width="17.75" customWidth="1"/>
    <col min="9476" max="9476" width="10.875" customWidth="1"/>
    <col min="9477" max="9477" width="11.25" customWidth="1"/>
    <col min="9478" max="9478" width="11.5" customWidth="1"/>
    <col min="9479" max="9479" width="11.625" customWidth="1"/>
    <col min="9480" max="9480" width="15.5" customWidth="1"/>
    <col min="9481" max="9481" width="18.75" customWidth="1"/>
    <col min="9482" max="9482" width="15.375" customWidth="1"/>
    <col min="9483" max="9483" width="15.125" customWidth="1"/>
    <col min="9485" max="9485" width="11" customWidth="1"/>
    <col min="9486" max="9486" width="10.625" customWidth="1"/>
    <col min="9487" max="9487" width="9.625" customWidth="1"/>
    <col min="9730" max="9730" width="7" customWidth="1"/>
    <col min="9731" max="9731" width="17.75" customWidth="1"/>
    <col min="9732" max="9732" width="10.875" customWidth="1"/>
    <col min="9733" max="9733" width="11.25" customWidth="1"/>
    <col min="9734" max="9734" width="11.5" customWidth="1"/>
    <col min="9735" max="9735" width="11.625" customWidth="1"/>
    <col min="9736" max="9736" width="15.5" customWidth="1"/>
    <col min="9737" max="9737" width="18.75" customWidth="1"/>
    <col min="9738" max="9738" width="15.375" customWidth="1"/>
    <col min="9739" max="9739" width="15.125" customWidth="1"/>
    <col min="9741" max="9741" width="11" customWidth="1"/>
    <col min="9742" max="9742" width="10.625" customWidth="1"/>
    <col min="9743" max="9743" width="9.625" customWidth="1"/>
    <col min="9986" max="9986" width="7" customWidth="1"/>
    <col min="9987" max="9987" width="17.75" customWidth="1"/>
    <col min="9988" max="9988" width="10.875" customWidth="1"/>
    <col min="9989" max="9989" width="11.25" customWidth="1"/>
    <col min="9990" max="9990" width="11.5" customWidth="1"/>
    <col min="9991" max="9991" width="11.625" customWidth="1"/>
    <col min="9992" max="9992" width="15.5" customWidth="1"/>
    <col min="9993" max="9993" width="18.75" customWidth="1"/>
    <col min="9994" max="9994" width="15.375" customWidth="1"/>
    <col min="9995" max="9995" width="15.125" customWidth="1"/>
    <col min="9997" max="9997" width="11" customWidth="1"/>
    <col min="9998" max="9998" width="10.625" customWidth="1"/>
    <col min="9999" max="9999" width="9.625" customWidth="1"/>
    <col min="10242" max="10242" width="7" customWidth="1"/>
    <col min="10243" max="10243" width="17.75" customWidth="1"/>
    <col min="10244" max="10244" width="10.875" customWidth="1"/>
    <col min="10245" max="10245" width="11.25" customWidth="1"/>
    <col min="10246" max="10246" width="11.5" customWidth="1"/>
    <col min="10247" max="10247" width="11.625" customWidth="1"/>
    <col min="10248" max="10248" width="15.5" customWidth="1"/>
    <col min="10249" max="10249" width="18.75" customWidth="1"/>
    <col min="10250" max="10250" width="15.375" customWidth="1"/>
    <col min="10251" max="10251" width="15.125" customWidth="1"/>
    <col min="10253" max="10253" width="11" customWidth="1"/>
    <col min="10254" max="10254" width="10.625" customWidth="1"/>
    <col min="10255" max="10255" width="9.625" customWidth="1"/>
    <col min="10498" max="10498" width="7" customWidth="1"/>
    <col min="10499" max="10499" width="17.75" customWidth="1"/>
    <col min="10500" max="10500" width="10.875" customWidth="1"/>
    <col min="10501" max="10501" width="11.25" customWidth="1"/>
    <col min="10502" max="10502" width="11.5" customWidth="1"/>
    <col min="10503" max="10503" width="11.625" customWidth="1"/>
    <col min="10504" max="10504" width="15.5" customWidth="1"/>
    <col min="10505" max="10505" width="18.75" customWidth="1"/>
    <col min="10506" max="10506" width="15.375" customWidth="1"/>
    <col min="10507" max="10507" width="15.125" customWidth="1"/>
    <col min="10509" max="10509" width="11" customWidth="1"/>
    <col min="10510" max="10510" width="10.625" customWidth="1"/>
    <col min="10511" max="10511" width="9.625" customWidth="1"/>
    <col min="10754" max="10754" width="7" customWidth="1"/>
    <col min="10755" max="10755" width="17.75" customWidth="1"/>
    <col min="10756" max="10756" width="10.875" customWidth="1"/>
    <col min="10757" max="10757" width="11.25" customWidth="1"/>
    <col min="10758" max="10758" width="11.5" customWidth="1"/>
    <col min="10759" max="10759" width="11.625" customWidth="1"/>
    <col min="10760" max="10760" width="15.5" customWidth="1"/>
    <col min="10761" max="10761" width="18.75" customWidth="1"/>
    <col min="10762" max="10762" width="15.375" customWidth="1"/>
    <col min="10763" max="10763" width="15.125" customWidth="1"/>
    <col min="10765" max="10765" width="11" customWidth="1"/>
    <col min="10766" max="10766" width="10.625" customWidth="1"/>
    <col min="10767" max="10767" width="9.625" customWidth="1"/>
    <col min="11010" max="11010" width="7" customWidth="1"/>
    <col min="11011" max="11011" width="17.75" customWidth="1"/>
    <col min="11012" max="11012" width="10.875" customWidth="1"/>
    <col min="11013" max="11013" width="11.25" customWidth="1"/>
    <col min="11014" max="11014" width="11.5" customWidth="1"/>
    <col min="11015" max="11015" width="11.625" customWidth="1"/>
    <col min="11016" max="11016" width="15.5" customWidth="1"/>
    <col min="11017" max="11017" width="18.75" customWidth="1"/>
    <col min="11018" max="11018" width="15.375" customWidth="1"/>
    <col min="11019" max="11019" width="15.125" customWidth="1"/>
    <col min="11021" max="11021" width="11" customWidth="1"/>
    <col min="11022" max="11022" width="10.625" customWidth="1"/>
    <col min="11023" max="11023" width="9.625" customWidth="1"/>
    <col min="11266" max="11266" width="7" customWidth="1"/>
    <col min="11267" max="11267" width="17.75" customWidth="1"/>
    <col min="11268" max="11268" width="10.875" customWidth="1"/>
    <col min="11269" max="11269" width="11.25" customWidth="1"/>
    <col min="11270" max="11270" width="11.5" customWidth="1"/>
    <col min="11271" max="11271" width="11.625" customWidth="1"/>
    <col min="11272" max="11272" width="15.5" customWidth="1"/>
    <col min="11273" max="11273" width="18.75" customWidth="1"/>
    <col min="11274" max="11274" width="15.375" customWidth="1"/>
    <col min="11275" max="11275" width="15.125" customWidth="1"/>
    <col min="11277" max="11277" width="11" customWidth="1"/>
    <col min="11278" max="11278" width="10.625" customWidth="1"/>
    <col min="11279" max="11279" width="9.625" customWidth="1"/>
    <col min="11522" max="11522" width="7" customWidth="1"/>
    <col min="11523" max="11523" width="17.75" customWidth="1"/>
    <col min="11524" max="11524" width="10.875" customWidth="1"/>
    <col min="11525" max="11525" width="11.25" customWidth="1"/>
    <col min="11526" max="11526" width="11.5" customWidth="1"/>
    <col min="11527" max="11527" width="11.625" customWidth="1"/>
    <col min="11528" max="11528" width="15.5" customWidth="1"/>
    <col min="11529" max="11529" width="18.75" customWidth="1"/>
    <col min="11530" max="11530" width="15.375" customWidth="1"/>
    <col min="11531" max="11531" width="15.125" customWidth="1"/>
    <col min="11533" max="11533" width="11" customWidth="1"/>
    <col min="11534" max="11534" width="10.625" customWidth="1"/>
    <col min="11535" max="11535" width="9.625" customWidth="1"/>
    <col min="11778" max="11778" width="7" customWidth="1"/>
    <col min="11779" max="11779" width="17.75" customWidth="1"/>
    <col min="11780" max="11780" width="10.875" customWidth="1"/>
    <col min="11781" max="11781" width="11.25" customWidth="1"/>
    <col min="11782" max="11782" width="11.5" customWidth="1"/>
    <col min="11783" max="11783" width="11.625" customWidth="1"/>
    <col min="11784" max="11784" width="15.5" customWidth="1"/>
    <col min="11785" max="11785" width="18.75" customWidth="1"/>
    <col min="11786" max="11786" width="15.375" customWidth="1"/>
    <col min="11787" max="11787" width="15.125" customWidth="1"/>
    <col min="11789" max="11789" width="11" customWidth="1"/>
    <col min="11790" max="11790" width="10.625" customWidth="1"/>
    <col min="11791" max="11791" width="9.625" customWidth="1"/>
    <col min="12034" max="12034" width="7" customWidth="1"/>
    <col min="12035" max="12035" width="17.75" customWidth="1"/>
    <col min="12036" max="12036" width="10.875" customWidth="1"/>
    <col min="12037" max="12037" width="11.25" customWidth="1"/>
    <col min="12038" max="12038" width="11.5" customWidth="1"/>
    <col min="12039" max="12039" width="11.625" customWidth="1"/>
    <col min="12040" max="12040" width="15.5" customWidth="1"/>
    <col min="12041" max="12041" width="18.75" customWidth="1"/>
    <col min="12042" max="12042" width="15.375" customWidth="1"/>
    <col min="12043" max="12043" width="15.125" customWidth="1"/>
    <col min="12045" max="12045" width="11" customWidth="1"/>
    <col min="12046" max="12046" width="10.625" customWidth="1"/>
    <col min="12047" max="12047" width="9.625" customWidth="1"/>
    <col min="12290" max="12290" width="7" customWidth="1"/>
    <col min="12291" max="12291" width="17.75" customWidth="1"/>
    <col min="12292" max="12292" width="10.875" customWidth="1"/>
    <col min="12293" max="12293" width="11.25" customWidth="1"/>
    <col min="12294" max="12294" width="11.5" customWidth="1"/>
    <col min="12295" max="12295" width="11.625" customWidth="1"/>
    <col min="12296" max="12296" width="15.5" customWidth="1"/>
    <col min="12297" max="12297" width="18.75" customWidth="1"/>
    <col min="12298" max="12298" width="15.375" customWidth="1"/>
    <col min="12299" max="12299" width="15.125" customWidth="1"/>
    <col min="12301" max="12301" width="11" customWidth="1"/>
    <col min="12302" max="12302" width="10.625" customWidth="1"/>
    <col min="12303" max="12303" width="9.625" customWidth="1"/>
    <col min="12546" max="12546" width="7" customWidth="1"/>
    <col min="12547" max="12547" width="17.75" customWidth="1"/>
    <col min="12548" max="12548" width="10.875" customWidth="1"/>
    <col min="12549" max="12549" width="11.25" customWidth="1"/>
    <col min="12550" max="12550" width="11.5" customWidth="1"/>
    <col min="12551" max="12551" width="11.625" customWidth="1"/>
    <col min="12552" max="12552" width="15.5" customWidth="1"/>
    <col min="12553" max="12553" width="18.75" customWidth="1"/>
    <col min="12554" max="12554" width="15.375" customWidth="1"/>
    <col min="12555" max="12555" width="15.125" customWidth="1"/>
    <col min="12557" max="12557" width="11" customWidth="1"/>
    <col min="12558" max="12558" width="10.625" customWidth="1"/>
    <col min="12559" max="12559" width="9.625" customWidth="1"/>
    <col min="12802" max="12802" width="7" customWidth="1"/>
    <col min="12803" max="12803" width="17.75" customWidth="1"/>
    <col min="12804" max="12804" width="10.875" customWidth="1"/>
    <col min="12805" max="12805" width="11.25" customWidth="1"/>
    <col min="12806" max="12806" width="11.5" customWidth="1"/>
    <col min="12807" max="12807" width="11.625" customWidth="1"/>
    <col min="12808" max="12808" width="15.5" customWidth="1"/>
    <col min="12809" max="12809" width="18.75" customWidth="1"/>
    <col min="12810" max="12810" width="15.375" customWidth="1"/>
    <col min="12811" max="12811" width="15.125" customWidth="1"/>
    <col min="12813" max="12813" width="11" customWidth="1"/>
    <col min="12814" max="12814" width="10.625" customWidth="1"/>
    <col min="12815" max="12815" width="9.625" customWidth="1"/>
    <col min="13058" max="13058" width="7" customWidth="1"/>
    <col min="13059" max="13059" width="17.75" customWidth="1"/>
    <col min="13060" max="13060" width="10.875" customWidth="1"/>
    <col min="13061" max="13061" width="11.25" customWidth="1"/>
    <col min="13062" max="13062" width="11.5" customWidth="1"/>
    <col min="13063" max="13063" width="11.625" customWidth="1"/>
    <col min="13064" max="13064" width="15.5" customWidth="1"/>
    <col min="13065" max="13065" width="18.75" customWidth="1"/>
    <col min="13066" max="13066" width="15.375" customWidth="1"/>
    <col min="13067" max="13067" width="15.125" customWidth="1"/>
    <col min="13069" max="13069" width="11" customWidth="1"/>
    <col min="13070" max="13070" width="10.625" customWidth="1"/>
    <col min="13071" max="13071" width="9.625" customWidth="1"/>
    <col min="13314" max="13314" width="7" customWidth="1"/>
    <col min="13315" max="13315" width="17.75" customWidth="1"/>
    <col min="13316" max="13316" width="10.875" customWidth="1"/>
    <col min="13317" max="13317" width="11.25" customWidth="1"/>
    <col min="13318" max="13318" width="11.5" customWidth="1"/>
    <col min="13319" max="13319" width="11.625" customWidth="1"/>
    <col min="13320" max="13320" width="15.5" customWidth="1"/>
    <col min="13321" max="13321" width="18.75" customWidth="1"/>
    <col min="13322" max="13322" width="15.375" customWidth="1"/>
    <col min="13323" max="13323" width="15.125" customWidth="1"/>
    <col min="13325" max="13325" width="11" customWidth="1"/>
    <col min="13326" max="13326" width="10.625" customWidth="1"/>
    <col min="13327" max="13327" width="9.625" customWidth="1"/>
    <col min="13570" max="13570" width="7" customWidth="1"/>
    <col min="13571" max="13571" width="17.75" customWidth="1"/>
    <col min="13572" max="13572" width="10.875" customWidth="1"/>
    <col min="13573" max="13573" width="11.25" customWidth="1"/>
    <col min="13574" max="13574" width="11.5" customWidth="1"/>
    <col min="13575" max="13575" width="11.625" customWidth="1"/>
    <col min="13576" max="13576" width="15.5" customWidth="1"/>
    <col min="13577" max="13577" width="18.75" customWidth="1"/>
    <col min="13578" max="13578" width="15.375" customWidth="1"/>
    <col min="13579" max="13579" width="15.125" customWidth="1"/>
    <col min="13581" max="13581" width="11" customWidth="1"/>
    <col min="13582" max="13582" width="10.625" customWidth="1"/>
    <col min="13583" max="13583" width="9.625" customWidth="1"/>
    <col min="13826" max="13826" width="7" customWidth="1"/>
    <col min="13827" max="13827" width="17.75" customWidth="1"/>
    <col min="13828" max="13828" width="10.875" customWidth="1"/>
    <col min="13829" max="13829" width="11.25" customWidth="1"/>
    <col min="13830" max="13830" width="11.5" customWidth="1"/>
    <col min="13831" max="13831" width="11.625" customWidth="1"/>
    <col min="13832" max="13832" width="15.5" customWidth="1"/>
    <col min="13833" max="13833" width="18.75" customWidth="1"/>
    <col min="13834" max="13834" width="15.375" customWidth="1"/>
    <col min="13835" max="13835" width="15.125" customWidth="1"/>
    <col min="13837" max="13837" width="11" customWidth="1"/>
    <col min="13838" max="13838" width="10.625" customWidth="1"/>
    <col min="13839" max="13839" width="9.625" customWidth="1"/>
    <col min="14082" max="14082" width="7" customWidth="1"/>
    <col min="14083" max="14083" width="17.75" customWidth="1"/>
    <col min="14084" max="14084" width="10.875" customWidth="1"/>
    <col min="14085" max="14085" width="11.25" customWidth="1"/>
    <col min="14086" max="14086" width="11.5" customWidth="1"/>
    <col min="14087" max="14087" width="11.625" customWidth="1"/>
    <col min="14088" max="14088" width="15.5" customWidth="1"/>
    <col min="14089" max="14089" width="18.75" customWidth="1"/>
    <col min="14090" max="14090" width="15.375" customWidth="1"/>
    <col min="14091" max="14091" width="15.125" customWidth="1"/>
    <col min="14093" max="14093" width="11" customWidth="1"/>
    <col min="14094" max="14094" width="10.625" customWidth="1"/>
    <col min="14095" max="14095" width="9.625" customWidth="1"/>
    <col min="14338" max="14338" width="7" customWidth="1"/>
    <col min="14339" max="14339" width="17.75" customWidth="1"/>
    <col min="14340" max="14340" width="10.875" customWidth="1"/>
    <col min="14341" max="14341" width="11.25" customWidth="1"/>
    <col min="14342" max="14342" width="11.5" customWidth="1"/>
    <col min="14343" max="14343" width="11.625" customWidth="1"/>
    <col min="14344" max="14344" width="15.5" customWidth="1"/>
    <col min="14345" max="14345" width="18.75" customWidth="1"/>
    <col min="14346" max="14346" width="15.375" customWidth="1"/>
    <col min="14347" max="14347" width="15.125" customWidth="1"/>
    <col min="14349" max="14349" width="11" customWidth="1"/>
    <col min="14350" max="14350" width="10.625" customWidth="1"/>
    <col min="14351" max="14351" width="9.625" customWidth="1"/>
    <col min="14594" max="14594" width="7" customWidth="1"/>
    <col min="14595" max="14595" width="17.75" customWidth="1"/>
    <col min="14596" max="14596" width="10.875" customWidth="1"/>
    <col min="14597" max="14597" width="11.25" customWidth="1"/>
    <col min="14598" max="14598" width="11.5" customWidth="1"/>
    <col min="14599" max="14599" width="11.625" customWidth="1"/>
    <col min="14600" max="14600" width="15.5" customWidth="1"/>
    <col min="14601" max="14601" width="18.75" customWidth="1"/>
    <col min="14602" max="14602" width="15.375" customWidth="1"/>
    <col min="14603" max="14603" width="15.125" customWidth="1"/>
    <col min="14605" max="14605" width="11" customWidth="1"/>
    <col min="14606" max="14606" width="10.625" customWidth="1"/>
    <col min="14607" max="14607" width="9.625" customWidth="1"/>
    <col min="14850" max="14850" width="7" customWidth="1"/>
    <col min="14851" max="14851" width="17.75" customWidth="1"/>
    <col min="14852" max="14852" width="10.875" customWidth="1"/>
    <col min="14853" max="14853" width="11.25" customWidth="1"/>
    <col min="14854" max="14854" width="11.5" customWidth="1"/>
    <col min="14855" max="14855" width="11.625" customWidth="1"/>
    <col min="14856" max="14856" width="15.5" customWidth="1"/>
    <col min="14857" max="14857" width="18.75" customWidth="1"/>
    <col min="14858" max="14858" width="15.375" customWidth="1"/>
    <col min="14859" max="14859" width="15.125" customWidth="1"/>
    <col min="14861" max="14861" width="11" customWidth="1"/>
    <col min="14862" max="14862" width="10.625" customWidth="1"/>
    <col min="14863" max="14863" width="9.625" customWidth="1"/>
    <col min="15106" max="15106" width="7" customWidth="1"/>
    <col min="15107" max="15107" width="17.75" customWidth="1"/>
    <col min="15108" max="15108" width="10.875" customWidth="1"/>
    <col min="15109" max="15109" width="11.25" customWidth="1"/>
    <col min="15110" max="15110" width="11.5" customWidth="1"/>
    <col min="15111" max="15111" width="11.625" customWidth="1"/>
    <col min="15112" max="15112" width="15.5" customWidth="1"/>
    <col min="15113" max="15113" width="18.75" customWidth="1"/>
    <col min="15114" max="15114" width="15.375" customWidth="1"/>
    <col min="15115" max="15115" width="15.125" customWidth="1"/>
    <col min="15117" max="15117" width="11" customWidth="1"/>
    <col min="15118" max="15118" width="10.625" customWidth="1"/>
    <col min="15119" max="15119" width="9.625" customWidth="1"/>
    <col min="15362" max="15362" width="7" customWidth="1"/>
    <col min="15363" max="15363" width="17.75" customWidth="1"/>
    <col min="15364" max="15364" width="10.875" customWidth="1"/>
    <col min="15365" max="15365" width="11.25" customWidth="1"/>
    <col min="15366" max="15366" width="11.5" customWidth="1"/>
    <col min="15367" max="15367" width="11.625" customWidth="1"/>
    <col min="15368" max="15368" width="15.5" customWidth="1"/>
    <col min="15369" max="15369" width="18.75" customWidth="1"/>
    <col min="15370" max="15370" width="15.375" customWidth="1"/>
    <col min="15371" max="15371" width="15.125" customWidth="1"/>
    <col min="15373" max="15373" width="11" customWidth="1"/>
    <col min="15374" max="15374" width="10.625" customWidth="1"/>
    <col min="15375" max="15375" width="9.625" customWidth="1"/>
    <col min="15618" max="15618" width="7" customWidth="1"/>
    <col min="15619" max="15619" width="17.75" customWidth="1"/>
    <col min="15620" max="15620" width="10.875" customWidth="1"/>
    <col min="15621" max="15621" width="11.25" customWidth="1"/>
    <col min="15622" max="15622" width="11.5" customWidth="1"/>
    <col min="15623" max="15623" width="11.625" customWidth="1"/>
    <col min="15624" max="15624" width="15.5" customWidth="1"/>
    <col min="15625" max="15625" width="18.75" customWidth="1"/>
    <col min="15626" max="15626" width="15.375" customWidth="1"/>
    <col min="15627" max="15627" width="15.125" customWidth="1"/>
    <col min="15629" max="15629" width="11" customWidth="1"/>
    <col min="15630" max="15630" width="10.625" customWidth="1"/>
    <col min="15631" max="15631" width="9.625" customWidth="1"/>
    <col min="15874" max="15874" width="7" customWidth="1"/>
    <col min="15875" max="15875" width="17.75" customWidth="1"/>
    <col min="15876" max="15876" width="10.875" customWidth="1"/>
    <col min="15877" max="15877" width="11.25" customWidth="1"/>
    <col min="15878" max="15878" width="11.5" customWidth="1"/>
    <col min="15879" max="15879" width="11.625" customWidth="1"/>
    <col min="15880" max="15880" width="15.5" customWidth="1"/>
    <col min="15881" max="15881" width="18.75" customWidth="1"/>
    <col min="15882" max="15882" width="15.375" customWidth="1"/>
    <col min="15883" max="15883" width="15.125" customWidth="1"/>
    <col min="15885" max="15885" width="11" customWidth="1"/>
    <col min="15886" max="15886" width="10.625" customWidth="1"/>
    <col min="15887" max="15887" width="9.625" customWidth="1"/>
    <col min="16130" max="16130" width="7" customWidth="1"/>
    <col min="16131" max="16131" width="17.75" customWidth="1"/>
    <col min="16132" max="16132" width="10.875" customWidth="1"/>
    <col min="16133" max="16133" width="11.25" customWidth="1"/>
    <col min="16134" max="16134" width="11.5" customWidth="1"/>
    <col min="16135" max="16135" width="11.625" customWidth="1"/>
    <col min="16136" max="16136" width="15.5" customWidth="1"/>
    <col min="16137" max="16137" width="18.75" customWidth="1"/>
    <col min="16138" max="16138" width="15.375" customWidth="1"/>
    <col min="16139" max="16139" width="15.125" customWidth="1"/>
    <col min="16141" max="16141" width="11" customWidth="1"/>
    <col min="16142" max="16142" width="10.625" customWidth="1"/>
    <col min="16143" max="16143" width="9.625" customWidth="1"/>
  </cols>
  <sheetData>
    <row r="1" spans="1:15" ht="20.25" x14ac:dyDescent="0.3">
      <c r="A1" s="214"/>
      <c r="B1" s="214"/>
      <c r="C1" s="214"/>
      <c r="D1" s="214"/>
      <c r="E1" s="214"/>
      <c r="F1" s="214"/>
      <c r="G1" s="280" t="s">
        <v>0</v>
      </c>
      <c r="H1" s="214"/>
      <c r="I1" s="214"/>
      <c r="J1" s="214"/>
      <c r="K1" s="214"/>
      <c r="L1" s="214"/>
      <c r="M1" s="214"/>
      <c r="N1" s="214" t="s">
        <v>1</v>
      </c>
      <c r="O1" s="214"/>
    </row>
    <row r="2" spans="1:15" ht="18" x14ac:dyDescent="0.25">
      <c r="A2" s="214"/>
      <c r="B2" s="214"/>
      <c r="C2" s="214"/>
      <c r="D2" s="214"/>
      <c r="E2" s="214"/>
      <c r="F2" s="214"/>
      <c r="G2" s="331"/>
      <c r="H2" s="214"/>
      <c r="I2" s="214"/>
      <c r="J2" s="214"/>
      <c r="K2" s="214"/>
      <c r="L2" s="214"/>
      <c r="M2" s="214"/>
      <c r="N2" s="214"/>
      <c r="O2" s="214"/>
    </row>
    <row r="3" spans="1:15" ht="18" x14ac:dyDescent="0.25">
      <c r="A3" s="512" t="s">
        <v>2</v>
      </c>
      <c r="B3" s="512"/>
      <c r="C3" s="331" t="s">
        <v>38</v>
      </c>
      <c r="D3" s="214"/>
      <c r="E3" s="214"/>
      <c r="F3" s="214"/>
      <c r="G3" s="331"/>
      <c r="H3" s="214"/>
      <c r="I3" s="214"/>
      <c r="J3" s="214"/>
      <c r="K3" s="214"/>
      <c r="L3" s="214"/>
      <c r="M3" s="214"/>
      <c r="N3" s="214"/>
      <c r="O3" s="214"/>
    </row>
    <row r="4" spans="1:15" ht="18" x14ac:dyDescent="0.25">
      <c r="A4" s="512" t="s">
        <v>3</v>
      </c>
      <c r="B4" s="512"/>
      <c r="C4" s="331" t="s">
        <v>40</v>
      </c>
      <c r="D4" s="214"/>
      <c r="E4" s="214"/>
      <c r="F4" s="214"/>
      <c r="G4" s="331"/>
      <c r="H4" s="214"/>
      <c r="I4" s="214"/>
      <c r="J4" s="214"/>
      <c r="K4" s="214"/>
      <c r="L4" s="214"/>
      <c r="M4" s="214"/>
      <c r="N4" s="214"/>
      <c r="O4" s="214"/>
    </row>
    <row r="5" spans="1:15" ht="18" x14ac:dyDescent="0.25">
      <c r="A5" s="512" t="s">
        <v>4</v>
      </c>
      <c r="B5" s="512"/>
      <c r="C5" s="331" t="s">
        <v>41</v>
      </c>
      <c r="D5" s="214"/>
      <c r="E5" s="214"/>
      <c r="F5" s="214"/>
      <c r="G5" s="331"/>
      <c r="H5" s="214"/>
      <c r="I5" s="214"/>
      <c r="J5" s="214"/>
      <c r="K5" s="214"/>
      <c r="L5" s="214"/>
      <c r="M5" s="214"/>
      <c r="N5" s="214"/>
      <c r="O5" s="214"/>
    </row>
    <row r="6" spans="1:15" ht="18" x14ac:dyDescent="0.25">
      <c r="A6" s="512" t="s">
        <v>5</v>
      </c>
      <c r="B6" s="512"/>
      <c r="C6" s="331" t="s">
        <v>555</v>
      </c>
      <c r="D6" s="214"/>
      <c r="E6" s="214"/>
      <c r="F6" s="214"/>
      <c r="G6" s="331"/>
      <c r="H6" s="214"/>
      <c r="I6" s="214"/>
      <c r="J6" s="214"/>
      <c r="K6" s="214"/>
      <c r="L6" s="214"/>
      <c r="M6" s="214"/>
      <c r="N6" s="214"/>
      <c r="O6" s="214"/>
    </row>
    <row r="7" spans="1:15" ht="18" x14ac:dyDescent="0.25">
      <c r="A7" s="331"/>
      <c r="B7" s="331"/>
      <c r="C7" s="331"/>
      <c r="D7" s="214"/>
      <c r="E7" s="214"/>
      <c r="F7" s="214"/>
      <c r="G7" s="214"/>
      <c r="H7" s="214"/>
      <c r="I7" s="214"/>
      <c r="J7" s="214"/>
      <c r="K7" s="214"/>
      <c r="L7" s="214"/>
      <c r="M7" s="214"/>
      <c r="N7" s="214"/>
      <c r="O7" s="214"/>
    </row>
    <row r="8" spans="1:15" ht="18" x14ac:dyDescent="0.25">
      <c r="A8" s="331" t="s">
        <v>6</v>
      </c>
      <c r="B8" s="331"/>
      <c r="C8" s="331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</row>
    <row r="9" spans="1:15" ht="18" customHeight="1" x14ac:dyDescent="0.25">
      <c r="A9" s="317" t="s">
        <v>7</v>
      </c>
      <c r="B9" s="500" t="s">
        <v>8</v>
      </c>
      <c r="C9" s="500"/>
      <c r="D9" s="317" t="s">
        <v>9</v>
      </c>
      <c r="E9" s="317" t="s">
        <v>10</v>
      </c>
      <c r="F9" s="489" t="s">
        <v>11</v>
      </c>
      <c r="G9" s="489" t="s">
        <v>12</v>
      </c>
      <c r="H9" s="317" t="s">
        <v>13</v>
      </c>
      <c r="I9" s="317"/>
      <c r="J9" s="317" t="s">
        <v>15</v>
      </c>
      <c r="K9" s="317" t="s">
        <v>16</v>
      </c>
      <c r="L9" s="494" t="s">
        <v>17</v>
      </c>
      <c r="M9" s="494"/>
      <c r="N9" s="494"/>
      <c r="O9" s="317" t="s">
        <v>18</v>
      </c>
    </row>
    <row r="10" spans="1:15" ht="18" customHeight="1" x14ac:dyDescent="0.25">
      <c r="A10" s="490" t="s">
        <v>19</v>
      </c>
      <c r="B10" s="495" t="s">
        <v>20</v>
      </c>
      <c r="C10" s="496"/>
      <c r="D10" s="490" t="s">
        <v>21</v>
      </c>
      <c r="E10" s="490" t="s">
        <v>22</v>
      </c>
      <c r="F10" s="490"/>
      <c r="G10" s="490"/>
      <c r="H10" s="319" t="s">
        <v>23</v>
      </c>
      <c r="I10" s="319" t="s">
        <v>544</v>
      </c>
      <c r="J10" s="319" t="s">
        <v>24</v>
      </c>
      <c r="K10" s="319" t="s">
        <v>25</v>
      </c>
      <c r="L10" s="319" t="s">
        <v>26</v>
      </c>
      <c r="M10" s="319" t="s">
        <v>27</v>
      </c>
      <c r="N10" s="319" t="s">
        <v>28</v>
      </c>
      <c r="O10" s="481" t="s">
        <v>29</v>
      </c>
    </row>
    <row r="11" spans="1:15" ht="18" customHeight="1" x14ac:dyDescent="0.25">
      <c r="A11" s="491"/>
      <c r="B11" s="497"/>
      <c r="C11" s="498"/>
      <c r="D11" s="491"/>
      <c r="E11" s="491"/>
      <c r="F11" s="491"/>
      <c r="G11" s="491"/>
      <c r="H11" s="318" t="s">
        <v>30</v>
      </c>
      <c r="I11" s="318"/>
      <c r="J11" s="318" t="s">
        <v>31</v>
      </c>
      <c r="K11" s="318" t="s">
        <v>32</v>
      </c>
      <c r="L11" s="318" t="s">
        <v>33</v>
      </c>
      <c r="M11" s="318" t="s">
        <v>34</v>
      </c>
      <c r="N11" s="318" t="s">
        <v>35</v>
      </c>
      <c r="O11" s="482"/>
    </row>
    <row r="12" spans="1:15" ht="18" customHeight="1" x14ac:dyDescent="0.25">
      <c r="A12" s="263">
        <v>1</v>
      </c>
      <c r="B12" s="483">
        <v>2</v>
      </c>
      <c r="C12" s="484"/>
      <c r="D12" s="315">
        <v>3</v>
      </c>
      <c r="E12" s="315">
        <v>4</v>
      </c>
      <c r="F12" s="316">
        <v>5</v>
      </c>
      <c r="G12" s="316">
        <v>6</v>
      </c>
      <c r="H12" s="319">
        <v>7</v>
      </c>
      <c r="I12" s="319">
        <v>8</v>
      </c>
      <c r="J12" s="319">
        <v>9</v>
      </c>
      <c r="K12" s="319">
        <v>10</v>
      </c>
      <c r="L12" s="319">
        <v>11</v>
      </c>
      <c r="M12" s="319">
        <v>12</v>
      </c>
      <c r="N12" s="319">
        <v>13</v>
      </c>
      <c r="O12" s="315">
        <v>14</v>
      </c>
    </row>
    <row r="13" spans="1:15" ht="36" customHeight="1" x14ac:dyDescent="0.25">
      <c r="A13" s="266">
        <v>1</v>
      </c>
      <c r="B13" s="487" t="s">
        <v>99</v>
      </c>
      <c r="C13" s="488"/>
      <c r="D13" s="346" t="s">
        <v>102</v>
      </c>
      <c r="E13" s="347"/>
      <c r="F13" s="347"/>
      <c r="G13" s="273" t="s">
        <v>56</v>
      </c>
      <c r="H13" s="273">
        <v>2013</v>
      </c>
      <c r="I13" s="273" t="s">
        <v>101</v>
      </c>
      <c r="J13" s="274" t="s">
        <v>111</v>
      </c>
      <c r="K13" s="354">
        <v>2820699</v>
      </c>
      <c r="L13" s="273" t="s">
        <v>26</v>
      </c>
      <c r="M13" s="347"/>
      <c r="N13" s="347"/>
      <c r="O13" s="347"/>
    </row>
    <row r="14" spans="1:15" ht="36" customHeight="1" x14ac:dyDescent="0.25">
      <c r="A14" s="266">
        <f t="shared" ref="A14:A19" si="0">A13+1</f>
        <v>2</v>
      </c>
      <c r="B14" s="487" t="s">
        <v>104</v>
      </c>
      <c r="C14" s="488"/>
      <c r="D14" s="271" t="s">
        <v>231</v>
      </c>
      <c r="E14" s="347"/>
      <c r="F14" s="347"/>
      <c r="G14" s="340" t="s">
        <v>56</v>
      </c>
      <c r="H14" s="273">
        <v>2017</v>
      </c>
      <c r="I14" s="273" t="s">
        <v>105</v>
      </c>
      <c r="J14" s="274" t="s">
        <v>83</v>
      </c>
      <c r="K14" s="354">
        <v>2081257</v>
      </c>
      <c r="L14" s="273" t="s">
        <v>26</v>
      </c>
      <c r="M14" s="347"/>
      <c r="N14" s="347"/>
      <c r="O14" s="347"/>
    </row>
    <row r="15" spans="1:15" ht="36" customHeight="1" x14ac:dyDescent="0.25">
      <c r="A15" s="266">
        <f t="shared" si="0"/>
        <v>3</v>
      </c>
      <c r="B15" s="487" t="s">
        <v>104</v>
      </c>
      <c r="C15" s="488"/>
      <c r="D15" s="271" t="s">
        <v>231</v>
      </c>
      <c r="E15" s="347"/>
      <c r="F15" s="347"/>
      <c r="G15" s="340"/>
      <c r="H15" s="273">
        <v>2018</v>
      </c>
      <c r="I15" s="273" t="s">
        <v>105</v>
      </c>
      <c r="J15" s="274" t="s">
        <v>200</v>
      </c>
      <c r="K15" s="354">
        <v>2095323</v>
      </c>
      <c r="L15" s="273" t="s">
        <v>26</v>
      </c>
      <c r="M15" s="347"/>
      <c r="N15" s="347"/>
      <c r="O15" s="347"/>
    </row>
    <row r="16" spans="1:15" ht="36" customHeight="1" x14ac:dyDescent="0.25">
      <c r="A16" s="266">
        <f t="shared" si="0"/>
        <v>4</v>
      </c>
      <c r="B16" s="492" t="s">
        <v>208</v>
      </c>
      <c r="C16" s="493"/>
      <c r="D16" s="344" t="s">
        <v>223</v>
      </c>
      <c r="E16" s="335"/>
      <c r="F16" s="335"/>
      <c r="G16" s="282" t="s">
        <v>433</v>
      </c>
      <c r="H16" s="266">
        <v>1997</v>
      </c>
      <c r="I16" s="266" t="s">
        <v>210</v>
      </c>
      <c r="J16" s="269" t="s">
        <v>97</v>
      </c>
      <c r="K16" s="291">
        <v>148648.5</v>
      </c>
      <c r="L16" s="282"/>
      <c r="M16" s="335" t="s">
        <v>27</v>
      </c>
      <c r="N16" s="335"/>
      <c r="O16" s="338"/>
    </row>
    <row r="17" spans="1:15" ht="36" x14ac:dyDescent="0.25">
      <c r="A17" s="266">
        <f t="shared" si="0"/>
        <v>5</v>
      </c>
      <c r="B17" s="487" t="s">
        <v>52</v>
      </c>
      <c r="C17" s="488"/>
      <c r="D17" s="346" t="s">
        <v>82</v>
      </c>
      <c r="E17" s="347"/>
      <c r="F17" s="347"/>
      <c r="G17" s="353"/>
      <c r="H17" s="273">
        <v>2020</v>
      </c>
      <c r="I17" s="273" t="s">
        <v>53</v>
      </c>
      <c r="J17" s="274" t="s">
        <v>88</v>
      </c>
      <c r="K17" s="355">
        <v>8165750</v>
      </c>
      <c r="L17" s="273" t="s">
        <v>26</v>
      </c>
      <c r="M17" s="347"/>
      <c r="N17" s="347"/>
      <c r="O17" s="347"/>
    </row>
    <row r="18" spans="1:15" ht="54" customHeight="1" x14ac:dyDescent="0.25">
      <c r="A18" s="266">
        <f t="shared" si="0"/>
        <v>6</v>
      </c>
      <c r="B18" s="487" t="s">
        <v>175</v>
      </c>
      <c r="C18" s="488"/>
      <c r="D18" s="271" t="s">
        <v>230</v>
      </c>
      <c r="E18" s="347"/>
      <c r="F18" s="347"/>
      <c r="G18" s="273" t="s">
        <v>214</v>
      </c>
      <c r="H18" s="273">
        <v>2015</v>
      </c>
      <c r="I18" s="273" t="s">
        <v>177</v>
      </c>
      <c r="J18" s="274" t="s">
        <v>125</v>
      </c>
      <c r="K18" s="354">
        <v>3600000</v>
      </c>
      <c r="L18" s="273" t="s">
        <v>26</v>
      </c>
      <c r="M18" s="347"/>
      <c r="N18" s="347"/>
      <c r="O18" s="347"/>
    </row>
    <row r="19" spans="1:15" ht="36" x14ac:dyDescent="0.25">
      <c r="A19" s="266">
        <f t="shared" si="0"/>
        <v>7</v>
      </c>
      <c r="B19" s="487" t="s">
        <v>49</v>
      </c>
      <c r="C19" s="488"/>
      <c r="D19" s="346" t="s">
        <v>290</v>
      </c>
      <c r="E19" s="347"/>
      <c r="F19" s="347"/>
      <c r="G19" s="273" t="s">
        <v>50</v>
      </c>
      <c r="H19" s="273">
        <v>2018</v>
      </c>
      <c r="I19" s="273" t="s">
        <v>51</v>
      </c>
      <c r="J19" s="274" t="s">
        <v>83</v>
      </c>
      <c r="K19" s="355">
        <v>1969099</v>
      </c>
      <c r="L19" s="273" t="s">
        <v>26</v>
      </c>
      <c r="M19" s="347"/>
      <c r="N19" s="347"/>
      <c r="O19" s="347"/>
    </row>
    <row r="20" spans="1:15" ht="18" x14ac:dyDescent="0.25">
      <c r="A20" s="214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</row>
    <row r="21" spans="1:15" ht="18" x14ac:dyDescent="0.25">
      <c r="A21" s="214"/>
      <c r="B21" s="214"/>
      <c r="C21" s="277" t="s">
        <v>36</v>
      </c>
      <c r="D21" s="214"/>
      <c r="E21" s="214"/>
      <c r="F21" s="214"/>
      <c r="G21" s="214"/>
      <c r="H21" s="214"/>
      <c r="I21" s="214"/>
      <c r="J21" s="214"/>
      <c r="K21" s="214"/>
      <c r="L21" s="277" t="s">
        <v>583</v>
      </c>
      <c r="M21" s="214"/>
      <c r="N21" s="214"/>
      <c r="O21" s="214"/>
    </row>
    <row r="22" spans="1:15" ht="18" x14ac:dyDescent="0.25">
      <c r="A22" s="214"/>
      <c r="B22" s="214"/>
      <c r="C22" s="277"/>
      <c r="D22" s="214"/>
      <c r="E22" s="214"/>
      <c r="F22" s="214"/>
      <c r="G22" s="214"/>
      <c r="H22" s="214"/>
      <c r="I22" s="214"/>
      <c r="J22" s="214"/>
      <c r="K22" s="214"/>
      <c r="L22" s="277"/>
      <c r="M22" s="214"/>
      <c r="N22" s="214"/>
      <c r="O22" s="214"/>
    </row>
    <row r="23" spans="1:15" ht="18" x14ac:dyDescent="0.25">
      <c r="A23" s="214"/>
      <c r="B23" s="214"/>
      <c r="C23" s="5" t="s">
        <v>572</v>
      </c>
      <c r="D23" s="214"/>
      <c r="E23" s="214"/>
      <c r="F23" s="214"/>
      <c r="G23" s="214"/>
      <c r="H23" s="214"/>
      <c r="I23" s="214"/>
      <c r="J23" s="214"/>
      <c r="K23" s="214"/>
      <c r="L23" s="5" t="s">
        <v>37</v>
      </c>
      <c r="M23" s="214"/>
      <c r="N23" s="214"/>
      <c r="O23" s="214"/>
    </row>
    <row r="24" spans="1:15" ht="18" x14ac:dyDescent="0.25">
      <c r="A24" s="214"/>
      <c r="B24" s="214"/>
      <c r="C24" s="5"/>
      <c r="D24" s="214"/>
      <c r="E24" s="214"/>
      <c r="F24" s="214"/>
      <c r="G24" s="214"/>
      <c r="H24" s="214"/>
      <c r="I24" s="214"/>
      <c r="J24" s="214"/>
      <c r="K24" s="214"/>
      <c r="L24" s="5"/>
      <c r="M24" s="214"/>
      <c r="N24" s="214"/>
      <c r="O24" s="214"/>
    </row>
    <row r="25" spans="1:15" ht="18" x14ac:dyDescent="0.25">
      <c r="A25" s="214"/>
      <c r="B25" s="214"/>
      <c r="C25" s="5"/>
      <c r="D25" s="214"/>
      <c r="E25" s="214"/>
      <c r="F25" s="214"/>
      <c r="G25" s="214"/>
      <c r="H25" s="214"/>
      <c r="I25" s="214"/>
      <c r="J25" s="214"/>
      <c r="K25" s="214"/>
      <c r="L25" s="5"/>
      <c r="M25" s="214"/>
      <c r="N25" s="214"/>
      <c r="O25" s="214"/>
    </row>
    <row r="26" spans="1:15" ht="18" x14ac:dyDescent="0.25">
      <c r="A26" s="214"/>
      <c r="B26" s="214"/>
      <c r="C26" s="5"/>
      <c r="D26" s="214"/>
      <c r="E26" s="214"/>
      <c r="F26" s="214"/>
      <c r="G26" s="214"/>
      <c r="H26" s="214"/>
      <c r="I26" s="214"/>
      <c r="J26" s="214"/>
      <c r="K26" s="214"/>
      <c r="L26" s="5"/>
      <c r="M26" s="214"/>
      <c r="N26" s="214"/>
      <c r="O26" s="214"/>
    </row>
    <row r="27" spans="1:15" ht="18" x14ac:dyDescent="0.25">
      <c r="A27" s="214"/>
      <c r="B27" s="214"/>
      <c r="C27" s="6" t="s">
        <v>573</v>
      </c>
      <c r="D27" s="214"/>
      <c r="E27" s="214"/>
      <c r="F27" s="214"/>
      <c r="G27" s="214"/>
      <c r="H27" s="214"/>
      <c r="I27" s="214"/>
      <c r="J27" s="214"/>
      <c r="K27" s="214"/>
      <c r="L27" s="6" t="s">
        <v>576</v>
      </c>
      <c r="M27" s="214"/>
      <c r="N27" s="214"/>
      <c r="O27" s="214"/>
    </row>
    <row r="28" spans="1:15" ht="18" x14ac:dyDescent="0.25">
      <c r="A28" s="214"/>
      <c r="B28" s="214"/>
      <c r="C28" s="5" t="s">
        <v>39</v>
      </c>
      <c r="D28" s="214"/>
      <c r="E28" s="214"/>
      <c r="F28" s="214"/>
      <c r="G28" s="214"/>
      <c r="H28" s="214"/>
      <c r="I28" s="214"/>
      <c r="J28" s="214"/>
      <c r="K28" s="214"/>
      <c r="L28" s="23" t="str">
        <f>'RUANG KABID POLITIK'!L28</f>
        <v>NIP. 19721124 200604 2 005</v>
      </c>
      <c r="M28" s="214"/>
      <c r="N28" s="214"/>
      <c r="O28" s="214"/>
    </row>
    <row r="29" spans="1:15" ht="18" x14ac:dyDescent="0.25">
      <c r="A29" s="214"/>
      <c r="B29" s="214"/>
      <c r="C29" s="23" t="s">
        <v>574</v>
      </c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</row>
    <row r="30" spans="1:15" x14ac:dyDescent="0.25">
      <c r="K30" s="24"/>
    </row>
    <row r="31" spans="1:15" x14ac:dyDescent="0.25">
      <c r="B31" s="21"/>
      <c r="K31" s="25"/>
    </row>
    <row r="32" spans="1:15" x14ac:dyDescent="0.25">
      <c r="B32" s="22"/>
    </row>
    <row r="33" spans="2:2" x14ac:dyDescent="0.25">
      <c r="B33" s="22"/>
    </row>
  </sheetData>
  <mergeCells count="21">
    <mergeCell ref="B19:C19"/>
    <mergeCell ref="B16:C16"/>
    <mergeCell ref="A10:A11"/>
    <mergeCell ref="B10:C11"/>
    <mergeCell ref="D10:D11"/>
    <mergeCell ref="B15:C15"/>
    <mergeCell ref="B17:C17"/>
    <mergeCell ref="A3:B3"/>
    <mergeCell ref="A4:B4"/>
    <mergeCell ref="A5:B5"/>
    <mergeCell ref="A6:B6"/>
    <mergeCell ref="B9:C9"/>
    <mergeCell ref="O10:O11"/>
    <mergeCell ref="B12:C12"/>
    <mergeCell ref="B18:C18"/>
    <mergeCell ref="B13:C13"/>
    <mergeCell ref="B14:C14"/>
    <mergeCell ref="G9:G11"/>
    <mergeCell ref="L9:N9"/>
    <mergeCell ref="F9:F11"/>
    <mergeCell ref="E10:E11"/>
  </mergeCells>
  <printOptions horizontalCentered="1"/>
  <pageMargins left="0.11811023622047245" right="0.35433070866141736" top="0.19685039370078741" bottom="0.15748031496062992" header="0" footer="0"/>
  <pageSetup paperSize="5" scale="70" orientation="landscape" horizontalDpi="4294967293" verticalDpi="180" r:id="rId1"/>
  <headerFooter alignWithMargins="0">
    <oddFooter>&amp;L&amp;9&amp;F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P85"/>
  <sheetViews>
    <sheetView view="pageBreakPreview" topLeftCell="A52" zoomScale="50" zoomScaleNormal="55" zoomScaleSheetLayoutView="50" workbookViewId="0">
      <selection activeCell="R88" sqref="R88"/>
    </sheetView>
  </sheetViews>
  <sheetFormatPr defaultRowHeight="15.75" x14ac:dyDescent="0.25"/>
  <cols>
    <col min="2" max="2" width="6.125" customWidth="1"/>
    <col min="3" max="3" width="7" customWidth="1"/>
    <col min="4" max="4" width="24.625" customWidth="1"/>
    <col min="5" max="5" width="15.75" customWidth="1"/>
    <col min="6" max="6" width="10.375" customWidth="1"/>
    <col min="7" max="7" width="9.125" customWidth="1"/>
    <col min="8" max="8" width="12.75" customWidth="1"/>
    <col min="9" max="9" width="19" customWidth="1"/>
    <col min="10" max="10" width="20.125" customWidth="1"/>
    <col min="11" max="11" width="13.875" customWidth="1"/>
    <col min="12" max="12" width="15.125" customWidth="1"/>
    <col min="14" max="14" width="14.875" customWidth="1"/>
    <col min="15" max="15" width="14.375" customWidth="1"/>
    <col min="16" max="16" width="14.125" customWidth="1"/>
    <col min="259" max="259" width="7" customWidth="1"/>
    <col min="260" max="260" width="17.75" customWidth="1"/>
    <col min="261" max="261" width="10.875" customWidth="1"/>
    <col min="262" max="262" width="11.25" customWidth="1"/>
    <col min="263" max="263" width="11.5" customWidth="1"/>
    <col min="264" max="264" width="11.625" customWidth="1"/>
    <col min="265" max="265" width="15.5" customWidth="1"/>
    <col min="266" max="266" width="18.75" customWidth="1"/>
    <col min="267" max="267" width="15.375" customWidth="1"/>
    <col min="268" max="268" width="15.125" customWidth="1"/>
    <col min="270" max="270" width="11" customWidth="1"/>
    <col min="271" max="271" width="10.625" customWidth="1"/>
    <col min="272" max="272" width="9.625" customWidth="1"/>
    <col min="515" max="515" width="7" customWidth="1"/>
    <col min="516" max="516" width="17.75" customWidth="1"/>
    <col min="517" max="517" width="10.875" customWidth="1"/>
    <col min="518" max="518" width="11.25" customWidth="1"/>
    <col min="519" max="519" width="11.5" customWidth="1"/>
    <col min="520" max="520" width="11.625" customWidth="1"/>
    <col min="521" max="521" width="15.5" customWidth="1"/>
    <col min="522" max="522" width="18.75" customWidth="1"/>
    <col min="523" max="523" width="15.375" customWidth="1"/>
    <col min="524" max="524" width="15.125" customWidth="1"/>
    <col min="526" max="526" width="11" customWidth="1"/>
    <col min="527" max="527" width="10.625" customWidth="1"/>
    <col min="528" max="528" width="9.625" customWidth="1"/>
    <col min="771" max="771" width="7" customWidth="1"/>
    <col min="772" max="772" width="17.75" customWidth="1"/>
    <col min="773" max="773" width="10.875" customWidth="1"/>
    <col min="774" max="774" width="11.25" customWidth="1"/>
    <col min="775" max="775" width="11.5" customWidth="1"/>
    <col min="776" max="776" width="11.625" customWidth="1"/>
    <col min="777" max="777" width="15.5" customWidth="1"/>
    <col min="778" max="778" width="18.75" customWidth="1"/>
    <col min="779" max="779" width="15.375" customWidth="1"/>
    <col min="780" max="780" width="15.125" customWidth="1"/>
    <col min="782" max="782" width="11" customWidth="1"/>
    <col min="783" max="783" width="10.625" customWidth="1"/>
    <col min="784" max="784" width="9.625" customWidth="1"/>
    <col min="1027" max="1027" width="7" customWidth="1"/>
    <col min="1028" max="1028" width="17.75" customWidth="1"/>
    <col min="1029" max="1029" width="10.875" customWidth="1"/>
    <col min="1030" max="1030" width="11.25" customWidth="1"/>
    <col min="1031" max="1031" width="11.5" customWidth="1"/>
    <col min="1032" max="1032" width="11.625" customWidth="1"/>
    <col min="1033" max="1033" width="15.5" customWidth="1"/>
    <col min="1034" max="1034" width="18.75" customWidth="1"/>
    <col min="1035" max="1035" width="15.375" customWidth="1"/>
    <col min="1036" max="1036" width="15.125" customWidth="1"/>
    <col min="1038" max="1038" width="11" customWidth="1"/>
    <col min="1039" max="1039" width="10.625" customWidth="1"/>
    <col min="1040" max="1040" width="9.625" customWidth="1"/>
    <col min="1283" max="1283" width="7" customWidth="1"/>
    <col min="1284" max="1284" width="17.75" customWidth="1"/>
    <col min="1285" max="1285" width="10.875" customWidth="1"/>
    <col min="1286" max="1286" width="11.25" customWidth="1"/>
    <col min="1287" max="1287" width="11.5" customWidth="1"/>
    <col min="1288" max="1288" width="11.625" customWidth="1"/>
    <col min="1289" max="1289" width="15.5" customWidth="1"/>
    <col min="1290" max="1290" width="18.75" customWidth="1"/>
    <col min="1291" max="1291" width="15.375" customWidth="1"/>
    <col min="1292" max="1292" width="15.125" customWidth="1"/>
    <col min="1294" max="1294" width="11" customWidth="1"/>
    <col min="1295" max="1295" width="10.625" customWidth="1"/>
    <col min="1296" max="1296" width="9.625" customWidth="1"/>
    <col min="1539" max="1539" width="7" customWidth="1"/>
    <col min="1540" max="1540" width="17.75" customWidth="1"/>
    <col min="1541" max="1541" width="10.875" customWidth="1"/>
    <col min="1542" max="1542" width="11.25" customWidth="1"/>
    <col min="1543" max="1543" width="11.5" customWidth="1"/>
    <col min="1544" max="1544" width="11.625" customWidth="1"/>
    <col min="1545" max="1545" width="15.5" customWidth="1"/>
    <col min="1546" max="1546" width="18.75" customWidth="1"/>
    <col min="1547" max="1547" width="15.375" customWidth="1"/>
    <col min="1548" max="1548" width="15.125" customWidth="1"/>
    <col min="1550" max="1550" width="11" customWidth="1"/>
    <col min="1551" max="1551" width="10.625" customWidth="1"/>
    <col min="1552" max="1552" width="9.625" customWidth="1"/>
    <col min="1795" max="1795" width="7" customWidth="1"/>
    <col min="1796" max="1796" width="17.75" customWidth="1"/>
    <col min="1797" max="1797" width="10.875" customWidth="1"/>
    <col min="1798" max="1798" width="11.25" customWidth="1"/>
    <col min="1799" max="1799" width="11.5" customWidth="1"/>
    <col min="1800" max="1800" width="11.625" customWidth="1"/>
    <col min="1801" max="1801" width="15.5" customWidth="1"/>
    <col min="1802" max="1802" width="18.75" customWidth="1"/>
    <col min="1803" max="1803" width="15.375" customWidth="1"/>
    <col min="1804" max="1804" width="15.125" customWidth="1"/>
    <col min="1806" max="1806" width="11" customWidth="1"/>
    <col min="1807" max="1807" width="10.625" customWidth="1"/>
    <col min="1808" max="1808" width="9.625" customWidth="1"/>
    <col min="2051" max="2051" width="7" customWidth="1"/>
    <col min="2052" max="2052" width="17.75" customWidth="1"/>
    <col min="2053" max="2053" width="10.875" customWidth="1"/>
    <col min="2054" max="2054" width="11.25" customWidth="1"/>
    <col min="2055" max="2055" width="11.5" customWidth="1"/>
    <col min="2056" max="2056" width="11.625" customWidth="1"/>
    <col min="2057" max="2057" width="15.5" customWidth="1"/>
    <col min="2058" max="2058" width="18.75" customWidth="1"/>
    <col min="2059" max="2059" width="15.375" customWidth="1"/>
    <col min="2060" max="2060" width="15.125" customWidth="1"/>
    <col min="2062" max="2062" width="11" customWidth="1"/>
    <col min="2063" max="2063" width="10.625" customWidth="1"/>
    <col min="2064" max="2064" width="9.625" customWidth="1"/>
    <col min="2307" max="2307" width="7" customWidth="1"/>
    <col min="2308" max="2308" width="17.75" customWidth="1"/>
    <col min="2309" max="2309" width="10.875" customWidth="1"/>
    <col min="2310" max="2310" width="11.25" customWidth="1"/>
    <col min="2311" max="2311" width="11.5" customWidth="1"/>
    <col min="2312" max="2312" width="11.625" customWidth="1"/>
    <col min="2313" max="2313" width="15.5" customWidth="1"/>
    <col min="2314" max="2314" width="18.75" customWidth="1"/>
    <col min="2315" max="2315" width="15.375" customWidth="1"/>
    <col min="2316" max="2316" width="15.125" customWidth="1"/>
    <col min="2318" max="2318" width="11" customWidth="1"/>
    <col min="2319" max="2319" width="10.625" customWidth="1"/>
    <col min="2320" max="2320" width="9.625" customWidth="1"/>
    <col min="2563" max="2563" width="7" customWidth="1"/>
    <col min="2564" max="2564" width="17.75" customWidth="1"/>
    <col min="2565" max="2565" width="10.875" customWidth="1"/>
    <col min="2566" max="2566" width="11.25" customWidth="1"/>
    <col min="2567" max="2567" width="11.5" customWidth="1"/>
    <col min="2568" max="2568" width="11.625" customWidth="1"/>
    <col min="2569" max="2569" width="15.5" customWidth="1"/>
    <col min="2570" max="2570" width="18.75" customWidth="1"/>
    <col min="2571" max="2571" width="15.375" customWidth="1"/>
    <col min="2572" max="2572" width="15.125" customWidth="1"/>
    <col min="2574" max="2574" width="11" customWidth="1"/>
    <col min="2575" max="2575" width="10.625" customWidth="1"/>
    <col min="2576" max="2576" width="9.625" customWidth="1"/>
    <col min="2819" max="2819" width="7" customWidth="1"/>
    <col min="2820" max="2820" width="17.75" customWidth="1"/>
    <col min="2821" max="2821" width="10.875" customWidth="1"/>
    <col min="2822" max="2822" width="11.25" customWidth="1"/>
    <col min="2823" max="2823" width="11.5" customWidth="1"/>
    <col min="2824" max="2824" width="11.625" customWidth="1"/>
    <col min="2825" max="2825" width="15.5" customWidth="1"/>
    <col min="2826" max="2826" width="18.75" customWidth="1"/>
    <col min="2827" max="2827" width="15.375" customWidth="1"/>
    <col min="2828" max="2828" width="15.125" customWidth="1"/>
    <col min="2830" max="2830" width="11" customWidth="1"/>
    <col min="2831" max="2831" width="10.625" customWidth="1"/>
    <col min="2832" max="2832" width="9.625" customWidth="1"/>
    <col min="3075" max="3075" width="7" customWidth="1"/>
    <col min="3076" max="3076" width="17.75" customWidth="1"/>
    <col min="3077" max="3077" width="10.875" customWidth="1"/>
    <col min="3078" max="3078" width="11.25" customWidth="1"/>
    <col min="3079" max="3079" width="11.5" customWidth="1"/>
    <col min="3080" max="3080" width="11.625" customWidth="1"/>
    <col min="3081" max="3081" width="15.5" customWidth="1"/>
    <col min="3082" max="3082" width="18.75" customWidth="1"/>
    <col min="3083" max="3083" width="15.375" customWidth="1"/>
    <col min="3084" max="3084" width="15.125" customWidth="1"/>
    <col min="3086" max="3086" width="11" customWidth="1"/>
    <col min="3087" max="3087" width="10.625" customWidth="1"/>
    <col min="3088" max="3088" width="9.625" customWidth="1"/>
    <col min="3331" max="3331" width="7" customWidth="1"/>
    <col min="3332" max="3332" width="17.75" customWidth="1"/>
    <col min="3333" max="3333" width="10.875" customWidth="1"/>
    <col min="3334" max="3334" width="11.25" customWidth="1"/>
    <col min="3335" max="3335" width="11.5" customWidth="1"/>
    <col min="3336" max="3336" width="11.625" customWidth="1"/>
    <col min="3337" max="3337" width="15.5" customWidth="1"/>
    <col min="3338" max="3338" width="18.75" customWidth="1"/>
    <col min="3339" max="3339" width="15.375" customWidth="1"/>
    <col min="3340" max="3340" width="15.125" customWidth="1"/>
    <col min="3342" max="3342" width="11" customWidth="1"/>
    <col min="3343" max="3343" width="10.625" customWidth="1"/>
    <col min="3344" max="3344" width="9.625" customWidth="1"/>
    <col min="3587" max="3587" width="7" customWidth="1"/>
    <col min="3588" max="3588" width="17.75" customWidth="1"/>
    <col min="3589" max="3589" width="10.875" customWidth="1"/>
    <col min="3590" max="3590" width="11.25" customWidth="1"/>
    <col min="3591" max="3591" width="11.5" customWidth="1"/>
    <col min="3592" max="3592" width="11.625" customWidth="1"/>
    <col min="3593" max="3593" width="15.5" customWidth="1"/>
    <col min="3594" max="3594" width="18.75" customWidth="1"/>
    <col min="3595" max="3595" width="15.375" customWidth="1"/>
    <col min="3596" max="3596" width="15.125" customWidth="1"/>
    <col min="3598" max="3598" width="11" customWidth="1"/>
    <col min="3599" max="3599" width="10.625" customWidth="1"/>
    <col min="3600" max="3600" width="9.625" customWidth="1"/>
    <col min="3843" max="3843" width="7" customWidth="1"/>
    <col min="3844" max="3844" width="17.75" customWidth="1"/>
    <col min="3845" max="3845" width="10.875" customWidth="1"/>
    <col min="3846" max="3846" width="11.25" customWidth="1"/>
    <col min="3847" max="3847" width="11.5" customWidth="1"/>
    <col min="3848" max="3848" width="11.625" customWidth="1"/>
    <col min="3849" max="3849" width="15.5" customWidth="1"/>
    <col min="3850" max="3850" width="18.75" customWidth="1"/>
    <col min="3851" max="3851" width="15.375" customWidth="1"/>
    <col min="3852" max="3852" width="15.125" customWidth="1"/>
    <col min="3854" max="3854" width="11" customWidth="1"/>
    <col min="3855" max="3855" width="10.625" customWidth="1"/>
    <col min="3856" max="3856" width="9.625" customWidth="1"/>
    <col min="4099" max="4099" width="7" customWidth="1"/>
    <col min="4100" max="4100" width="17.75" customWidth="1"/>
    <col min="4101" max="4101" width="10.875" customWidth="1"/>
    <col min="4102" max="4102" width="11.25" customWidth="1"/>
    <col min="4103" max="4103" width="11.5" customWidth="1"/>
    <col min="4104" max="4104" width="11.625" customWidth="1"/>
    <col min="4105" max="4105" width="15.5" customWidth="1"/>
    <col min="4106" max="4106" width="18.75" customWidth="1"/>
    <col min="4107" max="4107" width="15.375" customWidth="1"/>
    <col min="4108" max="4108" width="15.125" customWidth="1"/>
    <col min="4110" max="4110" width="11" customWidth="1"/>
    <col min="4111" max="4111" width="10.625" customWidth="1"/>
    <col min="4112" max="4112" width="9.625" customWidth="1"/>
    <col min="4355" max="4355" width="7" customWidth="1"/>
    <col min="4356" max="4356" width="17.75" customWidth="1"/>
    <col min="4357" max="4357" width="10.875" customWidth="1"/>
    <col min="4358" max="4358" width="11.25" customWidth="1"/>
    <col min="4359" max="4359" width="11.5" customWidth="1"/>
    <col min="4360" max="4360" width="11.625" customWidth="1"/>
    <col min="4361" max="4361" width="15.5" customWidth="1"/>
    <col min="4362" max="4362" width="18.75" customWidth="1"/>
    <col min="4363" max="4363" width="15.375" customWidth="1"/>
    <col min="4364" max="4364" width="15.125" customWidth="1"/>
    <col min="4366" max="4366" width="11" customWidth="1"/>
    <col min="4367" max="4367" width="10.625" customWidth="1"/>
    <col min="4368" max="4368" width="9.625" customWidth="1"/>
    <col min="4611" max="4611" width="7" customWidth="1"/>
    <col min="4612" max="4612" width="17.75" customWidth="1"/>
    <col min="4613" max="4613" width="10.875" customWidth="1"/>
    <col min="4614" max="4614" width="11.25" customWidth="1"/>
    <col min="4615" max="4615" width="11.5" customWidth="1"/>
    <col min="4616" max="4616" width="11.625" customWidth="1"/>
    <col min="4617" max="4617" width="15.5" customWidth="1"/>
    <col min="4618" max="4618" width="18.75" customWidth="1"/>
    <col min="4619" max="4619" width="15.375" customWidth="1"/>
    <col min="4620" max="4620" width="15.125" customWidth="1"/>
    <col min="4622" max="4622" width="11" customWidth="1"/>
    <col min="4623" max="4623" width="10.625" customWidth="1"/>
    <col min="4624" max="4624" width="9.625" customWidth="1"/>
    <col min="4867" max="4867" width="7" customWidth="1"/>
    <col min="4868" max="4868" width="17.75" customWidth="1"/>
    <col min="4869" max="4869" width="10.875" customWidth="1"/>
    <col min="4870" max="4870" width="11.25" customWidth="1"/>
    <col min="4871" max="4871" width="11.5" customWidth="1"/>
    <col min="4872" max="4872" width="11.625" customWidth="1"/>
    <col min="4873" max="4873" width="15.5" customWidth="1"/>
    <col min="4874" max="4874" width="18.75" customWidth="1"/>
    <col min="4875" max="4875" width="15.375" customWidth="1"/>
    <col min="4876" max="4876" width="15.125" customWidth="1"/>
    <col min="4878" max="4878" width="11" customWidth="1"/>
    <col min="4879" max="4879" width="10.625" customWidth="1"/>
    <col min="4880" max="4880" width="9.625" customWidth="1"/>
    <col min="5123" max="5123" width="7" customWidth="1"/>
    <col min="5124" max="5124" width="17.75" customWidth="1"/>
    <col min="5125" max="5125" width="10.875" customWidth="1"/>
    <col min="5126" max="5126" width="11.25" customWidth="1"/>
    <col min="5127" max="5127" width="11.5" customWidth="1"/>
    <col min="5128" max="5128" width="11.625" customWidth="1"/>
    <col min="5129" max="5129" width="15.5" customWidth="1"/>
    <col min="5130" max="5130" width="18.75" customWidth="1"/>
    <col min="5131" max="5131" width="15.375" customWidth="1"/>
    <col min="5132" max="5132" width="15.125" customWidth="1"/>
    <col min="5134" max="5134" width="11" customWidth="1"/>
    <col min="5135" max="5135" width="10.625" customWidth="1"/>
    <col min="5136" max="5136" width="9.625" customWidth="1"/>
    <col min="5379" max="5379" width="7" customWidth="1"/>
    <col min="5380" max="5380" width="17.75" customWidth="1"/>
    <col min="5381" max="5381" width="10.875" customWidth="1"/>
    <col min="5382" max="5382" width="11.25" customWidth="1"/>
    <col min="5383" max="5383" width="11.5" customWidth="1"/>
    <col min="5384" max="5384" width="11.625" customWidth="1"/>
    <col min="5385" max="5385" width="15.5" customWidth="1"/>
    <col min="5386" max="5386" width="18.75" customWidth="1"/>
    <col min="5387" max="5387" width="15.375" customWidth="1"/>
    <col min="5388" max="5388" width="15.125" customWidth="1"/>
    <col min="5390" max="5390" width="11" customWidth="1"/>
    <col min="5391" max="5391" width="10.625" customWidth="1"/>
    <col min="5392" max="5392" width="9.625" customWidth="1"/>
    <col min="5635" max="5635" width="7" customWidth="1"/>
    <col min="5636" max="5636" width="17.75" customWidth="1"/>
    <col min="5637" max="5637" width="10.875" customWidth="1"/>
    <col min="5638" max="5638" width="11.25" customWidth="1"/>
    <col min="5639" max="5639" width="11.5" customWidth="1"/>
    <col min="5640" max="5640" width="11.625" customWidth="1"/>
    <col min="5641" max="5641" width="15.5" customWidth="1"/>
    <col min="5642" max="5642" width="18.75" customWidth="1"/>
    <col min="5643" max="5643" width="15.375" customWidth="1"/>
    <col min="5644" max="5644" width="15.125" customWidth="1"/>
    <col min="5646" max="5646" width="11" customWidth="1"/>
    <col min="5647" max="5647" width="10.625" customWidth="1"/>
    <col min="5648" max="5648" width="9.625" customWidth="1"/>
    <col min="5891" max="5891" width="7" customWidth="1"/>
    <col min="5892" max="5892" width="17.75" customWidth="1"/>
    <col min="5893" max="5893" width="10.875" customWidth="1"/>
    <col min="5894" max="5894" width="11.25" customWidth="1"/>
    <col min="5895" max="5895" width="11.5" customWidth="1"/>
    <col min="5896" max="5896" width="11.625" customWidth="1"/>
    <col min="5897" max="5897" width="15.5" customWidth="1"/>
    <col min="5898" max="5898" width="18.75" customWidth="1"/>
    <col min="5899" max="5899" width="15.375" customWidth="1"/>
    <col min="5900" max="5900" width="15.125" customWidth="1"/>
    <col min="5902" max="5902" width="11" customWidth="1"/>
    <col min="5903" max="5903" width="10.625" customWidth="1"/>
    <col min="5904" max="5904" width="9.625" customWidth="1"/>
    <col min="6147" max="6147" width="7" customWidth="1"/>
    <col min="6148" max="6148" width="17.75" customWidth="1"/>
    <col min="6149" max="6149" width="10.875" customWidth="1"/>
    <col min="6150" max="6150" width="11.25" customWidth="1"/>
    <col min="6151" max="6151" width="11.5" customWidth="1"/>
    <col min="6152" max="6152" width="11.625" customWidth="1"/>
    <col min="6153" max="6153" width="15.5" customWidth="1"/>
    <col min="6154" max="6154" width="18.75" customWidth="1"/>
    <col min="6155" max="6155" width="15.375" customWidth="1"/>
    <col min="6156" max="6156" width="15.125" customWidth="1"/>
    <col min="6158" max="6158" width="11" customWidth="1"/>
    <col min="6159" max="6159" width="10.625" customWidth="1"/>
    <col min="6160" max="6160" width="9.625" customWidth="1"/>
    <col min="6403" max="6403" width="7" customWidth="1"/>
    <col min="6404" max="6404" width="17.75" customWidth="1"/>
    <col min="6405" max="6405" width="10.875" customWidth="1"/>
    <col min="6406" max="6406" width="11.25" customWidth="1"/>
    <col min="6407" max="6407" width="11.5" customWidth="1"/>
    <col min="6408" max="6408" width="11.625" customWidth="1"/>
    <col min="6409" max="6409" width="15.5" customWidth="1"/>
    <col min="6410" max="6410" width="18.75" customWidth="1"/>
    <col min="6411" max="6411" width="15.375" customWidth="1"/>
    <col min="6412" max="6412" width="15.125" customWidth="1"/>
    <col min="6414" max="6414" width="11" customWidth="1"/>
    <col min="6415" max="6415" width="10.625" customWidth="1"/>
    <col min="6416" max="6416" width="9.625" customWidth="1"/>
    <col min="6659" max="6659" width="7" customWidth="1"/>
    <col min="6660" max="6660" width="17.75" customWidth="1"/>
    <col min="6661" max="6661" width="10.875" customWidth="1"/>
    <col min="6662" max="6662" width="11.25" customWidth="1"/>
    <col min="6663" max="6663" width="11.5" customWidth="1"/>
    <col min="6664" max="6664" width="11.625" customWidth="1"/>
    <col min="6665" max="6665" width="15.5" customWidth="1"/>
    <col min="6666" max="6666" width="18.75" customWidth="1"/>
    <col min="6667" max="6667" width="15.375" customWidth="1"/>
    <col min="6668" max="6668" width="15.125" customWidth="1"/>
    <col min="6670" max="6670" width="11" customWidth="1"/>
    <col min="6671" max="6671" width="10.625" customWidth="1"/>
    <col min="6672" max="6672" width="9.625" customWidth="1"/>
    <col min="6915" max="6915" width="7" customWidth="1"/>
    <col min="6916" max="6916" width="17.75" customWidth="1"/>
    <col min="6917" max="6917" width="10.875" customWidth="1"/>
    <col min="6918" max="6918" width="11.25" customWidth="1"/>
    <col min="6919" max="6919" width="11.5" customWidth="1"/>
    <col min="6920" max="6920" width="11.625" customWidth="1"/>
    <col min="6921" max="6921" width="15.5" customWidth="1"/>
    <col min="6922" max="6922" width="18.75" customWidth="1"/>
    <col min="6923" max="6923" width="15.375" customWidth="1"/>
    <col min="6924" max="6924" width="15.125" customWidth="1"/>
    <col min="6926" max="6926" width="11" customWidth="1"/>
    <col min="6927" max="6927" width="10.625" customWidth="1"/>
    <col min="6928" max="6928" width="9.625" customWidth="1"/>
    <col min="7171" max="7171" width="7" customWidth="1"/>
    <col min="7172" max="7172" width="17.75" customWidth="1"/>
    <col min="7173" max="7173" width="10.875" customWidth="1"/>
    <col min="7174" max="7174" width="11.25" customWidth="1"/>
    <col min="7175" max="7175" width="11.5" customWidth="1"/>
    <col min="7176" max="7176" width="11.625" customWidth="1"/>
    <col min="7177" max="7177" width="15.5" customWidth="1"/>
    <col min="7178" max="7178" width="18.75" customWidth="1"/>
    <col min="7179" max="7179" width="15.375" customWidth="1"/>
    <col min="7180" max="7180" width="15.125" customWidth="1"/>
    <col min="7182" max="7182" width="11" customWidth="1"/>
    <col min="7183" max="7183" width="10.625" customWidth="1"/>
    <col min="7184" max="7184" width="9.625" customWidth="1"/>
    <col min="7427" max="7427" width="7" customWidth="1"/>
    <col min="7428" max="7428" width="17.75" customWidth="1"/>
    <col min="7429" max="7429" width="10.875" customWidth="1"/>
    <col min="7430" max="7430" width="11.25" customWidth="1"/>
    <col min="7431" max="7431" width="11.5" customWidth="1"/>
    <col min="7432" max="7432" width="11.625" customWidth="1"/>
    <col min="7433" max="7433" width="15.5" customWidth="1"/>
    <col min="7434" max="7434" width="18.75" customWidth="1"/>
    <col min="7435" max="7435" width="15.375" customWidth="1"/>
    <col min="7436" max="7436" width="15.125" customWidth="1"/>
    <col min="7438" max="7438" width="11" customWidth="1"/>
    <col min="7439" max="7439" width="10.625" customWidth="1"/>
    <col min="7440" max="7440" width="9.625" customWidth="1"/>
    <col min="7683" max="7683" width="7" customWidth="1"/>
    <col min="7684" max="7684" width="17.75" customWidth="1"/>
    <col min="7685" max="7685" width="10.875" customWidth="1"/>
    <col min="7686" max="7686" width="11.25" customWidth="1"/>
    <col min="7687" max="7687" width="11.5" customWidth="1"/>
    <col min="7688" max="7688" width="11.625" customWidth="1"/>
    <col min="7689" max="7689" width="15.5" customWidth="1"/>
    <col min="7690" max="7690" width="18.75" customWidth="1"/>
    <col min="7691" max="7691" width="15.375" customWidth="1"/>
    <col min="7692" max="7692" width="15.125" customWidth="1"/>
    <col min="7694" max="7694" width="11" customWidth="1"/>
    <col min="7695" max="7695" width="10.625" customWidth="1"/>
    <col min="7696" max="7696" width="9.625" customWidth="1"/>
    <col min="7939" max="7939" width="7" customWidth="1"/>
    <col min="7940" max="7940" width="17.75" customWidth="1"/>
    <col min="7941" max="7941" width="10.875" customWidth="1"/>
    <col min="7942" max="7942" width="11.25" customWidth="1"/>
    <col min="7943" max="7943" width="11.5" customWidth="1"/>
    <col min="7944" max="7944" width="11.625" customWidth="1"/>
    <col min="7945" max="7945" width="15.5" customWidth="1"/>
    <col min="7946" max="7946" width="18.75" customWidth="1"/>
    <col min="7947" max="7947" width="15.375" customWidth="1"/>
    <col min="7948" max="7948" width="15.125" customWidth="1"/>
    <col min="7950" max="7950" width="11" customWidth="1"/>
    <col min="7951" max="7951" width="10.625" customWidth="1"/>
    <col min="7952" max="7952" width="9.625" customWidth="1"/>
    <col min="8195" max="8195" width="7" customWidth="1"/>
    <col min="8196" max="8196" width="17.75" customWidth="1"/>
    <col min="8197" max="8197" width="10.875" customWidth="1"/>
    <col min="8198" max="8198" width="11.25" customWidth="1"/>
    <col min="8199" max="8199" width="11.5" customWidth="1"/>
    <col min="8200" max="8200" width="11.625" customWidth="1"/>
    <col min="8201" max="8201" width="15.5" customWidth="1"/>
    <col min="8202" max="8202" width="18.75" customWidth="1"/>
    <col min="8203" max="8203" width="15.375" customWidth="1"/>
    <col min="8204" max="8204" width="15.125" customWidth="1"/>
    <col min="8206" max="8206" width="11" customWidth="1"/>
    <col min="8207" max="8207" width="10.625" customWidth="1"/>
    <col min="8208" max="8208" width="9.625" customWidth="1"/>
    <col min="8451" max="8451" width="7" customWidth="1"/>
    <col min="8452" max="8452" width="17.75" customWidth="1"/>
    <col min="8453" max="8453" width="10.875" customWidth="1"/>
    <col min="8454" max="8454" width="11.25" customWidth="1"/>
    <col min="8455" max="8455" width="11.5" customWidth="1"/>
    <col min="8456" max="8456" width="11.625" customWidth="1"/>
    <col min="8457" max="8457" width="15.5" customWidth="1"/>
    <col min="8458" max="8458" width="18.75" customWidth="1"/>
    <col min="8459" max="8459" width="15.375" customWidth="1"/>
    <col min="8460" max="8460" width="15.125" customWidth="1"/>
    <col min="8462" max="8462" width="11" customWidth="1"/>
    <col min="8463" max="8463" width="10.625" customWidth="1"/>
    <col min="8464" max="8464" width="9.625" customWidth="1"/>
    <col min="8707" max="8707" width="7" customWidth="1"/>
    <col min="8708" max="8708" width="17.75" customWidth="1"/>
    <col min="8709" max="8709" width="10.875" customWidth="1"/>
    <col min="8710" max="8710" width="11.25" customWidth="1"/>
    <col min="8711" max="8711" width="11.5" customWidth="1"/>
    <col min="8712" max="8712" width="11.625" customWidth="1"/>
    <col min="8713" max="8713" width="15.5" customWidth="1"/>
    <col min="8714" max="8714" width="18.75" customWidth="1"/>
    <col min="8715" max="8715" width="15.375" customWidth="1"/>
    <col min="8716" max="8716" width="15.125" customWidth="1"/>
    <col min="8718" max="8718" width="11" customWidth="1"/>
    <col min="8719" max="8719" width="10.625" customWidth="1"/>
    <col min="8720" max="8720" width="9.625" customWidth="1"/>
    <col min="8963" max="8963" width="7" customWidth="1"/>
    <col min="8964" max="8964" width="17.75" customWidth="1"/>
    <col min="8965" max="8965" width="10.875" customWidth="1"/>
    <col min="8966" max="8966" width="11.25" customWidth="1"/>
    <col min="8967" max="8967" width="11.5" customWidth="1"/>
    <col min="8968" max="8968" width="11.625" customWidth="1"/>
    <col min="8969" max="8969" width="15.5" customWidth="1"/>
    <col min="8970" max="8970" width="18.75" customWidth="1"/>
    <col min="8971" max="8971" width="15.375" customWidth="1"/>
    <col min="8972" max="8972" width="15.125" customWidth="1"/>
    <col min="8974" max="8974" width="11" customWidth="1"/>
    <col min="8975" max="8975" width="10.625" customWidth="1"/>
    <col min="8976" max="8976" width="9.625" customWidth="1"/>
    <col min="9219" max="9219" width="7" customWidth="1"/>
    <col min="9220" max="9220" width="17.75" customWidth="1"/>
    <col min="9221" max="9221" width="10.875" customWidth="1"/>
    <col min="9222" max="9222" width="11.25" customWidth="1"/>
    <col min="9223" max="9223" width="11.5" customWidth="1"/>
    <col min="9224" max="9224" width="11.625" customWidth="1"/>
    <col min="9225" max="9225" width="15.5" customWidth="1"/>
    <col min="9226" max="9226" width="18.75" customWidth="1"/>
    <col min="9227" max="9227" width="15.375" customWidth="1"/>
    <col min="9228" max="9228" width="15.125" customWidth="1"/>
    <col min="9230" max="9230" width="11" customWidth="1"/>
    <col min="9231" max="9231" width="10.625" customWidth="1"/>
    <col min="9232" max="9232" width="9.625" customWidth="1"/>
    <col min="9475" max="9475" width="7" customWidth="1"/>
    <col min="9476" max="9476" width="17.75" customWidth="1"/>
    <col min="9477" max="9477" width="10.875" customWidth="1"/>
    <col min="9478" max="9478" width="11.25" customWidth="1"/>
    <col min="9479" max="9479" width="11.5" customWidth="1"/>
    <col min="9480" max="9480" width="11.625" customWidth="1"/>
    <col min="9481" max="9481" width="15.5" customWidth="1"/>
    <col min="9482" max="9482" width="18.75" customWidth="1"/>
    <col min="9483" max="9483" width="15.375" customWidth="1"/>
    <col min="9484" max="9484" width="15.125" customWidth="1"/>
    <col min="9486" max="9486" width="11" customWidth="1"/>
    <col min="9487" max="9487" width="10.625" customWidth="1"/>
    <col min="9488" max="9488" width="9.625" customWidth="1"/>
    <col min="9731" max="9731" width="7" customWidth="1"/>
    <col min="9732" max="9732" width="17.75" customWidth="1"/>
    <col min="9733" max="9733" width="10.875" customWidth="1"/>
    <col min="9734" max="9734" width="11.25" customWidth="1"/>
    <col min="9735" max="9735" width="11.5" customWidth="1"/>
    <col min="9736" max="9736" width="11.625" customWidth="1"/>
    <col min="9737" max="9737" width="15.5" customWidth="1"/>
    <col min="9738" max="9738" width="18.75" customWidth="1"/>
    <col min="9739" max="9739" width="15.375" customWidth="1"/>
    <col min="9740" max="9740" width="15.125" customWidth="1"/>
    <col min="9742" max="9742" width="11" customWidth="1"/>
    <col min="9743" max="9743" width="10.625" customWidth="1"/>
    <col min="9744" max="9744" width="9.625" customWidth="1"/>
    <col min="9987" max="9987" width="7" customWidth="1"/>
    <col min="9988" max="9988" width="17.75" customWidth="1"/>
    <col min="9989" max="9989" width="10.875" customWidth="1"/>
    <col min="9990" max="9990" width="11.25" customWidth="1"/>
    <col min="9991" max="9991" width="11.5" customWidth="1"/>
    <col min="9992" max="9992" width="11.625" customWidth="1"/>
    <col min="9993" max="9993" width="15.5" customWidth="1"/>
    <col min="9994" max="9994" width="18.75" customWidth="1"/>
    <col min="9995" max="9995" width="15.375" customWidth="1"/>
    <col min="9996" max="9996" width="15.125" customWidth="1"/>
    <col min="9998" max="9998" width="11" customWidth="1"/>
    <col min="9999" max="9999" width="10.625" customWidth="1"/>
    <col min="10000" max="10000" width="9.625" customWidth="1"/>
    <col min="10243" max="10243" width="7" customWidth="1"/>
    <col min="10244" max="10244" width="17.75" customWidth="1"/>
    <col min="10245" max="10245" width="10.875" customWidth="1"/>
    <col min="10246" max="10246" width="11.25" customWidth="1"/>
    <col min="10247" max="10247" width="11.5" customWidth="1"/>
    <col min="10248" max="10248" width="11.625" customWidth="1"/>
    <col min="10249" max="10249" width="15.5" customWidth="1"/>
    <col min="10250" max="10250" width="18.75" customWidth="1"/>
    <col min="10251" max="10251" width="15.375" customWidth="1"/>
    <col min="10252" max="10252" width="15.125" customWidth="1"/>
    <col min="10254" max="10254" width="11" customWidth="1"/>
    <col min="10255" max="10255" width="10.625" customWidth="1"/>
    <col min="10256" max="10256" width="9.625" customWidth="1"/>
    <col min="10499" max="10499" width="7" customWidth="1"/>
    <col min="10500" max="10500" width="17.75" customWidth="1"/>
    <col min="10501" max="10501" width="10.875" customWidth="1"/>
    <col min="10502" max="10502" width="11.25" customWidth="1"/>
    <col min="10503" max="10503" width="11.5" customWidth="1"/>
    <col min="10504" max="10504" width="11.625" customWidth="1"/>
    <col min="10505" max="10505" width="15.5" customWidth="1"/>
    <col min="10506" max="10506" width="18.75" customWidth="1"/>
    <col min="10507" max="10507" width="15.375" customWidth="1"/>
    <col min="10508" max="10508" width="15.125" customWidth="1"/>
    <col min="10510" max="10510" width="11" customWidth="1"/>
    <col min="10511" max="10511" width="10.625" customWidth="1"/>
    <col min="10512" max="10512" width="9.625" customWidth="1"/>
    <col min="10755" max="10755" width="7" customWidth="1"/>
    <col min="10756" max="10756" width="17.75" customWidth="1"/>
    <col min="10757" max="10757" width="10.875" customWidth="1"/>
    <col min="10758" max="10758" width="11.25" customWidth="1"/>
    <col min="10759" max="10759" width="11.5" customWidth="1"/>
    <col min="10760" max="10760" width="11.625" customWidth="1"/>
    <col min="10761" max="10761" width="15.5" customWidth="1"/>
    <col min="10762" max="10762" width="18.75" customWidth="1"/>
    <col min="10763" max="10763" width="15.375" customWidth="1"/>
    <col min="10764" max="10764" width="15.125" customWidth="1"/>
    <col min="10766" max="10766" width="11" customWidth="1"/>
    <col min="10767" max="10767" width="10.625" customWidth="1"/>
    <col min="10768" max="10768" width="9.625" customWidth="1"/>
    <col min="11011" max="11011" width="7" customWidth="1"/>
    <col min="11012" max="11012" width="17.75" customWidth="1"/>
    <col min="11013" max="11013" width="10.875" customWidth="1"/>
    <col min="11014" max="11014" width="11.25" customWidth="1"/>
    <col min="11015" max="11015" width="11.5" customWidth="1"/>
    <col min="11016" max="11016" width="11.625" customWidth="1"/>
    <col min="11017" max="11017" width="15.5" customWidth="1"/>
    <col min="11018" max="11018" width="18.75" customWidth="1"/>
    <col min="11019" max="11019" width="15.375" customWidth="1"/>
    <col min="11020" max="11020" width="15.125" customWidth="1"/>
    <col min="11022" max="11022" width="11" customWidth="1"/>
    <col min="11023" max="11023" width="10.625" customWidth="1"/>
    <col min="11024" max="11024" width="9.625" customWidth="1"/>
    <col min="11267" max="11267" width="7" customWidth="1"/>
    <col min="11268" max="11268" width="17.75" customWidth="1"/>
    <col min="11269" max="11269" width="10.875" customWidth="1"/>
    <col min="11270" max="11270" width="11.25" customWidth="1"/>
    <col min="11271" max="11271" width="11.5" customWidth="1"/>
    <col min="11272" max="11272" width="11.625" customWidth="1"/>
    <col min="11273" max="11273" width="15.5" customWidth="1"/>
    <col min="11274" max="11274" width="18.75" customWidth="1"/>
    <col min="11275" max="11275" width="15.375" customWidth="1"/>
    <col min="11276" max="11276" width="15.125" customWidth="1"/>
    <col min="11278" max="11278" width="11" customWidth="1"/>
    <col min="11279" max="11279" width="10.625" customWidth="1"/>
    <col min="11280" max="11280" width="9.625" customWidth="1"/>
    <col min="11523" max="11523" width="7" customWidth="1"/>
    <col min="11524" max="11524" width="17.75" customWidth="1"/>
    <col min="11525" max="11525" width="10.875" customWidth="1"/>
    <col min="11526" max="11526" width="11.25" customWidth="1"/>
    <col min="11527" max="11527" width="11.5" customWidth="1"/>
    <col min="11528" max="11528" width="11.625" customWidth="1"/>
    <col min="11529" max="11529" width="15.5" customWidth="1"/>
    <col min="11530" max="11530" width="18.75" customWidth="1"/>
    <col min="11531" max="11531" width="15.375" customWidth="1"/>
    <col min="11532" max="11532" width="15.125" customWidth="1"/>
    <col min="11534" max="11534" width="11" customWidth="1"/>
    <col min="11535" max="11535" width="10.625" customWidth="1"/>
    <col min="11536" max="11536" width="9.625" customWidth="1"/>
    <col min="11779" max="11779" width="7" customWidth="1"/>
    <col min="11780" max="11780" width="17.75" customWidth="1"/>
    <col min="11781" max="11781" width="10.875" customWidth="1"/>
    <col min="11782" max="11782" width="11.25" customWidth="1"/>
    <col min="11783" max="11783" width="11.5" customWidth="1"/>
    <col min="11784" max="11784" width="11.625" customWidth="1"/>
    <col min="11785" max="11785" width="15.5" customWidth="1"/>
    <col min="11786" max="11786" width="18.75" customWidth="1"/>
    <col min="11787" max="11787" width="15.375" customWidth="1"/>
    <col min="11788" max="11788" width="15.125" customWidth="1"/>
    <col min="11790" max="11790" width="11" customWidth="1"/>
    <col min="11791" max="11791" width="10.625" customWidth="1"/>
    <col min="11792" max="11792" width="9.625" customWidth="1"/>
    <col min="12035" max="12035" width="7" customWidth="1"/>
    <col min="12036" max="12036" width="17.75" customWidth="1"/>
    <col min="12037" max="12037" width="10.875" customWidth="1"/>
    <col min="12038" max="12038" width="11.25" customWidth="1"/>
    <col min="12039" max="12039" width="11.5" customWidth="1"/>
    <col min="12040" max="12040" width="11.625" customWidth="1"/>
    <col min="12041" max="12041" width="15.5" customWidth="1"/>
    <col min="12042" max="12042" width="18.75" customWidth="1"/>
    <col min="12043" max="12043" width="15.375" customWidth="1"/>
    <col min="12044" max="12044" width="15.125" customWidth="1"/>
    <col min="12046" max="12046" width="11" customWidth="1"/>
    <col min="12047" max="12047" width="10.625" customWidth="1"/>
    <col min="12048" max="12048" width="9.625" customWidth="1"/>
    <col min="12291" max="12291" width="7" customWidth="1"/>
    <col min="12292" max="12292" width="17.75" customWidth="1"/>
    <col min="12293" max="12293" width="10.875" customWidth="1"/>
    <col min="12294" max="12294" width="11.25" customWidth="1"/>
    <col min="12295" max="12295" width="11.5" customWidth="1"/>
    <col min="12296" max="12296" width="11.625" customWidth="1"/>
    <col min="12297" max="12297" width="15.5" customWidth="1"/>
    <col min="12298" max="12298" width="18.75" customWidth="1"/>
    <col min="12299" max="12299" width="15.375" customWidth="1"/>
    <col min="12300" max="12300" width="15.125" customWidth="1"/>
    <col min="12302" max="12302" width="11" customWidth="1"/>
    <col min="12303" max="12303" width="10.625" customWidth="1"/>
    <col min="12304" max="12304" width="9.625" customWidth="1"/>
    <col min="12547" max="12547" width="7" customWidth="1"/>
    <col min="12548" max="12548" width="17.75" customWidth="1"/>
    <col min="12549" max="12549" width="10.875" customWidth="1"/>
    <col min="12550" max="12550" width="11.25" customWidth="1"/>
    <col min="12551" max="12551" width="11.5" customWidth="1"/>
    <col min="12552" max="12552" width="11.625" customWidth="1"/>
    <col min="12553" max="12553" width="15.5" customWidth="1"/>
    <col min="12554" max="12554" width="18.75" customWidth="1"/>
    <col min="12555" max="12555" width="15.375" customWidth="1"/>
    <col min="12556" max="12556" width="15.125" customWidth="1"/>
    <col min="12558" max="12558" width="11" customWidth="1"/>
    <col min="12559" max="12559" width="10.625" customWidth="1"/>
    <col min="12560" max="12560" width="9.625" customWidth="1"/>
    <col min="12803" max="12803" width="7" customWidth="1"/>
    <col min="12804" max="12804" width="17.75" customWidth="1"/>
    <col min="12805" max="12805" width="10.875" customWidth="1"/>
    <col min="12806" max="12806" width="11.25" customWidth="1"/>
    <col min="12807" max="12807" width="11.5" customWidth="1"/>
    <col min="12808" max="12808" width="11.625" customWidth="1"/>
    <col min="12809" max="12809" width="15.5" customWidth="1"/>
    <col min="12810" max="12810" width="18.75" customWidth="1"/>
    <col min="12811" max="12811" width="15.375" customWidth="1"/>
    <col min="12812" max="12812" width="15.125" customWidth="1"/>
    <col min="12814" max="12814" width="11" customWidth="1"/>
    <col min="12815" max="12815" width="10.625" customWidth="1"/>
    <col min="12816" max="12816" width="9.625" customWidth="1"/>
    <col min="13059" max="13059" width="7" customWidth="1"/>
    <col min="13060" max="13060" width="17.75" customWidth="1"/>
    <col min="13061" max="13061" width="10.875" customWidth="1"/>
    <col min="13062" max="13062" width="11.25" customWidth="1"/>
    <col min="13063" max="13063" width="11.5" customWidth="1"/>
    <col min="13064" max="13064" width="11.625" customWidth="1"/>
    <col min="13065" max="13065" width="15.5" customWidth="1"/>
    <col min="13066" max="13066" width="18.75" customWidth="1"/>
    <col min="13067" max="13067" width="15.375" customWidth="1"/>
    <col min="13068" max="13068" width="15.125" customWidth="1"/>
    <col min="13070" max="13070" width="11" customWidth="1"/>
    <col min="13071" max="13071" width="10.625" customWidth="1"/>
    <col min="13072" max="13072" width="9.625" customWidth="1"/>
    <col min="13315" max="13315" width="7" customWidth="1"/>
    <col min="13316" max="13316" width="17.75" customWidth="1"/>
    <col min="13317" max="13317" width="10.875" customWidth="1"/>
    <col min="13318" max="13318" width="11.25" customWidth="1"/>
    <col min="13319" max="13319" width="11.5" customWidth="1"/>
    <col min="13320" max="13320" width="11.625" customWidth="1"/>
    <col min="13321" max="13321" width="15.5" customWidth="1"/>
    <col min="13322" max="13322" width="18.75" customWidth="1"/>
    <col min="13323" max="13323" width="15.375" customWidth="1"/>
    <col min="13324" max="13324" width="15.125" customWidth="1"/>
    <col min="13326" max="13326" width="11" customWidth="1"/>
    <col min="13327" max="13327" width="10.625" customWidth="1"/>
    <col min="13328" max="13328" width="9.625" customWidth="1"/>
    <col min="13571" max="13571" width="7" customWidth="1"/>
    <col min="13572" max="13572" width="17.75" customWidth="1"/>
    <col min="13573" max="13573" width="10.875" customWidth="1"/>
    <col min="13574" max="13574" width="11.25" customWidth="1"/>
    <col min="13575" max="13575" width="11.5" customWidth="1"/>
    <col min="13576" max="13576" width="11.625" customWidth="1"/>
    <col min="13577" max="13577" width="15.5" customWidth="1"/>
    <col min="13578" max="13578" width="18.75" customWidth="1"/>
    <col min="13579" max="13579" width="15.375" customWidth="1"/>
    <col min="13580" max="13580" width="15.125" customWidth="1"/>
    <col min="13582" max="13582" width="11" customWidth="1"/>
    <col min="13583" max="13583" width="10.625" customWidth="1"/>
    <col min="13584" max="13584" width="9.625" customWidth="1"/>
    <col min="13827" max="13827" width="7" customWidth="1"/>
    <col min="13828" max="13828" width="17.75" customWidth="1"/>
    <col min="13829" max="13829" width="10.875" customWidth="1"/>
    <col min="13830" max="13830" width="11.25" customWidth="1"/>
    <col min="13831" max="13831" width="11.5" customWidth="1"/>
    <col min="13832" max="13832" width="11.625" customWidth="1"/>
    <col min="13833" max="13833" width="15.5" customWidth="1"/>
    <col min="13834" max="13834" width="18.75" customWidth="1"/>
    <col min="13835" max="13835" width="15.375" customWidth="1"/>
    <col min="13836" max="13836" width="15.125" customWidth="1"/>
    <col min="13838" max="13838" width="11" customWidth="1"/>
    <col min="13839" max="13839" width="10.625" customWidth="1"/>
    <col min="13840" max="13840" width="9.625" customWidth="1"/>
    <col min="14083" max="14083" width="7" customWidth="1"/>
    <col min="14084" max="14084" width="17.75" customWidth="1"/>
    <col min="14085" max="14085" width="10.875" customWidth="1"/>
    <col min="14086" max="14086" width="11.25" customWidth="1"/>
    <col min="14087" max="14087" width="11.5" customWidth="1"/>
    <col min="14088" max="14088" width="11.625" customWidth="1"/>
    <col min="14089" max="14089" width="15.5" customWidth="1"/>
    <col min="14090" max="14090" width="18.75" customWidth="1"/>
    <col min="14091" max="14091" width="15.375" customWidth="1"/>
    <col min="14092" max="14092" width="15.125" customWidth="1"/>
    <col min="14094" max="14094" width="11" customWidth="1"/>
    <col min="14095" max="14095" width="10.625" customWidth="1"/>
    <col min="14096" max="14096" width="9.625" customWidth="1"/>
    <col min="14339" max="14339" width="7" customWidth="1"/>
    <col min="14340" max="14340" width="17.75" customWidth="1"/>
    <col min="14341" max="14341" width="10.875" customWidth="1"/>
    <col min="14342" max="14342" width="11.25" customWidth="1"/>
    <col min="14343" max="14343" width="11.5" customWidth="1"/>
    <col min="14344" max="14344" width="11.625" customWidth="1"/>
    <col min="14345" max="14345" width="15.5" customWidth="1"/>
    <col min="14346" max="14346" width="18.75" customWidth="1"/>
    <col min="14347" max="14347" width="15.375" customWidth="1"/>
    <col min="14348" max="14348" width="15.125" customWidth="1"/>
    <col min="14350" max="14350" width="11" customWidth="1"/>
    <col min="14351" max="14351" width="10.625" customWidth="1"/>
    <col min="14352" max="14352" width="9.625" customWidth="1"/>
    <col min="14595" max="14595" width="7" customWidth="1"/>
    <col min="14596" max="14596" width="17.75" customWidth="1"/>
    <col min="14597" max="14597" width="10.875" customWidth="1"/>
    <col min="14598" max="14598" width="11.25" customWidth="1"/>
    <col min="14599" max="14599" width="11.5" customWidth="1"/>
    <col min="14600" max="14600" width="11.625" customWidth="1"/>
    <col min="14601" max="14601" width="15.5" customWidth="1"/>
    <col min="14602" max="14602" width="18.75" customWidth="1"/>
    <col min="14603" max="14603" width="15.375" customWidth="1"/>
    <col min="14604" max="14604" width="15.125" customWidth="1"/>
    <col min="14606" max="14606" width="11" customWidth="1"/>
    <col min="14607" max="14607" width="10.625" customWidth="1"/>
    <col min="14608" max="14608" width="9.625" customWidth="1"/>
    <col min="14851" max="14851" width="7" customWidth="1"/>
    <col min="14852" max="14852" width="17.75" customWidth="1"/>
    <col min="14853" max="14853" width="10.875" customWidth="1"/>
    <col min="14854" max="14854" width="11.25" customWidth="1"/>
    <col min="14855" max="14855" width="11.5" customWidth="1"/>
    <col min="14856" max="14856" width="11.625" customWidth="1"/>
    <col min="14857" max="14857" width="15.5" customWidth="1"/>
    <col min="14858" max="14858" width="18.75" customWidth="1"/>
    <col min="14859" max="14859" width="15.375" customWidth="1"/>
    <col min="14860" max="14860" width="15.125" customWidth="1"/>
    <col min="14862" max="14862" width="11" customWidth="1"/>
    <col min="14863" max="14863" width="10.625" customWidth="1"/>
    <col min="14864" max="14864" width="9.625" customWidth="1"/>
    <col min="15107" max="15107" width="7" customWidth="1"/>
    <col min="15108" max="15108" width="17.75" customWidth="1"/>
    <col min="15109" max="15109" width="10.875" customWidth="1"/>
    <col min="15110" max="15110" width="11.25" customWidth="1"/>
    <col min="15111" max="15111" width="11.5" customWidth="1"/>
    <col min="15112" max="15112" width="11.625" customWidth="1"/>
    <col min="15113" max="15113" width="15.5" customWidth="1"/>
    <col min="15114" max="15114" width="18.75" customWidth="1"/>
    <col min="15115" max="15115" width="15.375" customWidth="1"/>
    <col min="15116" max="15116" width="15.125" customWidth="1"/>
    <col min="15118" max="15118" width="11" customWidth="1"/>
    <col min="15119" max="15119" width="10.625" customWidth="1"/>
    <col min="15120" max="15120" width="9.625" customWidth="1"/>
    <col min="15363" max="15363" width="7" customWidth="1"/>
    <col min="15364" max="15364" width="17.75" customWidth="1"/>
    <col min="15365" max="15365" width="10.875" customWidth="1"/>
    <col min="15366" max="15366" width="11.25" customWidth="1"/>
    <col min="15367" max="15367" width="11.5" customWidth="1"/>
    <col min="15368" max="15368" width="11.625" customWidth="1"/>
    <col min="15369" max="15369" width="15.5" customWidth="1"/>
    <col min="15370" max="15370" width="18.75" customWidth="1"/>
    <col min="15371" max="15371" width="15.375" customWidth="1"/>
    <col min="15372" max="15372" width="15.125" customWidth="1"/>
    <col min="15374" max="15374" width="11" customWidth="1"/>
    <col min="15375" max="15375" width="10.625" customWidth="1"/>
    <col min="15376" max="15376" width="9.625" customWidth="1"/>
    <col min="15619" max="15619" width="7" customWidth="1"/>
    <col min="15620" max="15620" width="17.75" customWidth="1"/>
    <col min="15621" max="15621" width="10.875" customWidth="1"/>
    <col min="15622" max="15622" width="11.25" customWidth="1"/>
    <col min="15623" max="15623" width="11.5" customWidth="1"/>
    <col min="15624" max="15624" width="11.625" customWidth="1"/>
    <col min="15625" max="15625" width="15.5" customWidth="1"/>
    <col min="15626" max="15626" width="18.75" customWidth="1"/>
    <col min="15627" max="15627" width="15.375" customWidth="1"/>
    <col min="15628" max="15628" width="15.125" customWidth="1"/>
    <col min="15630" max="15630" width="11" customWidth="1"/>
    <col min="15631" max="15631" width="10.625" customWidth="1"/>
    <col min="15632" max="15632" width="9.625" customWidth="1"/>
    <col min="15875" max="15875" width="7" customWidth="1"/>
    <col min="15876" max="15876" width="17.75" customWidth="1"/>
    <col min="15877" max="15877" width="10.875" customWidth="1"/>
    <col min="15878" max="15878" width="11.25" customWidth="1"/>
    <col min="15879" max="15879" width="11.5" customWidth="1"/>
    <col min="15880" max="15880" width="11.625" customWidth="1"/>
    <col min="15881" max="15881" width="15.5" customWidth="1"/>
    <col min="15882" max="15882" width="18.75" customWidth="1"/>
    <col min="15883" max="15883" width="15.375" customWidth="1"/>
    <col min="15884" max="15884" width="15.125" customWidth="1"/>
    <col min="15886" max="15886" width="11" customWidth="1"/>
    <col min="15887" max="15887" width="10.625" customWidth="1"/>
    <col min="15888" max="15888" width="9.625" customWidth="1"/>
    <col min="16131" max="16131" width="7" customWidth="1"/>
    <col min="16132" max="16132" width="17.75" customWidth="1"/>
    <col min="16133" max="16133" width="10.875" customWidth="1"/>
    <col min="16134" max="16134" width="11.25" customWidth="1"/>
    <col min="16135" max="16135" width="11.5" customWidth="1"/>
    <col min="16136" max="16136" width="11.625" customWidth="1"/>
    <col min="16137" max="16137" width="15.5" customWidth="1"/>
    <col min="16138" max="16138" width="18.75" customWidth="1"/>
    <col min="16139" max="16139" width="15.375" customWidth="1"/>
    <col min="16140" max="16140" width="15.125" customWidth="1"/>
    <col min="16142" max="16142" width="11" customWidth="1"/>
    <col min="16143" max="16143" width="10.625" customWidth="1"/>
    <col min="16144" max="16144" width="9.625" customWidth="1"/>
  </cols>
  <sheetData>
    <row r="1" spans="2:16" ht="20.25" x14ac:dyDescent="0.3">
      <c r="B1" s="214"/>
      <c r="C1" s="214"/>
      <c r="D1" s="214"/>
      <c r="E1" s="214"/>
      <c r="F1" s="214"/>
      <c r="G1" s="214"/>
      <c r="H1" s="280" t="s">
        <v>0</v>
      </c>
      <c r="I1" s="214"/>
      <c r="J1" s="214"/>
      <c r="K1" s="214"/>
      <c r="L1" s="214"/>
      <c r="M1" s="214"/>
      <c r="N1" s="214"/>
      <c r="O1" s="214" t="s">
        <v>1</v>
      </c>
      <c r="P1" s="214"/>
    </row>
    <row r="2" spans="2:16" ht="18" x14ac:dyDescent="0.25">
      <c r="B2" s="214"/>
      <c r="C2" s="214"/>
      <c r="D2" s="214"/>
      <c r="E2" s="214"/>
      <c r="F2" s="214"/>
      <c r="G2" s="214"/>
      <c r="H2" s="331"/>
      <c r="I2" s="214"/>
      <c r="J2" s="214"/>
      <c r="K2" s="214"/>
      <c r="L2" s="214"/>
      <c r="M2" s="214"/>
      <c r="N2" s="214"/>
      <c r="O2" s="214"/>
      <c r="P2" s="214"/>
    </row>
    <row r="3" spans="2:16" ht="18" x14ac:dyDescent="0.25">
      <c r="B3" s="512" t="s">
        <v>2</v>
      </c>
      <c r="C3" s="512"/>
      <c r="D3" s="214" t="s">
        <v>38</v>
      </c>
      <c r="E3" s="214"/>
      <c r="F3" s="214"/>
      <c r="G3" s="214"/>
      <c r="H3" s="331"/>
      <c r="I3" s="214"/>
      <c r="J3" s="214"/>
      <c r="K3" s="214"/>
      <c r="L3" s="214"/>
      <c r="M3" s="214"/>
      <c r="N3" s="214"/>
      <c r="O3" s="214"/>
      <c r="P3" s="214"/>
    </row>
    <row r="4" spans="2:16" ht="18" x14ac:dyDescent="0.25">
      <c r="B4" s="512" t="s">
        <v>3</v>
      </c>
      <c r="C4" s="512"/>
      <c r="D4" s="214" t="s">
        <v>40</v>
      </c>
      <c r="E4" s="214"/>
      <c r="F4" s="214"/>
      <c r="G4" s="214"/>
      <c r="H4" s="331"/>
      <c r="I4" s="214"/>
      <c r="J4" s="214"/>
      <c r="K4" s="214"/>
      <c r="L4" s="214"/>
      <c r="M4" s="214"/>
      <c r="N4" s="214"/>
      <c r="O4" s="214"/>
      <c r="P4" s="214"/>
    </row>
    <row r="5" spans="2:16" ht="18" x14ac:dyDescent="0.25">
      <c r="B5" s="512" t="s">
        <v>4</v>
      </c>
      <c r="C5" s="512"/>
      <c r="D5" s="214" t="s">
        <v>41</v>
      </c>
      <c r="E5" s="214"/>
      <c r="F5" s="214"/>
      <c r="G5" s="214"/>
      <c r="H5" s="331"/>
      <c r="I5" s="214"/>
      <c r="J5" s="214"/>
      <c r="K5" s="214"/>
      <c r="L5" s="214"/>
      <c r="M5" s="214"/>
      <c r="N5" s="214"/>
      <c r="O5" s="214"/>
      <c r="P5" s="214"/>
    </row>
    <row r="6" spans="2:16" ht="18" x14ac:dyDescent="0.25">
      <c r="B6" s="512" t="s">
        <v>5</v>
      </c>
      <c r="C6" s="512"/>
      <c r="D6" s="214" t="s">
        <v>236</v>
      </c>
      <c r="E6" s="214"/>
      <c r="F6" s="214"/>
      <c r="G6" s="214"/>
      <c r="H6" s="331"/>
      <c r="I6" s="214"/>
      <c r="J6" s="214"/>
      <c r="K6" s="214"/>
      <c r="L6" s="214"/>
      <c r="M6" s="214"/>
      <c r="N6" s="214"/>
      <c r="O6" s="214"/>
      <c r="P6" s="214"/>
    </row>
    <row r="7" spans="2:16" ht="18" x14ac:dyDescent="0.25">
      <c r="B7" s="331"/>
      <c r="C7" s="331"/>
      <c r="D7" s="214"/>
      <c r="E7" s="214"/>
      <c r="F7" s="214"/>
      <c r="G7" s="214"/>
      <c r="H7" s="214"/>
      <c r="I7" s="214"/>
      <c r="J7" s="214"/>
      <c r="K7" s="214"/>
      <c r="L7" s="214"/>
      <c r="M7" s="214"/>
      <c r="N7" s="214"/>
      <c r="O7" s="214"/>
      <c r="P7" s="214"/>
    </row>
    <row r="8" spans="2:16" ht="18" x14ac:dyDescent="0.25">
      <c r="B8" s="331" t="s">
        <v>6</v>
      </c>
      <c r="C8" s="331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</row>
    <row r="9" spans="2:16" ht="18" customHeight="1" x14ac:dyDescent="0.25">
      <c r="B9" s="317" t="s">
        <v>7</v>
      </c>
      <c r="C9" s="500" t="s">
        <v>8</v>
      </c>
      <c r="D9" s="500"/>
      <c r="E9" s="317" t="s">
        <v>9</v>
      </c>
      <c r="F9" s="317" t="s">
        <v>10</v>
      </c>
      <c r="G9" s="489" t="s">
        <v>11</v>
      </c>
      <c r="H9" s="489" t="s">
        <v>12</v>
      </c>
      <c r="I9" s="317" t="s">
        <v>13</v>
      </c>
      <c r="J9" s="317"/>
      <c r="K9" s="317" t="s">
        <v>15</v>
      </c>
      <c r="L9" s="317" t="s">
        <v>16</v>
      </c>
      <c r="M9" s="494" t="s">
        <v>17</v>
      </c>
      <c r="N9" s="494"/>
      <c r="O9" s="494"/>
      <c r="P9" s="317" t="s">
        <v>18</v>
      </c>
    </row>
    <row r="10" spans="2:16" ht="18" customHeight="1" x14ac:dyDescent="0.25">
      <c r="B10" s="490" t="s">
        <v>19</v>
      </c>
      <c r="C10" s="495" t="s">
        <v>20</v>
      </c>
      <c r="D10" s="496"/>
      <c r="E10" s="490" t="s">
        <v>21</v>
      </c>
      <c r="F10" s="490" t="s">
        <v>22</v>
      </c>
      <c r="G10" s="490"/>
      <c r="H10" s="490"/>
      <c r="I10" s="319" t="s">
        <v>23</v>
      </c>
      <c r="J10" s="319" t="s">
        <v>14</v>
      </c>
      <c r="K10" s="319" t="s">
        <v>24</v>
      </c>
      <c r="L10" s="319" t="s">
        <v>25</v>
      </c>
      <c r="M10" s="319" t="s">
        <v>26</v>
      </c>
      <c r="N10" s="319" t="s">
        <v>27</v>
      </c>
      <c r="O10" s="319" t="s">
        <v>28</v>
      </c>
      <c r="P10" s="481" t="s">
        <v>29</v>
      </c>
    </row>
    <row r="11" spans="2:16" ht="18" customHeight="1" x14ac:dyDescent="0.25">
      <c r="B11" s="491"/>
      <c r="C11" s="497"/>
      <c r="D11" s="498"/>
      <c r="E11" s="491"/>
      <c r="F11" s="491"/>
      <c r="G11" s="491"/>
      <c r="H11" s="491"/>
      <c r="I11" s="318" t="s">
        <v>30</v>
      </c>
      <c r="J11" s="318"/>
      <c r="K11" s="318" t="s">
        <v>31</v>
      </c>
      <c r="L11" s="318" t="s">
        <v>32</v>
      </c>
      <c r="M11" s="318" t="s">
        <v>33</v>
      </c>
      <c r="N11" s="318" t="s">
        <v>34</v>
      </c>
      <c r="O11" s="318" t="s">
        <v>35</v>
      </c>
      <c r="P11" s="482"/>
    </row>
    <row r="12" spans="2:16" ht="18" customHeight="1" x14ac:dyDescent="0.25">
      <c r="B12" s="263">
        <v>1</v>
      </c>
      <c r="C12" s="483">
        <v>2</v>
      </c>
      <c r="D12" s="484"/>
      <c r="E12" s="315">
        <v>3</v>
      </c>
      <c r="F12" s="315">
        <v>4</v>
      </c>
      <c r="G12" s="316">
        <v>5</v>
      </c>
      <c r="H12" s="316">
        <v>6</v>
      </c>
      <c r="I12" s="319">
        <v>7</v>
      </c>
      <c r="J12" s="319">
        <v>8</v>
      </c>
      <c r="K12" s="319">
        <v>9</v>
      </c>
      <c r="L12" s="319">
        <v>10</v>
      </c>
      <c r="M12" s="319">
        <v>11</v>
      </c>
      <c r="N12" s="319">
        <v>12</v>
      </c>
      <c r="O12" s="319">
        <v>13</v>
      </c>
      <c r="P12" s="315">
        <v>14</v>
      </c>
    </row>
    <row r="13" spans="2:16" ht="18" customHeight="1" x14ac:dyDescent="0.25">
      <c r="B13" s="266">
        <v>1</v>
      </c>
      <c r="C13" s="487" t="s">
        <v>104</v>
      </c>
      <c r="D13" s="488"/>
      <c r="E13" s="271" t="s">
        <v>100</v>
      </c>
      <c r="F13" s="347"/>
      <c r="G13" s="347"/>
      <c r="H13" s="340" t="s">
        <v>56</v>
      </c>
      <c r="I13" s="273">
        <v>2006</v>
      </c>
      <c r="J13" s="273" t="s">
        <v>105</v>
      </c>
      <c r="K13" s="274" t="s">
        <v>43</v>
      </c>
      <c r="L13" s="341">
        <v>1220000</v>
      </c>
      <c r="M13" s="273" t="s">
        <v>26</v>
      </c>
      <c r="N13" s="347"/>
      <c r="O13" s="347"/>
      <c r="P13" s="271"/>
    </row>
    <row r="14" spans="2:16" ht="18" customHeight="1" x14ac:dyDescent="0.25">
      <c r="B14" s="266">
        <f>B13+1</f>
        <v>2</v>
      </c>
      <c r="C14" s="487" t="s">
        <v>104</v>
      </c>
      <c r="D14" s="488"/>
      <c r="E14" s="271" t="s">
        <v>100</v>
      </c>
      <c r="F14" s="347"/>
      <c r="G14" s="347"/>
      <c r="H14" s="340" t="s">
        <v>56</v>
      </c>
      <c r="I14" s="273">
        <v>2006</v>
      </c>
      <c r="J14" s="273" t="s">
        <v>105</v>
      </c>
      <c r="K14" s="274" t="s">
        <v>74</v>
      </c>
      <c r="L14" s="341">
        <v>1220000</v>
      </c>
      <c r="M14" s="273" t="s">
        <v>26</v>
      </c>
      <c r="N14" s="347"/>
      <c r="O14" s="347"/>
      <c r="P14" s="271"/>
    </row>
    <row r="15" spans="2:16" ht="36" customHeight="1" x14ac:dyDescent="0.25">
      <c r="B15" s="266">
        <f t="shared" ref="B15:B71" si="0">B14+1</f>
        <v>3</v>
      </c>
      <c r="C15" s="492" t="s">
        <v>222</v>
      </c>
      <c r="D15" s="493"/>
      <c r="E15" s="345" t="s">
        <v>223</v>
      </c>
      <c r="F15" s="335"/>
      <c r="G15" s="335"/>
      <c r="H15" s="266" t="s">
        <v>56</v>
      </c>
      <c r="I15" s="266">
        <v>1997</v>
      </c>
      <c r="J15" s="266" t="s">
        <v>210</v>
      </c>
      <c r="K15" s="269" t="s">
        <v>54</v>
      </c>
      <c r="L15" s="343" t="s">
        <v>211</v>
      </c>
      <c r="M15" s="266" t="s">
        <v>26</v>
      </c>
      <c r="N15" s="268"/>
      <c r="O15" s="335"/>
      <c r="P15" s="267" t="s">
        <v>510</v>
      </c>
    </row>
    <row r="16" spans="2:16" ht="36" customHeight="1" x14ac:dyDescent="0.25">
      <c r="B16" s="266">
        <f t="shared" si="0"/>
        <v>4</v>
      </c>
      <c r="C16" s="492" t="s">
        <v>122</v>
      </c>
      <c r="D16" s="493"/>
      <c r="E16" s="267" t="s">
        <v>123</v>
      </c>
      <c r="F16" s="335"/>
      <c r="G16" s="335"/>
      <c r="H16" s="282" t="s">
        <v>56</v>
      </c>
      <c r="I16" s="266">
        <v>2009</v>
      </c>
      <c r="J16" s="266" t="s">
        <v>124</v>
      </c>
      <c r="K16" s="269" t="s">
        <v>43</v>
      </c>
      <c r="L16" s="281">
        <v>350000</v>
      </c>
      <c r="M16" s="266" t="s">
        <v>26</v>
      </c>
      <c r="N16" s="335"/>
      <c r="O16" s="335"/>
      <c r="P16" s="268"/>
    </row>
    <row r="17" spans="2:16" ht="36" customHeight="1" x14ac:dyDescent="0.25">
      <c r="B17" s="266">
        <f t="shared" si="0"/>
        <v>5</v>
      </c>
      <c r="C17" s="492" t="s">
        <v>122</v>
      </c>
      <c r="D17" s="493"/>
      <c r="E17" s="267" t="s">
        <v>266</v>
      </c>
      <c r="F17" s="335"/>
      <c r="G17" s="335"/>
      <c r="H17" s="282" t="s">
        <v>267</v>
      </c>
      <c r="I17" s="266">
        <v>2014</v>
      </c>
      <c r="J17" s="266" t="s">
        <v>124</v>
      </c>
      <c r="K17" s="269" t="s">
        <v>111</v>
      </c>
      <c r="L17" s="281">
        <v>743915</v>
      </c>
      <c r="M17" s="266" t="s">
        <v>26</v>
      </c>
      <c r="N17" s="335"/>
      <c r="O17" s="335"/>
      <c r="P17" s="268"/>
    </row>
    <row r="18" spans="2:16" ht="36" customHeight="1" x14ac:dyDescent="0.25">
      <c r="B18" s="266">
        <f t="shared" si="0"/>
        <v>6</v>
      </c>
      <c r="C18" s="492" t="s">
        <v>122</v>
      </c>
      <c r="D18" s="493"/>
      <c r="E18" s="267" t="s">
        <v>266</v>
      </c>
      <c r="F18" s="335"/>
      <c r="G18" s="335"/>
      <c r="H18" s="282" t="s">
        <v>267</v>
      </c>
      <c r="I18" s="266">
        <v>2014</v>
      </c>
      <c r="J18" s="266" t="s">
        <v>124</v>
      </c>
      <c r="K18" s="269" t="s">
        <v>60</v>
      </c>
      <c r="L18" s="281">
        <v>743917</v>
      </c>
      <c r="M18" s="266" t="s">
        <v>26</v>
      </c>
      <c r="N18" s="335"/>
      <c r="O18" s="335"/>
      <c r="P18" s="268"/>
    </row>
    <row r="19" spans="2:16" ht="54" customHeight="1" x14ac:dyDescent="0.25">
      <c r="B19" s="266">
        <f t="shared" si="0"/>
        <v>7</v>
      </c>
      <c r="C19" s="492" t="s">
        <v>61</v>
      </c>
      <c r="D19" s="493"/>
      <c r="E19" s="267" t="s">
        <v>381</v>
      </c>
      <c r="F19" s="335"/>
      <c r="G19" s="335"/>
      <c r="H19" s="282" t="s">
        <v>50</v>
      </c>
      <c r="I19" s="266">
        <v>2013</v>
      </c>
      <c r="J19" s="266" t="s">
        <v>62</v>
      </c>
      <c r="K19" s="269" t="s">
        <v>204</v>
      </c>
      <c r="L19" s="281">
        <v>486971.68</v>
      </c>
      <c r="M19" s="266" t="s">
        <v>26</v>
      </c>
      <c r="N19" s="335"/>
      <c r="O19" s="335"/>
      <c r="P19" s="268"/>
    </row>
    <row r="20" spans="2:16" ht="36" customHeight="1" x14ac:dyDescent="0.25">
      <c r="B20" s="266">
        <f t="shared" si="0"/>
        <v>8</v>
      </c>
      <c r="C20" s="492" t="s">
        <v>61</v>
      </c>
      <c r="D20" s="493"/>
      <c r="E20" s="267" t="s">
        <v>269</v>
      </c>
      <c r="F20" s="335"/>
      <c r="G20" s="335"/>
      <c r="H20" s="282" t="s">
        <v>50</v>
      </c>
      <c r="I20" s="266">
        <v>2014</v>
      </c>
      <c r="J20" s="266" t="s">
        <v>62</v>
      </c>
      <c r="K20" s="269" t="s">
        <v>130</v>
      </c>
      <c r="L20" s="281">
        <v>794180</v>
      </c>
      <c r="M20" s="266" t="s">
        <v>26</v>
      </c>
      <c r="N20" s="335"/>
      <c r="O20" s="335"/>
      <c r="P20" s="268"/>
    </row>
    <row r="21" spans="2:16" ht="36" customHeight="1" x14ac:dyDescent="0.25">
      <c r="B21" s="266">
        <f t="shared" si="0"/>
        <v>9</v>
      </c>
      <c r="C21" s="492" t="s">
        <v>61</v>
      </c>
      <c r="D21" s="493"/>
      <c r="E21" s="267" t="s">
        <v>269</v>
      </c>
      <c r="F21" s="335"/>
      <c r="G21" s="335"/>
      <c r="H21" s="282" t="s">
        <v>50</v>
      </c>
      <c r="I21" s="266">
        <v>2014</v>
      </c>
      <c r="J21" s="266" t="s">
        <v>62</v>
      </c>
      <c r="K21" s="269" t="s">
        <v>380</v>
      </c>
      <c r="L21" s="281">
        <v>794180</v>
      </c>
      <c r="M21" s="266" t="s">
        <v>26</v>
      </c>
      <c r="N21" s="335"/>
      <c r="O21" s="335"/>
      <c r="P21" s="267"/>
    </row>
    <row r="22" spans="2:16" ht="36" customHeight="1" x14ac:dyDescent="0.25">
      <c r="B22" s="266">
        <f t="shared" si="0"/>
        <v>10</v>
      </c>
      <c r="C22" s="492" t="s">
        <v>61</v>
      </c>
      <c r="D22" s="493"/>
      <c r="E22" s="267" t="s">
        <v>269</v>
      </c>
      <c r="F22" s="335"/>
      <c r="G22" s="335"/>
      <c r="H22" s="282" t="s">
        <v>50</v>
      </c>
      <c r="I22" s="266">
        <v>2014</v>
      </c>
      <c r="J22" s="266"/>
      <c r="K22" s="269" t="s">
        <v>268</v>
      </c>
      <c r="L22" s="281">
        <v>794180</v>
      </c>
      <c r="M22" s="266" t="s">
        <v>26</v>
      </c>
      <c r="N22" s="335"/>
      <c r="O22" s="335"/>
      <c r="P22" s="268"/>
    </row>
    <row r="23" spans="2:16" ht="18" customHeight="1" x14ac:dyDescent="0.25">
      <c r="B23" s="266">
        <f t="shared" si="0"/>
        <v>11</v>
      </c>
      <c r="C23" s="492" t="s">
        <v>94</v>
      </c>
      <c r="D23" s="493"/>
      <c r="E23" s="338" t="s">
        <v>95</v>
      </c>
      <c r="F23" s="335"/>
      <c r="G23" s="335"/>
      <c r="H23" s="266"/>
      <c r="I23" s="266">
        <v>2018</v>
      </c>
      <c r="J23" s="266" t="s">
        <v>96</v>
      </c>
      <c r="K23" s="269" t="s">
        <v>125</v>
      </c>
      <c r="L23" s="281">
        <v>333232</v>
      </c>
      <c r="M23" s="266" t="s">
        <v>26</v>
      </c>
      <c r="N23" s="335"/>
      <c r="O23" s="335"/>
      <c r="P23" s="268"/>
    </row>
    <row r="24" spans="2:16" ht="18" customHeight="1" x14ac:dyDescent="0.25">
      <c r="B24" s="266">
        <f t="shared" si="0"/>
        <v>12</v>
      </c>
      <c r="C24" s="492" t="s">
        <v>94</v>
      </c>
      <c r="D24" s="493"/>
      <c r="E24" s="338" t="s">
        <v>95</v>
      </c>
      <c r="F24" s="335"/>
      <c r="G24" s="335"/>
      <c r="H24" s="266"/>
      <c r="I24" s="266">
        <v>2018</v>
      </c>
      <c r="J24" s="266" t="s">
        <v>96</v>
      </c>
      <c r="K24" s="269" t="s">
        <v>74</v>
      </c>
      <c r="L24" s="281">
        <v>333232</v>
      </c>
      <c r="M24" s="266" t="s">
        <v>26</v>
      </c>
      <c r="N24" s="335"/>
      <c r="O24" s="335"/>
      <c r="P24" s="268"/>
    </row>
    <row r="25" spans="2:16" ht="18" customHeight="1" x14ac:dyDescent="0.25">
      <c r="B25" s="266">
        <f t="shared" si="0"/>
        <v>13</v>
      </c>
      <c r="C25" s="492" t="s">
        <v>94</v>
      </c>
      <c r="D25" s="493"/>
      <c r="E25" s="338" t="s">
        <v>95</v>
      </c>
      <c r="F25" s="335"/>
      <c r="G25" s="335"/>
      <c r="H25" s="266"/>
      <c r="I25" s="266">
        <v>2018</v>
      </c>
      <c r="J25" s="266" t="s">
        <v>96</v>
      </c>
      <c r="K25" s="269" t="s">
        <v>166</v>
      </c>
      <c r="L25" s="281">
        <v>333232</v>
      </c>
      <c r="M25" s="266" t="s">
        <v>26</v>
      </c>
      <c r="N25" s="335"/>
      <c r="O25" s="335"/>
      <c r="P25" s="268"/>
    </row>
    <row r="26" spans="2:16" ht="84.95" customHeight="1" x14ac:dyDescent="0.25">
      <c r="B26" s="266">
        <f t="shared" si="0"/>
        <v>14</v>
      </c>
      <c r="C26" s="487" t="s">
        <v>133</v>
      </c>
      <c r="D26" s="488"/>
      <c r="E26" s="271" t="s">
        <v>253</v>
      </c>
      <c r="F26" s="347"/>
      <c r="G26" s="347"/>
      <c r="H26" s="340" t="s">
        <v>50</v>
      </c>
      <c r="I26" s="340" t="s">
        <v>254</v>
      </c>
      <c r="J26" s="273" t="s">
        <v>136</v>
      </c>
      <c r="K26" s="274" t="s">
        <v>110</v>
      </c>
      <c r="L26" s="341">
        <v>3980000</v>
      </c>
      <c r="M26" s="273" t="s">
        <v>26</v>
      </c>
      <c r="N26" s="347"/>
      <c r="O26" s="348"/>
      <c r="P26" s="272"/>
    </row>
    <row r="27" spans="2:16" ht="110.1" customHeight="1" x14ac:dyDescent="0.25">
      <c r="B27" s="266">
        <f t="shared" si="0"/>
        <v>15</v>
      </c>
      <c r="C27" s="492" t="s">
        <v>133</v>
      </c>
      <c r="D27" s="493"/>
      <c r="E27" s="267" t="s">
        <v>299</v>
      </c>
      <c r="F27" s="268"/>
      <c r="G27" s="268"/>
      <c r="H27" s="282" t="s">
        <v>50</v>
      </c>
      <c r="I27" s="266">
        <v>2013</v>
      </c>
      <c r="J27" s="266" t="s">
        <v>136</v>
      </c>
      <c r="K27" s="269" t="s">
        <v>137</v>
      </c>
      <c r="L27" s="281">
        <v>3922641.51</v>
      </c>
      <c r="M27" s="266" t="s">
        <v>26</v>
      </c>
      <c r="N27" s="268"/>
      <c r="O27" s="268"/>
      <c r="P27" s="268"/>
    </row>
    <row r="28" spans="2:16" ht="18" x14ac:dyDescent="0.25">
      <c r="B28" s="214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</row>
    <row r="29" spans="2:16" ht="18" x14ac:dyDescent="0.25">
      <c r="B29" s="214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</row>
    <row r="30" spans="2:16" ht="18" x14ac:dyDescent="0.25"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</row>
    <row r="31" spans="2:16" ht="18" x14ac:dyDescent="0.25"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</row>
    <row r="32" spans="2:16" ht="18" x14ac:dyDescent="0.25"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</row>
    <row r="33" spans="2:16" ht="18" x14ac:dyDescent="0.25"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</row>
    <row r="34" spans="2:16" ht="18" x14ac:dyDescent="0.25"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</row>
    <row r="35" spans="2:16" ht="18" x14ac:dyDescent="0.25"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</row>
    <row r="36" spans="2:16" ht="18" customHeight="1" x14ac:dyDescent="0.25">
      <c r="B36" s="317" t="s">
        <v>7</v>
      </c>
      <c r="C36" s="500" t="s">
        <v>8</v>
      </c>
      <c r="D36" s="500"/>
      <c r="E36" s="317" t="s">
        <v>9</v>
      </c>
      <c r="F36" s="317" t="s">
        <v>10</v>
      </c>
      <c r="G36" s="489" t="s">
        <v>11</v>
      </c>
      <c r="H36" s="489" t="s">
        <v>12</v>
      </c>
      <c r="I36" s="317" t="s">
        <v>13</v>
      </c>
      <c r="J36" s="317"/>
      <c r="K36" s="317" t="s">
        <v>15</v>
      </c>
      <c r="L36" s="317" t="s">
        <v>16</v>
      </c>
      <c r="M36" s="494" t="s">
        <v>17</v>
      </c>
      <c r="N36" s="494"/>
      <c r="O36" s="494"/>
      <c r="P36" s="317" t="s">
        <v>18</v>
      </c>
    </row>
    <row r="37" spans="2:16" ht="18" customHeight="1" x14ac:dyDescent="0.25">
      <c r="B37" s="490" t="s">
        <v>19</v>
      </c>
      <c r="C37" s="495" t="s">
        <v>20</v>
      </c>
      <c r="D37" s="496"/>
      <c r="E37" s="490" t="s">
        <v>21</v>
      </c>
      <c r="F37" s="490" t="s">
        <v>22</v>
      </c>
      <c r="G37" s="490"/>
      <c r="H37" s="490"/>
      <c r="I37" s="319" t="s">
        <v>23</v>
      </c>
      <c r="J37" s="319" t="s">
        <v>14</v>
      </c>
      <c r="K37" s="319" t="s">
        <v>24</v>
      </c>
      <c r="L37" s="319" t="s">
        <v>25</v>
      </c>
      <c r="M37" s="319" t="s">
        <v>26</v>
      </c>
      <c r="N37" s="319" t="s">
        <v>27</v>
      </c>
      <c r="O37" s="319" t="s">
        <v>28</v>
      </c>
      <c r="P37" s="481" t="s">
        <v>29</v>
      </c>
    </row>
    <row r="38" spans="2:16" ht="18" customHeight="1" x14ac:dyDescent="0.25">
      <c r="B38" s="491"/>
      <c r="C38" s="497"/>
      <c r="D38" s="498"/>
      <c r="E38" s="491"/>
      <c r="F38" s="491"/>
      <c r="G38" s="491"/>
      <c r="H38" s="491"/>
      <c r="I38" s="318" t="s">
        <v>30</v>
      </c>
      <c r="J38" s="318"/>
      <c r="K38" s="318" t="s">
        <v>31</v>
      </c>
      <c r="L38" s="318" t="s">
        <v>32</v>
      </c>
      <c r="M38" s="318" t="s">
        <v>33</v>
      </c>
      <c r="N38" s="318" t="s">
        <v>34</v>
      </c>
      <c r="O38" s="318" t="s">
        <v>35</v>
      </c>
      <c r="P38" s="482"/>
    </row>
    <row r="39" spans="2:16" ht="18" customHeight="1" x14ac:dyDescent="0.25">
      <c r="B39" s="263">
        <v>1</v>
      </c>
      <c r="C39" s="483">
        <v>2</v>
      </c>
      <c r="D39" s="484"/>
      <c r="E39" s="315">
        <v>3</v>
      </c>
      <c r="F39" s="315">
        <v>4</v>
      </c>
      <c r="G39" s="316">
        <v>5</v>
      </c>
      <c r="H39" s="316">
        <v>6</v>
      </c>
      <c r="I39" s="319">
        <v>7</v>
      </c>
      <c r="J39" s="319">
        <v>8</v>
      </c>
      <c r="K39" s="319">
        <v>9</v>
      </c>
      <c r="L39" s="319">
        <v>10</v>
      </c>
      <c r="M39" s="319">
        <v>11</v>
      </c>
      <c r="N39" s="319">
        <v>12</v>
      </c>
      <c r="O39" s="319">
        <v>13</v>
      </c>
      <c r="P39" s="315">
        <v>14</v>
      </c>
    </row>
    <row r="40" spans="2:16" ht="36" customHeight="1" x14ac:dyDescent="0.25">
      <c r="B40" s="266">
        <f>B27+1</f>
        <v>16</v>
      </c>
      <c r="C40" s="487" t="s">
        <v>133</v>
      </c>
      <c r="D40" s="488"/>
      <c r="E40" s="271" t="s">
        <v>138</v>
      </c>
      <c r="F40" s="347"/>
      <c r="G40" s="347"/>
      <c r="H40" s="340" t="s">
        <v>50</v>
      </c>
      <c r="I40" s="340">
        <v>2015</v>
      </c>
      <c r="J40" s="273" t="s">
        <v>136</v>
      </c>
      <c r="K40" s="274" t="s">
        <v>60</v>
      </c>
      <c r="L40" s="341">
        <v>6026316</v>
      </c>
      <c r="M40" s="273" t="s">
        <v>26</v>
      </c>
      <c r="N40" s="347"/>
      <c r="O40" s="347"/>
      <c r="P40" s="272"/>
    </row>
    <row r="41" spans="2:16" ht="36" customHeight="1" x14ac:dyDescent="0.25">
      <c r="B41" s="266">
        <f>B40+1</f>
        <v>17</v>
      </c>
      <c r="C41" s="487" t="s">
        <v>84</v>
      </c>
      <c r="D41" s="488"/>
      <c r="E41" s="346" t="s">
        <v>270</v>
      </c>
      <c r="F41" s="347"/>
      <c r="G41" s="347"/>
      <c r="H41" s="273" t="s">
        <v>50</v>
      </c>
      <c r="I41" s="273">
        <v>2016</v>
      </c>
      <c r="J41" s="273" t="s">
        <v>92</v>
      </c>
      <c r="K41" s="274" t="s">
        <v>140</v>
      </c>
      <c r="L41" s="341">
        <v>3142612</v>
      </c>
      <c r="M41" s="273" t="s">
        <v>26</v>
      </c>
      <c r="N41" s="347"/>
      <c r="O41" s="347"/>
      <c r="P41" s="272"/>
    </row>
    <row r="42" spans="2:16" ht="36" customHeight="1" x14ac:dyDescent="0.25">
      <c r="B42" s="266">
        <f>B41+1</f>
        <v>18</v>
      </c>
      <c r="C42" s="487" t="s">
        <v>84</v>
      </c>
      <c r="D42" s="488"/>
      <c r="E42" s="346" t="s">
        <v>270</v>
      </c>
      <c r="F42" s="347"/>
      <c r="G42" s="347"/>
      <c r="H42" s="273" t="s">
        <v>50</v>
      </c>
      <c r="I42" s="273">
        <v>2016</v>
      </c>
      <c r="J42" s="273" t="s">
        <v>92</v>
      </c>
      <c r="K42" s="274" t="s">
        <v>251</v>
      </c>
      <c r="L42" s="341">
        <v>3142612</v>
      </c>
      <c r="M42" s="273" t="s">
        <v>26</v>
      </c>
      <c r="N42" s="347"/>
      <c r="O42" s="347"/>
      <c r="P42" s="272"/>
    </row>
    <row r="43" spans="2:16" ht="18" customHeight="1" x14ac:dyDescent="0.25">
      <c r="B43" s="266">
        <f>B42+1</f>
        <v>19</v>
      </c>
      <c r="C43" s="487" t="s">
        <v>84</v>
      </c>
      <c r="D43" s="488"/>
      <c r="E43" s="346" t="s">
        <v>256</v>
      </c>
      <c r="F43" s="347"/>
      <c r="G43" s="347"/>
      <c r="H43" s="273" t="s">
        <v>50</v>
      </c>
      <c r="I43" s="273">
        <v>2017</v>
      </c>
      <c r="J43" s="273" t="s">
        <v>92</v>
      </c>
      <c r="K43" s="274" t="s">
        <v>118</v>
      </c>
      <c r="L43" s="341">
        <v>2173757</v>
      </c>
      <c r="M43" s="273" t="s">
        <v>26</v>
      </c>
      <c r="N43" s="347"/>
      <c r="O43" s="347"/>
      <c r="P43" s="272"/>
    </row>
    <row r="44" spans="2:16" ht="36" customHeight="1" x14ac:dyDescent="0.25">
      <c r="B44" s="266">
        <f>B43+1</f>
        <v>20</v>
      </c>
      <c r="C44" s="487" t="s">
        <v>84</v>
      </c>
      <c r="D44" s="488"/>
      <c r="E44" s="346" t="s">
        <v>288</v>
      </c>
      <c r="F44" s="347"/>
      <c r="G44" s="347"/>
      <c r="H44" s="273" t="s">
        <v>91</v>
      </c>
      <c r="I44" s="273">
        <v>2020</v>
      </c>
      <c r="J44" s="273" t="s">
        <v>92</v>
      </c>
      <c r="K44" s="274" t="s">
        <v>257</v>
      </c>
      <c r="L44" s="341">
        <f>5516570/2</f>
        <v>2758285</v>
      </c>
      <c r="M44" s="273" t="s">
        <v>26</v>
      </c>
      <c r="N44" s="347"/>
      <c r="O44" s="347"/>
      <c r="P44" s="267" t="s">
        <v>510</v>
      </c>
    </row>
    <row r="45" spans="2:16" ht="36" customHeight="1" x14ac:dyDescent="0.25">
      <c r="B45" s="266">
        <f>B44+1</f>
        <v>21</v>
      </c>
      <c r="C45" s="487" t="s">
        <v>142</v>
      </c>
      <c r="D45" s="488"/>
      <c r="E45" s="271" t="s">
        <v>258</v>
      </c>
      <c r="F45" s="347"/>
      <c r="G45" s="347"/>
      <c r="H45" s="340" t="s">
        <v>214</v>
      </c>
      <c r="I45" s="273">
        <v>2008</v>
      </c>
      <c r="J45" s="273" t="s">
        <v>144</v>
      </c>
      <c r="K45" s="274" t="s">
        <v>54</v>
      </c>
      <c r="L45" s="341">
        <v>372666.67</v>
      </c>
      <c r="M45" s="273" t="s">
        <v>26</v>
      </c>
      <c r="N45" s="347"/>
      <c r="O45" s="348"/>
      <c r="P45" s="267" t="s">
        <v>510</v>
      </c>
    </row>
    <row r="46" spans="2:16" ht="54" customHeight="1" x14ac:dyDescent="0.25">
      <c r="B46" s="266">
        <f t="shared" ref="B46:B49" si="1">B45+1</f>
        <v>22</v>
      </c>
      <c r="C46" s="487" t="s">
        <v>142</v>
      </c>
      <c r="D46" s="488"/>
      <c r="E46" s="271" t="s">
        <v>252</v>
      </c>
      <c r="F46" s="347"/>
      <c r="G46" s="347"/>
      <c r="H46" s="340" t="s">
        <v>214</v>
      </c>
      <c r="I46" s="273">
        <v>2011</v>
      </c>
      <c r="J46" s="273" t="s">
        <v>144</v>
      </c>
      <c r="K46" s="274" t="s">
        <v>251</v>
      </c>
      <c r="L46" s="341">
        <v>485000</v>
      </c>
      <c r="M46" s="273" t="s">
        <v>26</v>
      </c>
      <c r="N46" s="347"/>
      <c r="O46" s="348"/>
      <c r="P46" s="267" t="s">
        <v>510</v>
      </c>
    </row>
    <row r="47" spans="2:16" ht="54" customHeight="1" x14ac:dyDescent="0.25">
      <c r="B47" s="266">
        <f t="shared" si="1"/>
        <v>23</v>
      </c>
      <c r="C47" s="487" t="s">
        <v>142</v>
      </c>
      <c r="D47" s="488"/>
      <c r="E47" s="271" t="s">
        <v>261</v>
      </c>
      <c r="F47" s="347"/>
      <c r="G47" s="347"/>
      <c r="H47" s="340" t="s">
        <v>214</v>
      </c>
      <c r="I47" s="273">
        <v>2010</v>
      </c>
      <c r="J47" s="273" t="s">
        <v>144</v>
      </c>
      <c r="K47" s="274" t="s">
        <v>117</v>
      </c>
      <c r="L47" s="341">
        <v>485000</v>
      </c>
      <c r="M47" s="273" t="s">
        <v>26</v>
      </c>
      <c r="N47" s="347"/>
      <c r="O47" s="348"/>
      <c r="P47" s="267" t="s">
        <v>510</v>
      </c>
    </row>
    <row r="48" spans="2:16" ht="36" customHeight="1" x14ac:dyDescent="0.25">
      <c r="B48" s="266">
        <f t="shared" si="1"/>
        <v>24</v>
      </c>
      <c r="C48" s="487" t="s">
        <v>142</v>
      </c>
      <c r="D48" s="488"/>
      <c r="E48" s="271" t="s">
        <v>255</v>
      </c>
      <c r="F48" s="347"/>
      <c r="G48" s="347"/>
      <c r="H48" s="340" t="s">
        <v>214</v>
      </c>
      <c r="I48" s="273">
        <v>2010</v>
      </c>
      <c r="J48" s="273" t="s">
        <v>144</v>
      </c>
      <c r="K48" s="274" t="s">
        <v>64</v>
      </c>
      <c r="L48" s="341">
        <v>275000</v>
      </c>
      <c r="M48" s="273" t="s">
        <v>26</v>
      </c>
      <c r="N48" s="347"/>
      <c r="O48" s="348"/>
      <c r="P48" s="267" t="s">
        <v>510</v>
      </c>
    </row>
    <row r="49" spans="2:16" ht="54" customHeight="1" x14ac:dyDescent="0.25">
      <c r="B49" s="266">
        <f t="shared" si="1"/>
        <v>25</v>
      </c>
      <c r="C49" s="487" t="s">
        <v>142</v>
      </c>
      <c r="D49" s="488"/>
      <c r="E49" s="271" t="s">
        <v>249</v>
      </c>
      <c r="F49" s="347"/>
      <c r="G49" s="347"/>
      <c r="H49" s="340" t="s">
        <v>214</v>
      </c>
      <c r="I49" s="273">
        <v>2016</v>
      </c>
      <c r="J49" s="273" t="s">
        <v>144</v>
      </c>
      <c r="K49" s="274" t="s">
        <v>120</v>
      </c>
      <c r="L49" s="341">
        <v>2282609</v>
      </c>
      <c r="M49" s="273" t="s">
        <v>26</v>
      </c>
      <c r="N49" s="347"/>
      <c r="O49" s="348"/>
      <c r="P49" s="267" t="s">
        <v>510</v>
      </c>
    </row>
    <row r="50" spans="2:16" ht="54" customHeight="1" x14ac:dyDescent="0.25">
      <c r="B50" s="266">
        <f>B49+1</f>
        <v>26</v>
      </c>
      <c r="C50" s="487" t="s">
        <v>142</v>
      </c>
      <c r="D50" s="488"/>
      <c r="E50" s="271" t="s">
        <v>249</v>
      </c>
      <c r="F50" s="347"/>
      <c r="G50" s="347"/>
      <c r="H50" s="340" t="s">
        <v>214</v>
      </c>
      <c r="I50" s="273">
        <v>2016</v>
      </c>
      <c r="J50" s="273" t="s">
        <v>144</v>
      </c>
      <c r="K50" s="274" t="s">
        <v>93</v>
      </c>
      <c r="L50" s="341">
        <v>2282609</v>
      </c>
      <c r="M50" s="273" t="s">
        <v>26</v>
      </c>
      <c r="N50" s="347"/>
      <c r="O50" s="348"/>
      <c r="P50" s="267" t="s">
        <v>510</v>
      </c>
    </row>
    <row r="51" spans="2:16" ht="54" customHeight="1" x14ac:dyDescent="0.25">
      <c r="B51" s="266">
        <f t="shared" si="0"/>
        <v>27</v>
      </c>
      <c r="C51" s="487" t="s">
        <v>142</v>
      </c>
      <c r="D51" s="488"/>
      <c r="E51" s="271" t="s">
        <v>249</v>
      </c>
      <c r="F51" s="347"/>
      <c r="G51" s="347"/>
      <c r="H51" s="340" t="s">
        <v>214</v>
      </c>
      <c r="I51" s="273">
        <v>2017</v>
      </c>
      <c r="J51" s="273" t="s">
        <v>144</v>
      </c>
      <c r="K51" s="274" t="s">
        <v>257</v>
      </c>
      <c r="L51" s="341">
        <v>2284351</v>
      </c>
      <c r="M51" s="273" t="s">
        <v>26</v>
      </c>
      <c r="N51" s="347"/>
      <c r="O51" s="348"/>
      <c r="P51" s="267" t="s">
        <v>510</v>
      </c>
    </row>
    <row r="52" spans="2:16" ht="54" customHeight="1" x14ac:dyDescent="0.25">
      <c r="B52" s="266">
        <f>B51+1</f>
        <v>28</v>
      </c>
      <c r="C52" s="487" t="s">
        <v>142</v>
      </c>
      <c r="D52" s="488"/>
      <c r="E52" s="271" t="s">
        <v>265</v>
      </c>
      <c r="F52" s="347"/>
      <c r="G52" s="347"/>
      <c r="H52" s="340"/>
      <c r="I52" s="273">
        <v>2017</v>
      </c>
      <c r="J52" s="273" t="s">
        <v>144</v>
      </c>
      <c r="K52" s="274" t="s">
        <v>132</v>
      </c>
      <c r="L52" s="341">
        <v>1116794</v>
      </c>
      <c r="M52" s="273" t="s">
        <v>26</v>
      </c>
      <c r="N52" s="347"/>
      <c r="O52" s="348"/>
      <c r="P52" s="267"/>
    </row>
    <row r="53" spans="2:16" ht="54" customHeight="1" x14ac:dyDescent="0.25">
      <c r="B53" s="266">
        <f t="shared" si="0"/>
        <v>29</v>
      </c>
      <c r="C53" s="487" t="s">
        <v>142</v>
      </c>
      <c r="D53" s="488"/>
      <c r="E53" s="271" t="s">
        <v>265</v>
      </c>
      <c r="F53" s="347"/>
      <c r="G53" s="347"/>
      <c r="H53" s="340"/>
      <c r="I53" s="273">
        <v>2017</v>
      </c>
      <c r="J53" s="273" t="s">
        <v>144</v>
      </c>
      <c r="K53" s="274" t="s">
        <v>264</v>
      </c>
      <c r="L53" s="341">
        <v>1116794</v>
      </c>
      <c r="M53" s="273" t="s">
        <v>26</v>
      </c>
      <c r="N53" s="347"/>
      <c r="O53" s="348"/>
      <c r="P53" s="272"/>
    </row>
    <row r="54" spans="2:16" ht="36" customHeight="1" x14ac:dyDescent="0.25">
      <c r="B54" s="266">
        <f t="shared" si="0"/>
        <v>30</v>
      </c>
      <c r="C54" s="487" t="s">
        <v>142</v>
      </c>
      <c r="D54" s="488"/>
      <c r="E54" s="271" t="s">
        <v>248</v>
      </c>
      <c r="F54" s="347"/>
      <c r="G54" s="347"/>
      <c r="H54" s="340"/>
      <c r="I54" s="273">
        <v>2018</v>
      </c>
      <c r="J54" s="273" t="s">
        <v>144</v>
      </c>
      <c r="K54" s="274" t="s">
        <v>247</v>
      </c>
      <c r="L54" s="341">
        <v>2019589</v>
      </c>
      <c r="M54" s="273" t="s">
        <v>26</v>
      </c>
      <c r="N54" s="347"/>
      <c r="O54" s="348"/>
      <c r="P54" s="272"/>
    </row>
    <row r="55" spans="2:16" ht="36" customHeight="1" x14ac:dyDescent="0.25">
      <c r="B55" s="266">
        <f>B54+1</f>
        <v>31</v>
      </c>
      <c r="C55" s="487" t="s">
        <v>142</v>
      </c>
      <c r="D55" s="488"/>
      <c r="E55" s="271" t="s">
        <v>248</v>
      </c>
      <c r="F55" s="347"/>
      <c r="G55" s="347"/>
      <c r="H55" s="340"/>
      <c r="I55" s="273">
        <v>2018</v>
      </c>
      <c r="J55" s="273" t="s">
        <v>144</v>
      </c>
      <c r="K55" s="274" t="s">
        <v>63</v>
      </c>
      <c r="L55" s="355">
        <v>2019589</v>
      </c>
      <c r="M55" s="273" t="s">
        <v>26</v>
      </c>
      <c r="N55" s="347"/>
      <c r="O55" s="348"/>
      <c r="P55" s="272"/>
    </row>
    <row r="56" spans="2:16" ht="18" customHeight="1" x14ac:dyDescent="0.25"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</row>
    <row r="57" spans="2:16" ht="18" customHeight="1" x14ac:dyDescent="0.25"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</row>
    <row r="58" spans="2:16" ht="18" customHeight="1" x14ac:dyDescent="0.25">
      <c r="B58" s="284"/>
      <c r="C58" s="356"/>
      <c r="D58" s="356"/>
      <c r="E58" s="357"/>
      <c r="F58" s="358"/>
      <c r="G58" s="358"/>
      <c r="H58" s="359"/>
      <c r="I58" s="359"/>
      <c r="J58" s="359"/>
      <c r="K58" s="360"/>
      <c r="L58" s="361"/>
      <c r="M58" s="359"/>
      <c r="N58" s="358"/>
      <c r="O58" s="358"/>
      <c r="P58" s="358"/>
    </row>
    <row r="59" spans="2:16" ht="18" customHeight="1" x14ac:dyDescent="0.25">
      <c r="B59" s="284"/>
      <c r="C59" s="356"/>
      <c r="D59" s="356"/>
      <c r="E59" s="357"/>
      <c r="F59" s="358"/>
      <c r="G59" s="358"/>
      <c r="H59" s="359"/>
      <c r="I59" s="359"/>
      <c r="J59" s="359"/>
      <c r="K59" s="360"/>
      <c r="L59" s="361"/>
      <c r="M59" s="359"/>
      <c r="N59" s="358"/>
      <c r="O59" s="358"/>
      <c r="P59" s="358"/>
    </row>
    <row r="60" spans="2:16" ht="18" x14ac:dyDescent="0.25">
      <c r="B60" s="284"/>
      <c r="C60" s="356"/>
      <c r="D60" s="356"/>
      <c r="E60" s="357"/>
      <c r="F60" s="358"/>
      <c r="G60" s="358"/>
      <c r="H60" s="359"/>
      <c r="I60" s="359"/>
      <c r="J60" s="359"/>
      <c r="K60" s="360"/>
      <c r="L60" s="361"/>
      <c r="M60" s="359"/>
      <c r="N60" s="358"/>
      <c r="O60" s="358"/>
      <c r="P60" s="358"/>
    </row>
    <row r="61" spans="2:16" ht="18" x14ac:dyDescent="0.25">
      <c r="B61" s="284"/>
      <c r="C61" s="356"/>
      <c r="D61" s="356"/>
      <c r="E61" s="357"/>
      <c r="F61" s="358"/>
      <c r="G61" s="358"/>
      <c r="H61" s="359"/>
      <c r="I61" s="359"/>
      <c r="J61" s="359"/>
      <c r="K61" s="360"/>
      <c r="L61" s="361"/>
      <c r="M61" s="359"/>
      <c r="N61" s="358"/>
      <c r="O61" s="358"/>
      <c r="P61" s="358"/>
    </row>
    <row r="62" spans="2:16" ht="18" x14ac:dyDescent="0.25">
      <c r="B62" s="284"/>
      <c r="C62" s="356"/>
      <c r="D62" s="356"/>
      <c r="E62" s="357"/>
      <c r="F62" s="358"/>
      <c r="G62" s="358"/>
      <c r="H62" s="359"/>
      <c r="I62" s="359"/>
      <c r="J62" s="359"/>
      <c r="K62" s="360"/>
      <c r="L62" s="361"/>
      <c r="M62" s="359"/>
      <c r="N62" s="358"/>
      <c r="O62" s="358"/>
      <c r="P62" s="358"/>
    </row>
    <row r="63" spans="2:16" ht="18" x14ac:dyDescent="0.25">
      <c r="B63" s="362"/>
      <c r="C63" s="363"/>
      <c r="D63" s="363"/>
      <c r="E63" s="364"/>
      <c r="F63" s="365"/>
      <c r="G63" s="365"/>
      <c r="H63" s="366"/>
      <c r="I63" s="366"/>
      <c r="J63" s="366"/>
      <c r="K63" s="367"/>
      <c r="L63" s="368"/>
      <c r="M63" s="366"/>
      <c r="N63" s="365"/>
      <c r="O63" s="365"/>
      <c r="P63" s="365"/>
    </row>
    <row r="64" spans="2:16" ht="18" x14ac:dyDescent="0.25">
      <c r="B64" s="317" t="s">
        <v>7</v>
      </c>
      <c r="C64" s="500" t="s">
        <v>8</v>
      </c>
      <c r="D64" s="500"/>
      <c r="E64" s="317" t="s">
        <v>9</v>
      </c>
      <c r="F64" s="317" t="s">
        <v>10</v>
      </c>
      <c r="G64" s="489" t="s">
        <v>11</v>
      </c>
      <c r="H64" s="489" t="s">
        <v>12</v>
      </c>
      <c r="I64" s="317" t="s">
        <v>13</v>
      </c>
      <c r="J64" s="317"/>
      <c r="K64" s="317" t="s">
        <v>15</v>
      </c>
      <c r="L64" s="317" t="s">
        <v>16</v>
      </c>
      <c r="M64" s="494" t="s">
        <v>17</v>
      </c>
      <c r="N64" s="494"/>
      <c r="O64" s="494"/>
      <c r="P64" s="317" t="s">
        <v>18</v>
      </c>
    </row>
    <row r="65" spans="2:16" ht="18" x14ac:dyDescent="0.25">
      <c r="B65" s="490" t="s">
        <v>19</v>
      </c>
      <c r="C65" s="495" t="s">
        <v>20</v>
      </c>
      <c r="D65" s="496"/>
      <c r="E65" s="490" t="s">
        <v>21</v>
      </c>
      <c r="F65" s="490" t="s">
        <v>22</v>
      </c>
      <c r="G65" s="490"/>
      <c r="H65" s="490"/>
      <c r="I65" s="319" t="s">
        <v>23</v>
      </c>
      <c r="J65" s="319" t="s">
        <v>544</v>
      </c>
      <c r="K65" s="319" t="s">
        <v>24</v>
      </c>
      <c r="L65" s="319" t="s">
        <v>25</v>
      </c>
      <c r="M65" s="319" t="s">
        <v>26</v>
      </c>
      <c r="N65" s="319" t="s">
        <v>27</v>
      </c>
      <c r="O65" s="319" t="s">
        <v>28</v>
      </c>
      <c r="P65" s="481" t="s">
        <v>29</v>
      </c>
    </row>
    <row r="66" spans="2:16" ht="18" x14ac:dyDescent="0.25">
      <c r="B66" s="491"/>
      <c r="C66" s="497"/>
      <c r="D66" s="498"/>
      <c r="E66" s="491"/>
      <c r="F66" s="491"/>
      <c r="G66" s="491"/>
      <c r="H66" s="491"/>
      <c r="I66" s="318" t="s">
        <v>30</v>
      </c>
      <c r="J66" s="318"/>
      <c r="K66" s="318" t="s">
        <v>31</v>
      </c>
      <c r="L66" s="318" t="s">
        <v>32</v>
      </c>
      <c r="M66" s="318" t="s">
        <v>33</v>
      </c>
      <c r="N66" s="318" t="s">
        <v>34</v>
      </c>
      <c r="O66" s="318" t="s">
        <v>35</v>
      </c>
      <c r="P66" s="482"/>
    </row>
    <row r="67" spans="2:16" ht="18" x14ac:dyDescent="0.25">
      <c r="B67" s="263">
        <v>1</v>
      </c>
      <c r="C67" s="483">
        <v>2</v>
      </c>
      <c r="D67" s="484"/>
      <c r="E67" s="315">
        <v>3</v>
      </c>
      <c r="F67" s="315">
        <v>4</v>
      </c>
      <c r="G67" s="316">
        <v>5</v>
      </c>
      <c r="H67" s="316">
        <v>6</v>
      </c>
      <c r="I67" s="319">
        <v>7</v>
      </c>
      <c r="J67" s="319">
        <v>8</v>
      </c>
      <c r="K67" s="319">
        <v>9</v>
      </c>
      <c r="L67" s="319">
        <v>10</v>
      </c>
      <c r="M67" s="319">
        <v>11</v>
      </c>
      <c r="N67" s="319">
        <v>12</v>
      </c>
      <c r="O67" s="319">
        <v>13</v>
      </c>
      <c r="P67" s="315">
        <v>14</v>
      </c>
    </row>
    <row r="68" spans="2:16" ht="36" x14ac:dyDescent="0.25">
      <c r="B68" s="266">
        <f>B55+1</f>
        <v>32</v>
      </c>
      <c r="C68" s="487" t="s">
        <v>142</v>
      </c>
      <c r="D68" s="488"/>
      <c r="E68" s="271" t="s">
        <v>248</v>
      </c>
      <c r="F68" s="347"/>
      <c r="G68" s="347"/>
      <c r="H68" s="340"/>
      <c r="I68" s="273">
        <v>2018</v>
      </c>
      <c r="J68" s="273" t="s">
        <v>144</v>
      </c>
      <c r="K68" s="274" t="s">
        <v>250</v>
      </c>
      <c r="L68" s="355">
        <v>2019589</v>
      </c>
      <c r="M68" s="273" t="s">
        <v>26</v>
      </c>
      <c r="N68" s="347"/>
      <c r="O68" s="348"/>
      <c r="P68" s="272"/>
    </row>
    <row r="69" spans="2:16" ht="36" x14ac:dyDescent="0.25">
      <c r="B69" s="266">
        <f>B84+1</f>
        <v>34</v>
      </c>
      <c r="C69" s="487" t="s">
        <v>49</v>
      </c>
      <c r="D69" s="488"/>
      <c r="E69" s="346" t="s">
        <v>259</v>
      </c>
      <c r="F69" s="347"/>
      <c r="G69" s="347"/>
      <c r="H69" s="273" t="s">
        <v>50</v>
      </c>
      <c r="I69" s="273">
        <v>2015</v>
      </c>
      <c r="J69" s="273" t="s">
        <v>51</v>
      </c>
      <c r="K69" s="274" t="s">
        <v>111</v>
      </c>
      <c r="L69" s="341">
        <v>2400000</v>
      </c>
      <c r="M69" s="273" t="s">
        <v>26</v>
      </c>
      <c r="N69" s="347"/>
      <c r="O69" s="347"/>
      <c r="P69" s="272"/>
    </row>
    <row r="70" spans="2:16" ht="36" customHeight="1" x14ac:dyDescent="0.25">
      <c r="B70" s="266">
        <f>B69+1</f>
        <v>35</v>
      </c>
      <c r="C70" s="487" t="s">
        <v>49</v>
      </c>
      <c r="D70" s="488"/>
      <c r="E70" s="271" t="s">
        <v>290</v>
      </c>
      <c r="F70" s="272"/>
      <c r="G70" s="272"/>
      <c r="H70" s="273" t="s">
        <v>50</v>
      </c>
      <c r="I70" s="273">
        <v>2018</v>
      </c>
      <c r="J70" s="273" t="s">
        <v>51</v>
      </c>
      <c r="K70" s="274" t="s">
        <v>83</v>
      </c>
      <c r="L70" s="341">
        <v>1969099</v>
      </c>
      <c r="M70" s="273" t="s">
        <v>26</v>
      </c>
      <c r="N70" s="272"/>
      <c r="O70" s="272"/>
      <c r="P70" s="271"/>
    </row>
    <row r="71" spans="2:16" ht="36" customHeight="1" x14ac:dyDescent="0.25">
      <c r="B71" s="266">
        <f t="shared" si="0"/>
        <v>36</v>
      </c>
      <c r="C71" s="492" t="s">
        <v>146</v>
      </c>
      <c r="D71" s="493"/>
      <c r="E71" s="338" t="s">
        <v>260</v>
      </c>
      <c r="F71" s="335"/>
      <c r="G71" s="335"/>
      <c r="H71" s="266" t="s">
        <v>50</v>
      </c>
      <c r="I71" s="266">
        <v>2011</v>
      </c>
      <c r="J71" s="266" t="s">
        <v>147</v>
      </c>
      <c r="K71" s="269" t="s">
        <v>67</v>
      </c>
      <c r="L71" s="281">
        <v>585000</v>
      </c>
      <c r="M71" s="266" t="s">
        <v>26</v>
      </c>
      <c r="N71" s="335"/>
      <c r="O71" s="335"/>
      <c r="P71" s="268"/>
    </row>
    <row r="72" spans="2:16" ht="18" x14ac:dyDescent="0.25">
      <c r="B72" s="284"/>
      <c r="C72" s="356"/>
      <c r="D72" s="356"/>
      <c r="E72" s="357"/>
      <c r="F72" s="358"/>
      <c r="G72" s="358"/>
      <c r="H72" s="359"/>
      <c r="I72" s="359"/>
      <c r="J72" s="359"/>
      <c r="K72" s="360"/>
      <c r="L72" s="369"/>
      <c r="M72" s="359"/>
      <c r="N72" s="358"/>
      <c r="O72" s="358"/>
      <c r="P72" s="358"/>
    </row>
    <row r="73" spans="2:16" ht="18" x14ac:dyDescent="0.25">
      <c r="B73" s="214"/>
      <c r="C73" s="214"/>
      <c r="D73" s="277" t="s">
        <v>36</v>
      </c>
      <c r="E73" s="214"/>
      <c r="F73" s="214"/>
      <c r="G73" s="214"/>
      <c r="H73" s="214"/>
      <c r="I73" s="214"/>
      <c r="J73" s="214"/>
      <c r="K73" s="214"/>
      <c r="L73" s="214"/>
      <c r="M73" s="277" t="s">
        <v>578</v>
      </c>
      <c r="N73" s="214"/>
      <c r="O73" s="214"/>
      <c r="P73" s="214"/>
    </row>
    <row r="74" spans="2:16" ht="18" x14ac:dyDescent="0.25">
      <c r="B74" s="214"/>
      <c r="C74" s="214"/>
      <c r="D74" s="277"/>
      <c r="E74" s="214"/>
      <c r="F74" s="214"/>
      <c r="G74" s="214"/>
      <c r="H74" s="214"/>
      <c r="I74" s="214"/>
      <c r="J74" s="214"/>
      <c r="K74" s="214"/>
      <c r="L74" s="214"/>
      <c r="M74" s="277"/>
      <c r="N74" s="214"/>
      <c r="O74" s="214"/>
      <c r="P74" s="214"/>
    </row>
    <row r="75" spans="2:16" ht="18" x14ac:dyDescent="0.25">
      <c r="B75" s="214"/>
      <c r="C75" s="214"/>
      <c r="D75" s="5" t="s">
        <v>572</v>
      </c>
      <c r="E75" s="214"/>
      <c r="F75" s="214"/>
      <c r="G75" s="214"/>
      <c r="H75" s="214"/>
      <c r="I75" s="214"/>
      <c r="J75" s="214"/>
      <c r="K75" s="214"/>
      <c r="L75" s="214"/>
      <c r="M75" s="5" t="s">
        <v>37</v>
      </c>
      <c r="N75" s="214"/>
      <c r="O75" s="214"/>
      <c r="P75" s="214"/>
    </row>
    <row r="76" spans="2:16" ht="18" x14ac:dyDescent="0.25">
      <c r="B76" s="214"/>
      <c r="C76" s="214"/>
      <c r="D76" s="5"/>
      <c r="E76" s="214"/>
      <c r="F76" s="214"/>
      <c r="G76" s="214"/>
      <c r="H76" s="214"/>
      <c r="I76" s="214"/>
      <c r="J76" s="214"/>
      <c r="K76" s="214"/>
      <c r="L76" s="214"/>
      <c r="M76" s="5"/>
      <c r="N76" s="214"/>
      <c r="O76" s="214"/>
      <c r="P76" s="214"/>
    </row>
    <row r="77" spans="2:16" ht="18" x14ac:dyDescent="0.25">
      <c r="B77" s="214"/>
      <c r="C77" s="214"/>
      <c r="D77" s="5"/>
      <c r="E77" s="214"/>
      <c r="F77" s="214"/>
      <c r="G77" s="214"/>
      <c r="H77" s="214"/>
      <c r="I77" s="214"/>
      <c r="J77" s="214"/>
      <c r="K77" s="214"/>
      <c r="L77" s="214"/>
      <c r="M77" s="5"/>
      <c r="N77" s="214"/>
      <c r="O77" s="214"/>
      <c r="P77" s="214"/>
    </row>
    <row r="78" spans="2:16" ht="18" x14ac:dyDescent="0.25">
      <c r="B78" s="214"/>
      <c r="C78" s="214"/>
      <c r="D78" s="5"/>
      <c r="E78" s="214"/>
      <c r="F78" s="214"/>
      <c r="G78" s="214"/>
      <c r="H78" s="214"/>
      <c r="I78" s="214"/>
      <c r="J78" s="214"/>
      <c r="K78" s="214"/>
      <c r="L78" s="214"/>
      <c r="M78" s="5"/>
      <c r="N78" s="214"/>
      <c r="O78" s="214"/>
      <c r="P78" s="214"/>
    </row>
    <row r="79" spans="2:16" ht="18" x14ac:dyDescent="0.25">
      <c r="B79" s="214"/>
      <c r="C79" s="214"/>
      <c r="D79" s="6" t="s">
        <v>573</v>
      </c>
      <c r="E79" s="214"/>
      <c r="F79" s="214"/>
      <c r="G79" s="214"/>
      <c r="H79" s="214"/>
      <c r="I79" s="214"/>
      <c r="J79" s="214"/>
      <c r="K79" s="214"/>
      <c r="L79" s="214"/>
      <c r="M79" s="6" t="s">
        <v>576</v>
      </c>
      <c r="N79" s="214"/>
      <c r="O79" s="214"/>
      <c r="P79" s="214"/>
    </row>
    <row r="80" spans="2:16" ht="18" x14ac:dyDescent="0.25">
      <c r="B80" s="214"/>
      <c r="C80" s="214"/>
      <c r="D80" s="5" t="s">
        <v>39</v>
      </c>
      <c r="E80" s="214"/>
      <c r="F80" s="214"/>
      <c r="G80" s="214"/>
      <c r="H80" s="214"/>
      <c r="I80" s="214"/>
      <c r="J80" s="214"/>
      <c r="K80" s="214"/>
      <c r="L80" s="214"/>
      <c r="M80" s="23" t="str">
        <f>'RUANG KABID WASNAS'!L28</f>
        <v>NIP. 19721124 200604 2 005</v>
      </c>
      <c r="N80" s="214"/>
      <c r="O80" s="214"/>
      <c r="P80" s="214"/>
    </row>
    <row r="81" spans="2:16" ht="18" x14ac:dyDescent="0.25">
      <c r="B81" s="214"/>
      <c r="C81" s="214"/>
      <c r="D81" s="23" t="s">
        <v>574</v>
      </c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</row>
    <row r="82" spans="2:16" x14ac:dyDescent="0.25">
      <c r="L82" s="24"/>
    </row>
    <row r="83" spans="2:16" ht="31.5" x14ac:dyDescent="0.25">
      <c r="B83" s="7">
        <f>B46+1</f>
        <v>23</v>
      </c>
      <c r="C83" s="534" t="s">
        <v>142</v>
      </c>
      <c r="D83" s="535"/>
      <c r="E83" s="40" t="s">
        <v>252</v>
      </c>
      <c r="F83" s="41"/>
      <c r="G83" s="41"/>
      <c r="H83" s="42" t="s">
        <v>214</v>
      </c>
      <c r="I83" s="43">
        <v>2011</v>
      </c>
      <c r="J83" s="43" t="s">
        <v>144</v>
      </c>
      <c r="K83" s="44" t="s">
        <v>215</v>
      </c>
      <c r="L83" s="63">
        <v>485000</v>
      </c>
      <c r="M83" s="43" t="s">
        <v>26</v>
      </c>
      <c r="N83" s="41"/>
      <c r="O83" s="45"/>
      <c r="P83" s="170"/>
    </row>
    <row r="84" spans="2:16" x14ac:dyDescent="0.25">
      <c r="B84" s="7">
        <f>B68+1</f>
        <v>33</v>
      </c>
      <c r="C84" s="534" t="s">
        <v>49</v>
      </c>
      <c r="D84" s="535"/>
      <c r="E84" s="91" t="s">
        <v>289</v>
      </c>
      <c r="F84" s="41"/>
      <c r="G84" s="41"/>
      <c r="H84" s="43" t="s">
        <v>50</v>
      </c>
      <c r="I84" s="43">
        <v>2006</v>
      </c>
      <c r="J84" s="43" t="s">
        <v>51</v>
      </c>
      <c r="K84" s="44" t="s">
        <v>67</v>
      </c>
      <c r="L84" s="63">
        <v>1343750</v>
      </c>
      <c r="M84" s="43" t="s">
        <v>26</v>
      </c>
      <c r="N84" s="41"/>
      <c r="O84" s="41"/>
      <c r="P84" s="41"/>
    </row>
    <row r="85" spans="2:16" x14ac:dyDescent="0.25">
      <c r="C85" s="22"/>
    </row>
  </sheetData>
  <mergeCells count="71">
    <mergeCell ref="C70:D70"/>
    <mergeCell ref="C71:D71"/>
    <mergeCell ref="C83:D83"/>
    <mergeCell ref="C84:D84"/>
    <mergeCell ref="B65:B66"/>
    <mergeCell ref="C65:D66"/>
    <mergeCell ref="C69:D69"/>
    <mergeCell ref="G64:G66"/>
    <mergeCell ref="H64:H66"/>
    <mergeCell ref="M64:O64"/>
    <mergeCell ref="E65:E66"/>
    <mergeCell ref="F65:F66"/>
    <mergeCell ref="P65:P66"/>
    <mergeCell ref="C67:D67"/>
    <mergeCell ref="C68:D68"/>
    <mergeCell ref="C55:D55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64:D64"/>
    <mergeCell ref="P37:P38"/>
    <mergeCell ref="C39:D39"/>
    <mergeCell ref="C40:D40"/>
    <mergeCell ref="C41:D41"/>
    <mergeCell ref="C42:D42"/>
    <mergeCell ref="C43:D43"/>
    <mergeCell ref="G36:G38"/>
    <mergeCell ref="H36:H38"/>
    <mergeCell ref="M36:O36"/>
    <mergeCell ref="B37:B38"/>
    <mergeCell ref="C37:D38"/>
    <mergeCell ref="E37:E38"/>
    <mergeCell ref="F37:F38"/>
    <mergeCell ref="C36:D36"/>
    <mergeCell ref="C23:D23"/>
    <mergeCell ref="C24:D24"/>
    <mergeCell ref="C25:D25"/>
    <mergeCell ref="C26:D26"/>
    <mergeCell ref="C27:D27"/>
    <mergeCell ref="C22:D22"/>
    <mergeCell ref="P10:P11"/>
    <mergeCell ref="C12:D12"/>
    <mergeCell ref="C13:D13"/>
    <mergeCell ref="C14:D14"/>
    <mergeCell ref="C15:D15"/>
    <mergeCell ref="C16:D16"/>
    <mergeCell ref="H9:H11"/>
    <mergeCell ref="M9:O9"/>
    <mergeCell ref="G9:G11"/>
    <mergeCell ref="C17:D17"/>
    <mergeCell ref="C18:D18"/>
    <mergeCell ref="C19:D19"/>
    <mergeCell ref="C20:D20"/>
    <mergeCell ref="C21:D21"/>
    <mergeCell ref="B10:B11"/>
    <mergeCell ref="C10:D11"/>
    <mergeCell ref="E10:E11"/>
    <mergeCell ref="F10:F11"/>
    <mergeCell ref="B3:C3"/>
    <mergeCell ref="B4:C4"/>
    <mergeCell ref="B5:C5"/>
    <mergeCell ref="B6:C6"/>
    <mergeCell ref="C9:D9"/>
  </mergeCells>
  <printOptions horizontalCentered="1"/>
  <pageMargins left="0.11811023622047245" right="0.35433070866141736" top="0.19685039370078741" bottom="0.15748031496062992" header="0" footer="0"/>
  <pageSetup paperSize="5" scale="65" orientation="landscape" horizontalDpi="4294967293" verticalDpi="180" r:id="rId1"/>
  <headerFooter alignWithMargins="0">
    <oddFooter>&amp;L&amp;9&amp;F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86"/>
  <sheetViews>
    <sheetView view="pageBreakPreview" topLeftCell="A55" zoomScale="70" zoomScaleNormal="55" zoomScaleSheetLayoutView="70" workbookViewId="0">
      <selection activeCell="O83" sqref="O83"/>
    </sheetView>
  </sheetViews>
  <sheetFormatPr defaultRowHeight="15.75" x14ac:dyDescent="0.25"/>
  <cols>
    <col min="2" max="2" width="7" customWidth="1"/>
    <col min="3" max="3" width="17.75" customWidth="1"/>
    <col min="4" max="4" width="10.875" customWidth="1"/>
    <col min="5" max="5" width="11.25" customWidth="1"/>
    <col min="6" max="6" width="11.5" customWidth="1"/>
    <col min="7" max="7" width="11.625" customWidth="1"/>
    <col min="8" max="8" width="15.5" customWidth="1"/>
    <col min="9" max="9" width="18.75" customWidth="1"/>
    <col min="10" max="10" width="15.375" customWidth="1"/>
    <col min="11" max="11" width="15.125" customWidth="1"/>
    <col min="13" max="13" width="11" customWidth="1"/>
    <col min="14" max="14" width="10.625" customWidth="1"/>
    <col min="15" max="15" width="9.625" customWidth="1"/>
    <col min="258" max="258" width="7" customWidth="1"/>
    <col min="259" max="259" width="17.75" customWidth="1"/>
    <col min="260" max="260" width="10.875" customWidth="1"/>
    <col min="261" max="261" width="11.25" customWidth="1"/>
    <col min="262" max="262" width="11.5" customWidth="1"/>
    <col min="263" max="263" width="11.625" customWidth="1"/>
    <col min="264" max="264" width="15.5" customWidth="1"/>
    <col min="265" max="265" width="18.75" customWidth="1"/>
    <col min="266" max="266" width="15.375" customWidth="1"/>
    <col min="267" max="267" width="15.125" customWidth="1"/>
    <col min="269" max="269" width="11" customWidth="1"/>
    <col min="270" max="270" width="10.625" customWidth="1"/>
    <col min="271" max="271" width="9.625" customWidth="1"/>
    <col min="514" max="514" width="7" customWidth="1"/>
    <col min="515" max="515" width="17.75" customWidth="1"/>
    <col min="516" max="516" width="10.875" customWidth="1"/>
    <col min="517" max="517" width="11.25" customWidth="1"/>
    <col min="518" max="518" width="11.5" customWidth="1"/>
    <col min="519" max="519" width="11.625" customWidth="1"/>
    <col min="520" max="520" width="15.5" customWidth="1"/>
    <col min="521" max="521" width="18.75" customWidth="1"/>
    <col min="522" max="522" width="15.375" customWidth="1"/>
    <col min="523" max="523" width="15.125" customWidth="1"/>
    <col min="525" max="525" width="11" customWidth="1"/>
    <col min="526" max="526" width="10.625" customWidth="1"/>
    <col min="527" max="527" width="9.625" customWidth="1"/>
    <col min="770" max="770" width="7" customWidth="1"/>
    <col min="771" max="771" width="17.75" customWidth="1"/>
    <col min="772" max="772" width="10.875" customWidth="1"/>
    <col min="773" max="773" width="11.25" customWidth="1"/>
    <col min="774" max="774" width="11.5" customWidth="1"/>
    <col min="775" max="775" width="11.625" customWidth="1"/>
    <col min="776" max="776" width="15.5" customWidth="1"/>
    <col min="777" max="777" width="18.75" customWidth="1"/>
    <col min="778" max="778" width="15.375" customWidth="1"/>
    <col min="779" max="779" width="15.125" customWidth="1"/>
    <col min="781" max="781" width="11" customWidth="1"/>
    <col min="782" max="782" width="10.625" customWidth="1"/>
    <col min="783" max="783" width="9.625" customWidth="1"/>
    <col min="1026" max="1026" width="7" customWidth="1"/>
    <col min="1027" max="1027" width="17.75" customWidth="1"/>
    <col min="1028" max="1028" width="10.875" customWidth="1"/>
    <col min="1029" max="1029" width="11.25" customWidth="1"/>
    <col min="1030" max="1030" width="11.5" customWidth="1"/>
    <col min="1031" max="1031" width="11.625" customWidth="1"/>
    <col min="1032" max="1032" width="15.5" customWidth="1"/>
    <col min="1033" max="1033" width="18.75" customWidth="1"/>
    <col min="1034" max="1034" width="15.375" customWidth="1"/>
    <col min="1035" max="1035" width="15.125" customWidth="1"/>
    <col min="1037" max="1037" width="11" customWidth="1"/>
    <col min="1038" max="1038" width="10.625" customWidth="1"/>
    <col min="1039" max="1039" width="9.625" customWidth="1"/>
    <col min="1282" max="1282" width="7" customWidth="1"/>
    <col min="1283" max="1283" width="17.75" customWidth="1"/>
    <col min="1284" max="1284" width="10.875" customWidth="1"/>
    <col min="1285" max="1285" width="11.25" customWidth="1"/>
    <col min="1286" max="1286" width="11.5" customWidth="1"/>
    <col min="1287" max="1287" width="11.625" customWidth="1"/>
    <col min="1288" max="1288" width="15.5" customWidth="1"/>
    <col min="1289" max="1289" width="18.75" customWidth="1"/>
    <col min="1290" max="1290" width="15.375" customWidth="1"/>
    <col min="1291" max="1291" width="15.125" customWidth="1"/>
    <col min="1293" max="1293" width="11" customWidth="1"/>
    <col min="1294" max="1294" width="10.625" customWidth="1"/>
    <col min="1295" max="1295" width="9.625" customWidth="1"/>
    <col min="1538" max="1538" width="7" customWidth="1"/>
    <col min="1539" max="1539" width="17.75" customWidth="1"/>
    <col min="1540" max="1540" width="10.875" customWidth="1"/>
    <col min="1541" max="1541" width="11.25" customWidth="1"/>
    <col min="1542" max="1542" width="11.5" customWidth="1"/>
    <col min="1543" max="1543" width="11.625" customWidth="1"/>
    <col min="1544" max="1544" width="15.5" customWidth="1"/>
    <col min="1545" max="1545" width="18.75" customWidth="1"/>
    <col min="1546" max="1546" width="15.375" customWidth="1"/>
    <col min="1547" max="1547" width="15.125" customWidth="1"/>
    <col min="1549" max="1549" width="11" customWidth="1"/>
    <col min="1550" max="1550" width="10.625" customWidth="1"/>
    <col min="1551" max="1551" width="9.625" customWidth="1"/>
    <col min="1794" max="1794" width="7" customWidth="1"/>
    <col min="1795" max="1795" width="17.75" customWidth="1"/>
    <col min="1796" max="1796" width="10.875" customWidth="1"/>
    <col min="1797" max="1797" width="11.25" customWidth="1"/>
    <col min="1798" max="1798" width="11.5" customWidth="1"/>
    <col min="1799" max="1799" width="11.625" customWidth="1"/>
    <col min="1800" max="1800" width="15.5" customWidth="1"/>
    <col min="1801" max="1801" width="18.75" customWidth="1"/>
    <col min="1802" max="1802" width="15.375" customWidth="1"/>
    <col min="1803" max="1803" width="15.125" customWidth="1"/>
    <col min="1805" max="1805" width="11" customWidth="1"/>
    <col min="1806" max="1806" width="10.625" customWidth="1"/>
    <col min="1807" max="1807" width="9.625" customWidth="1"/>
    <col min="2050" max="2050" width="7" customWidth="1"/>
    <col min="2051" max="2051" width="17.75" customWidth="1"/>
    <col min="2052" max="2052" width="10.875" customWidth="1"/>
    <col min="2053" max="2053" width="11.25" customWidth="1"/>
    <col min="2054" max="2054" width="11.5" customWidth="1"/>
    <col min="2055" max="2055" width="11.625" customWidth="1"/>
    <col min="2056" max="2056" width="15.5" customWidth="1"/>
    <col min="2057" max="2057" width="18.75" customWidth="1"/>
    <col min="2058" max="2058" width="15.375" customWidth="1"/>
    <col min="2059" max="2059" width="15.125" customWidth="1"/>
    <col min="2061" max="2061" width="11" customWidth="1"/>
    <col min="2062" max="2062" width="10.625" customWidth="1"/>
    <col min="2063" max="2063" width="9.625" customWidth="1"/>
    <col min="2306" max="2306" width="7" customWidth="1"/>
    <col min="2307" max="2307" width="17.75" customWidth="1"/>
    <col min="2308" max="2308" width="10.875" customWidth="1"/>
    <col min="2309" max="2309" width="11.25" customWidth="1"/>
    <col min="2310" max="2310" width="11.5" customWidth="1"/>
    <col min="2311" max="2311" width="11.625" customWidth="1"/>
    <col min="2312" max="2312" width="15.5" customWidth="1"/>
    <col min="2313" max="2313" width="18.75" customWidth="1"/>
    <col min="2314" max="2314" width="15.375" customWidth="1"/>
    <col min="2315" max="2315" width="15.125" customWidth="1"/>
    <col min="2317" max="2317" width="11" customWidth="1"/>
    <col min="2318" max="2318" width="10.625" customWidth="1"/>
    <col min="2319" max="2319" width="9.625" customWidth="1"/>
    <col min="2562" max="2562" width="7" customWidth="1"/>
    <col min="2563" max="2563" width="17.75" customWidth="1"/>
    <col min="2564" max="2564" width="10.875" customWidth="1"/>
    <col min="2565" max="2565" width="11.25" customWidth="1"/>
    <col min="2566" max="2566" width="11.5" customWidth="1"/>
    <col min="2567" max="2567" width="11.625" customWidth="1"/>
    <col min="2568" max="2568" width="15.5" customWidth="1"/>
    <col min="2569" max="2569" width="18.75" customWidth="1"/>
    <col min="2570" max="2570" width="15.375" customWidth="1"/>
    <col min="2571" max="2571" width="15.125" customWidth="1"/>
    <col min="2573" max="2573" width="11" customWidth="1"/>
    <col min="2574" max="2574" width="10.625" customWidth="1"/>
    <col min="2575" max="2575" width="9.625" customWidth="1"/>
    <col min="2818" max="2818" width="7" customWidth="1"/>
    <col min="2819" max="2819" width="17.75" customWidth="1"/>
    <col min="2820" max="2820" width="10.875" customWidth="1"/>
    <col min="2821" max="2821" width="11.25" customWidth="1"/>
    <col min="2822" max="2822" width="11.5" customWidth="1"/>
    <col min="2823" max="2823" width="11.625" customWidth="1"/>
    <col min="2824" max="2824" width="15.5" customWidth="1"/>
    <col min="2825" max="2825" width="18.75" customWidth="1"/>
    <col min="2826" max="2826" width="15.375" customWidth="1"/>
    <col min="2827" max="2827" width="15.125" customWidth="1"/>
    <col min="2829" max="2829" width="11" customWidth="1"/>
    <col min="2830" max="2830" width="10.625" customWidth="1"/>
    <col min="2831" max="2831" width="9.625" customWidth="1"/>
    <col min="3074" max="3074" width="7" customWidth="1"/>
    <col min="3075" max="3075" width="17.75" customWidth="1"/>
    <col min="3076" max="3076" width="10.875" customWidth="1"/>
    <col min="3077" max="3077" width="11.25" customWidth="1"/>
    <col min="3078" max="3078" width="11.5" customWidth="1"/>
    <col min="3079" max="3079" width="11.625" customWidth="1"/>
    <col min="3080" max="3080" width="15.5" customWidth="1"/>
    <col min="3081" max="3081" width="18.75" customWidth="1"/>
    <col min="3082" max="3082" width="15.375" customWidth="1"/>
    <col min="3083" max="3083" width="15.125" customWidth="1"/>
    <col min="3085" max="3085" width="11" customWidth="1"/>
    <col min="3086" max="3086" width="10.625" customWidth="1"/>
    <col min="3087" max="3087" width="9.625" customWidth="1"/>
    <col min="3330" max="3330" width="7" customWidth="1"/>
    <col min="3331" max="3331" width="17.75" customWidth="1"/>
    <col min="3332" max="3332" width="10.875" customWidth="1"/>
    <col min="3333" max="3333" width="11.25" customWidth="1"/>
    <col min="3334" max="3334" width="11.5" customWidth="1"/>
    <col min="3335" max="3335" width="11.625" customWidth="1"/>
    <col min="3336" max="3336" width="15.5" customWidth="1"/>
    <col min="3337" max="3337" width="18.75" customWidth="1"/>
    <col min="3338" max="3338" width="15.375" customWidth="1"/>
    <col min="3339" max="3339" width="15.125" customWidth="1"/>
    <col min="3341" max="3341" width="11" customWidth="1"/>
    <col min="3342" max="3342" width="10.625" customWidth="1"/>
    <col min="3343" max="3343" width="9.625" customWidth="1"/>
    <col min="3586" max="3586" width="7" customWidth="1"/>
    <col min="3587" max="3587" width="17.75" customWidth="1"/>
    <col min="3588" max="3588" width="10.875" customWidth="1"/>
    <col min="3589" max="3589" width="11.25" customWidth="1"/>
    <col min="3590" max="3590" width="11.5" customWidth="1"/>
    <col min="3591" max="3591" width="11.625" customWidth="1"/>
    <col min="3592" max="3592" width="15.5" customWidth="1"/>
    <col min="3593" max="3593" width="18.75" customWidth="1"/>
    <col min="3594" max="3594" width="15.375" customWidth="1"/>
    <col min="3595" max="3595" width="15.125" customWidth="1"/>
    <col min="3597" max="3597" width="11" customWidth="1"/>
    <col min="3598" max="3598" width="10.625" customWidth="1"/>
    <col min="3599" max="3599" width="9.625" customWidth="1"/>
    <col min="3842" max="3842" width="7" customWidth="1"/>
    <col min="3843" max="3843" width="17.75" customWidth="1"/>
    <col min="3844" max="3844" width="10.875" customWidth="1"/>
    <col min="3845" max="3845" width="11.25" customWidth="1"/>
    <col min="3846" max="3846" width="11.5" customWidth="1"/>
    <col min="3847" max="3847" width="11.625" customWidth="1"/>
    <col min="3848" max="3848" width="15.5" customWidth="1"/>
    <col min="3849" max="3849" width="18.75" customWidth="1"/>
    <col min="3850" max="3850" width="15.375" customWidth="1"/>
    <col min="3851" max="3851" width="15.125" customWidth="1"/>
    <col min="3853" max="3853" width="11" customWidth="1"/>
    <col min="3854" max="3854" width="10.625" customWidth="1"/>
    <col min="3855" max="3855" width="9.625" customWidth="1"/>
    <col min="4098" max="4098" width="7" customWidth="1"/>
    <col min="4099" max="4099" width="17.75" customWidth="1"/>
    <col min="4100" max="4100" width="10.875" customWidth="1"/>
    <col min="4101" max="4101" width="11.25" customWidth="1"/>
    <col min="4102" max="4102" width="11.5" customWidth="1"/>
    <col min="4103" max="4103" width="11.625" customWidth="1"/>
    <col min="4104" max="4104" width="15.5" customWidth="1"/>
    <col min="4105" max="4105" width="18.75" customWidth="1"/>
    <col min="4106" max="4106" width="15.375" customWidth="1"/>
    <col min="4107" max="4107" width="15.125" customWidth="1"/>
    <col min="4109" max="4109" width="11" customWidth="1"/>
    <col min="4110" max="4110" width="10.625" customWidth="1"/>
    <col min="4111" max="4111" width="9.625" customWidth="1"/>
    <col min="4354" max="4354" width="7" customWidth="1"/>
    <col min="4355" max="4355" width="17.75" customWidth="1"/>
    <col min="4356" max="4356" width="10.875" customWidth="1"/>
    <col min="4357" max="4357" width="11.25" customWidth="1"/>
    <col min="4358" max="4358" width="11.5" customWidth="1"/>
    <col min="4359" max="4359" width="11.625" customWidth="1"/>
    <col min="4360" max="4360" width="15.5" customWidth="1"/>
    <col min="4361" max="4361" width="18.75" customWidth="1"/>
    <col min="4362" max="4362" width="15.375" customWidth="1"/>
    <col min="4363" max="4363" width="15.125" customWidth="1"/>
    <col min="4365" max="4365" width="11" customWidth="1"/>
    <col min="4366" max="4366" width="10.625" customWidth="1"/>
    <col min="4367" max="4367" width="9.625" customWidth="1"/>
    <col min="4610" max="4610" width="7" customWidth="1"/>
    <col min="4611" max="4611" width="17.75" customWidth="1"/>
    <col min="4612" max="4612" width="10.875" customWidth="1"/>
    <col min="4613" max="4613" width="11.25" customWidth="1"/>
    <col min="4614" max="4614" width="11.5" customWidth="1"/>
    <col min="4615" max="4615" width="11.625" customWidth="1"/>
    <col min="4616" max="4616" width="15.5" customWidth="1"/>
    <col min="4617" max="4617" width="18.75" customWidth="1"/>
    <col min="4618" max="4618" width="15.375" customWidth="1"/>
    <col min="4619" max="4619" width="15.125" customWidth="1"/>
    <col min="4621" max="4621" width="11" customWidth="1"/>
    <col min="4622" max="4622" width="10.625" customWidth="1"/>
    <col min="4623" max="4623" width="9.625" customWidth="1"/>
    <col min="4866" max="4866" width="7" customWidth="1"/>
    <col min="4867" max="4867" width="17.75" customWidth="1"/>
    <col min="4868" max="4868" width="10.875" customWidth="1"/>
    <col min="4869" max="4869" width="11.25" customWidth="1"/>
    <col min="4870" max="4870" width="11.5" customWidth="1"/>
    <col min="4871" max="4871" width="11.625" customWidth="1"/>
    <col min="4872" max="4872" width="15.5" customWidth="1"/>
    <col min="4873" max="4873" width="18.75" customWidth="1"/>
    <col min="4874" max="4874" width="15.375" customWidth="1"/>
    <col min="4875" max="4875" width="15.125" customWidth="1"/>
    <col min="4877" max="4877" width="11" customWidth="1"/>
    <col min="4878" max="4878" width="10.625" customWidth="1"/>
    <col min="4879" max="4879" width="9.625" customWidth="1"/>
    <col min="5122" max="5122" width="7" customWidth="1"/>
    <col min="5123" max="5123" width="17.75" customWidth="1"/>
    <col min="5124" max="5124" width="10.875" customWidth="1"/>
    <col min="5125" max="5125" width="11.25" customWidth="1"/>
    <col min="5126" max="5126" width="11.5" customWidth="1"/>
    <col min="5127" max="5127" width="11.625" customWidth="1"/>
    <col min="5128" max="5128" width="15.5" customWidth="1"/>
    <col min="5129" max="5129" width="18.75" customWidth="1"/>
    <col min="5130" max="5130" width="15.375" customWidth="1"/>
    <col min="5131" max="5131" width="15.125" customWidth="1"/>
    <col min="5133" max="5133" width="11" customWidth="1"/>
    <col min="5134" max="5134" width="10.625" customWidth="1"/>
    <col min="5135" max="5135" width="9.625" customWidth="1"/>
    <col min="5378" max="5378" width="7" customWidth="1"/>
    <col min="5379" max="5379" width="17.75" customWidth="1"/>
    <col min="5380" max="5380" width="10.875" customWidth="1"/>
    <col min="5381" max="5381" width="11.25" customWidth="1"/>
    <col min="5382" max="5382" width="11.5" customWidth="1"/>
    <col min="5383" max="5383" width="11.625" customWidth="1"/>
    <col min="5384" max="5384" width="15.5" customWidth="1"/>
    <col min="5385" max="5385" width="18.75" customWidth="1"/>
    <col min="5386" max="5386" width="15.375" customWidth="1"/>
    <col min="5387" max="5387" width="15.125" customWidth="1"/>
    <col min="5389" max="5389" width="11" customWidth="1"/>
    <col min="5390" max="5390" width="10.625" customWidth="1"/>
    <col min="5391" max="5391" width="9.625" customWidth="1"/>
    <col min="5634" max="5634" width="7" customWidth="1"/>
    <col min="5635" max="5635" width="17.75" customWidth="1"/>
    <col min="5636" max="5636" width="10.875" customWidth="1"/>
    <col min="5637" max="5637" width="11.25" customWidth="1"/>
    <col min="5638" max="5638" width="11.5" customWidth="1"/>
    <col min="5639" max="5639" width="11.625" customWidth="1"/>
    <col min="5640" max="5640" width="15.5" customWidth="1"/>
    <col min="5641" max="5641" width="18.75" customWidth="1"/>
    <col min="5642" max="5642" width="15.375" customWidth="1"/>
    <col min="5643" max="5643" width="15.125" customWidth="1"/>
    <col min="5645" max="5645" width="11" customWidth="1"/>
    <col min="5646" max="5646" width="10.625" customWidth="1"/>
    <col min="5647" max="5647" width="9.625" customWidth="1"/>
    <col min="5890" max="5890" width="7" customWidth="1"/>
    <col min="5891" max="5891" width="17.75" customWidth="1"/>
    <col min="5892" max="5892" width="10.875" customWidth="1"/>
    <col min="5893" max="5893" width="11.25" customWidth="1"/>
    <col min="5894" max="5894" width="11.5" customWidth="1"/>
    <col min="5895" max="5895" width="11.625" customWidth="1"/>
    <col min="5896" max="5896" width="15.5" customWidth="1"/>
    <col min="5897" max="5897" width="18.75" customWidth="1"/>
    <col min="5898" max="5898" width="15.375" customWidth="1"/>
    <col min="5899" max="5899" width="15.125" customWidth="1"/>
    <col min="5901" max="5901" width="11" customWidth="1"/>
    <col min="5902" max="5902" width="10.625" customWidth="1"/>
    <col min="5903" max="5903" width="9.625" customWidth="1"/>
    <col min="6146" max="6146" width="7" customWidth="1"/>
    <col min="6147" max="6147" width="17.75" customWidth="1"/>
    <col min="6148" max="6148" width="10.875" customWidth="1"/>
    <col min="6149" max="6149" width="11.25" customWidth="1"/>
    <col min="6150" max="6150" width="11.5" customWidth="1"/>
    <col min="6151" max="6151" width="11.625" customWidth="1"/>
    <col min="6152" max="6152" width="15.5" customWidth="1"/>
    <col min="6153" max="6153" width="18.75" customWidth="1"/>
    <col min="6154" max="6154" width="15.375" customWidth="1"/>
    <col min="6155" max="6155" width="15.125" customWidth="1"/>
    <col min="6157" max="6157" width="11" customWidth="1"/>
    <col min="6158" max="6158" width="10.625" customWidth="1"/>
    <col min="6159" max="6159" width="9.625" customWidth="1"/>
    <col min="6402" max="6402" width="7" customWidth="1"/>
    <col min="6403" max="6403" width="17.75" customWidth="1"/>
    <col min="6404" max="6404" width="10.875" customWidth="1"/>
    <col min="6405" max="6405" width="11.25" customWidth="1"/>
    <col min="6406" max="6406" width="11.5" customWidth="1"/>
    <col min="6407" max="6407" width="11.625" customWidth="1"/>
    <col min="6408" max="6408" width="15.5" customWidth="1"/>
    <col min="6409" max="6409" width="18.75" customWidth="1"/>
    <col min="6410" max="6410" width="15.375" customWidth="1"/>
    <col min="6411" max="6411" width="15.125" customWidth="1"/>
    <col min="6413" max="6413" width="11" customWidth="1"/>
    <col min="6414" max="6414" width="10.625" customWidth="1"/>
    <col min="6415" max="6415" width="9.625" customWidth="1"/>
    <col min="6658" max="6658" width="7" customWidth="1"/>
    <col min="6659" max="6659" width="17.75" customWidth="1"/>
    <col min="6660" max="6660" width="10.875" customWidth="1"/>
    <col min="6661" max="6661" width="11.25" customWidth="1"/>
    <col min="6662" max="6662" width="11.5" customWidth="1"/>
    <col min="6663" max="6663" width="11.625" customWidth="1"/>
    <col min="6664" max="6664" width="15.5" customWidth="1"/>
    <col min="6665" max="6665" width="18.75" customWidth="1"/>
    <col min="6666" max="6666" width="15.375" customWidth="1"/>
    <col min="6667" max="6667" width="15.125" customWidth="1"/>
    <col min="6669" max="6669" width="11" customWidth="1"/>
    <col min="6670" max="6670" width="10.625" customWidth="1"/>
    <col min="6671" max="6671" width="9.625" customWidth="1"/>
    <col min="6914" max="6914" width="7" customWidth="1"/>
    <col min="6915" max="6915" width="17.75" customWidth="1"/>
    <col min="6916" max="6916" width="10.875" customWidth="1"/>
    <col min="6917" max="6917" width="11.25" customWidth="1"/>
    <col min="6918" max="6918" width="11.5" customWidth="1"/>
    <col min="6919" max="6919" width="11.625" customWidth="1"/>
    <col min="6920" max="6920" width="15.5" customWidth="1"/>
    <col min="6921" max="6921" width="18.75" customWidth="1"/>
    <col min="6922" max="6922" width="15.375" customWidth="1"/>
    <col min="6923" max="6923" width="15.125" customWidth="1"/>
    <col min="6925" max="6925" width="11" customWidth="1"/>
    <col min="6926" max="6926" width="10.625" customWidth="1"/>
    <col min="6927" max="6927" width="9.625" customWidth="1"/>
    <col min="7170" max="7170" width="7" customWidth="1"/>
    <col min="7171" max="7171" width="17.75" customWidth="1"/>
    <col min="7172" max="7172" width="10.875" customWidth="1"/>
    <col min="7173" max="7173" width="11.25" customWidth="1"/>
    <col min="7174" max="7174" width="11.5" customWidth="1"/>
    <col min="7175" max="7175" width="11.625" customWidth="1"/>
    <col min="7176" max="7176" width="15.5" customWidth="1"/>
    <col min="7177" max="7177" width="18.75" customWidth="1"/>
    <col min="7178" max="7178" width="15.375" customWidth="1"/>
    <col min="7179" max="7179" width="15.125" customWidth="1"/>
    <col min="7181" max="7181" width="11" customWidth="1"/>
    <col min="7182" max="7182" width="10.625" customWidth="1"/>
    <col min="7183" max="7183" width="9.625" customWidth="1"/>
    <col min="7426" max="7426" width="7" customWidth="1"/>
    <col min="7427" max="7427" width="17.75" customWidth="1"/>
    <col min="7428" max="7428" width="10.875" customWidth="1"/>
    <col min="7429" max="7429" width="11.25" customWidth="1"/>
    <col min="7430" max="7430" width="11.5" customWidth="1"/>
    <col min="7431" max="7431" width="11.625" customWidth="1"/>
    <col min="7432" max="7432" width="15.5" customWidth="1"/>
    <col min="7433" max="7433" width="18.75" customWidth="1"/>
    <col min="7434" max="7434" width="15.375" customWidth="1"/>
    <col min="7435" max="7435" width="15.125" customWidth="1"/>
    <col min="7437" max="7437" width="11" customWidth="1"/>
    <col min="7438" max="7438" width="10.625" customWidth="1"/>
    <col min="7439" max="7439" width="9.625" customWidth="1"/>
    <col min="7682" max="7682" width="7" customWidth="1"/>
    <col min="7683" max="7683" width="17.75" customWidth="1"/>
    <col min="7684" max="7684" width="10.875" customWidth="1"/>
    <col min="7685" max="7685" width="11.25" customWidth="1"/>
    <col min="7686" max="7686" width="11.5" customWidth="1"/>
    <col min="7687" max="7687" width="11.625" customWidth="1"/>
    <col min="7688" max="7688" width="15.5" customWidth="1"/>
    <col min="7689" max="7689" width="18.75" customWidth="1"/>
    <col min="7690" max="7690" width="15.375" customWidth="1"/>
    <col min="7691" max="7691" width="15.125" customWidth="1"/>
    <col min="7693" max="7693" width="11" customWidth="1"/>
    <col min="7694" max="7694" width="10.625" customWidth="1"/>
    <col min="7695" max="7695" width="9.625" customWidth="1"/>
    <col min="7938" max="7938" width="7" customWidth="1"/>
    <col min="7939" max="7939" width="17.75" customWidth="1"/>
    <col min="7940" max="7940" width="10.875" customWidth="1"/>
    <col min="7941" max="7941" width="11.25" customWidth="1"/>
    <col min="7942" max="7942" width="11.5" customWidth="1"/>
    <col min="7943" max="7943" width="11.625" customWidth="1"/>
    <col min="7944" max="7944" width="15.5" customWidth="1"/>
    <col min="7945" max="7945" width="18.75" customWidth="1"/>
    <col min="7946" max="7946" width="15.375" customWidth="1"/>
    <col min="7947" max="7947" width="15.125" customWidth="1"/>
    <col min="7949" max="7949" width="11" customWidth="1"/>
    <col min="7950" max="7950" width="10.625" customWidth="1"/>
    <col min="7951" max="7951" width="9.625" customWidth="1"/>
    <col min="8194" max="8194" width="7" customWidth="1"/>
    <col min="8195" max="8195" width="17.75" customWidth="1"/>
    <col min="8196" max="8196" width="10.875" customWidth="1"/>
    <col min="8197" max="8197" width="11.25" customWidth="1"/>
    <col min="8198" max="8198" width="11.5" customWidth="1"/>
    <col min="8199" max="8199" width="11.625" customWidth="1"/>
    <col min="8200" max="8200" width="15.5" customWidth="1"/>
    <col min="8201" max="8201" width="18.75" customWidth="1"/>
    <col min="8202" max="8202" width="15.375" customWidth="1"/>
    <col min="8203" max="8203" width="15.125" customWidth="1"/>
    <col min="8205" max="8205" width="11" customWidth="1"/>
    <col min="8206" max="8206" width="10.625" customWidth="1"/>
    <col min="8207" max="8207" width="9.625" customWidth="1"/>
    <col min="8450" max="8450" width="7" customWidth="1"/>
    <col min="8451" max="8451" width="17.75" customWidth="1"/>
    <col min="8452" max="8452" width="10.875" customWidth="1"/>
    <col min="8453" max="8453" width="11.25" customWidth="1"/>
    <col min="8454" max="8454" width="11.5" customWidth="1"/>
    <col min="8455" max="8455" width="11.625" customWidth="1"/>
    <col min="8456" max="8456" width="15.5" customWidth="1"/>
    <col min="8457" max="8457" width="18.75" customWidth="1"/>
    <col min="8458" max="8458" width="15.375" customWidth="1"/>
    <col min="8459" max="8459" width="15.125" customWidth="1"/>
    <col min="8461" max="8461" width="11" customWidth="1"/>
    <col min="8462" max="8462" width="10.625" customWidth="1"/>
    <col min="8463" max="8463" width="9.625" customWidth="1"/>
    <col min="8706" max="8706" width="7" customWidth="1"/>
    <col min="8707" max="8707" width="17.75" customWidth="1"/>
    <col min="8708" max="8708" width="10.875" customWidth="1"/>
    <col min="8709" max="8709" width="11.25" customWidth="1"/>
    <col min="8710" max="8710" width="11.5" customWidth="1"/>
    <col min="8711" max="8711" width="11.625" customWidth="1"/>
    <col min="8712" max="8712" width="15.5" customWidth="1"/>
    <col min="8713" max="8713" width="18.75" customWidth="1"/>
    <col min="8714" max="8714" width="15.375" customWidth="1"/>
    <col min="8715" max="8715" width="15.125" customWidth="1"/>
    <col min="8717" max="8717" width="11" customWidth="1"/>
    <col min="8718" max="8718" width="10.625" customWidth="1"/>
    <col min="8719" max="8719" width="9.625" customWidth="1"/>
    <col min="8962" max="8962" width="7" customWidth="1"/>
    <col min="8963" max="8963" width="17.75" customWidth="1"/>
    <col min="8964" max="8964" width="10.875" customWidth="1"/>
    <col min="8965" max="8965" width="11.25" customWidth="1"/>
    <col min="8966" max="8966" width="11.5" customWidth="1"/>
    <col min="8967" max="8967" width="11.625" customWidth="1"/>
    <col min="8968" max="8968" width="15.5" customWidth="1"/>
    <col min="8969" max="8969" width="18.75" customWidth="1"/>
    <col min="8970" max="8970" width="15.375" customWidth="1"/>
    <col min="8971" max="8971" width="15.125" customWidth="1"/>
    <col min="8973" max="8973" width="11" customWidth="1"/>
    <col min="8974" max="8974" width="10.625" customWidth="1"/>
    <col min="8975" max="8975" width="9.625" customWidth="1"/>
    <col min="9218" max="9218" width="7" customWidth="1"/>
    <col min="9219" max="9219" width="17.75" customWidth="1"/>
    <col min="9220" max="9220" width="10.875" customWidth="1"/>
    <col min="9221" max="9221" width="11.25" customWidth="1"/>
    <col min="9222" max="9222" width="11.5" customWidth="1"/>
    <col min="9223" max="9223" width="11.625" customWidth="1"/>
    <col min="9224" max="9224" width="15.5" customWidth="1"/>
    <col min="9225" max="9225" width="18.75" customWidth="1"/>
    <col min="9226" max="9226" width="15.375" customWidth="1"/>
    <col min="9227" max="9227" width="15.125" customWidth="1"/>
    <col min="9229" max="9229" width="11" customWidth="1"/>
    <col min="9230" max="9230" width="10.625" customWidth="1"/>
    <col min="9231" max="9231" width="9.625" customWidth="1"/>
    <col min="9474" max="9474" width="7" customWidth="1"/>
    <col min="9475" max="9475" width="17.75" customWidth="1"/>
    <col min="9476" max="9476" width="10.875" customWidth="1"/>
    <col min="9477" max="9477" width="11.25" customWidth="1"/>
    <col min="9478" max="9478" width="11.5" customWidth="1"/>
    <col min="9479" max="9479" width="11.625" customWidth="1"/>
    <col min="9480" max="9480" width="15.5" customWidth="1"/>
    <col min="9481" max="9481" width="18.75" customWidth="1"/>
    <col min="9482" max="9482" width="15.375" customWidth="1"/>
    <col min="9483" max="9483" width="15.125" customWidth="1"/>
    <col min="9485" max="9485" width="11" customWidth="1"/>
    <col min="9486" max="9486" width="10.625" customWidth="1"/>
    <col min="9487" max="9487" width="9.625" customWidth="1"/>
    <col min="9730" max="9730" width="7" customWidth="1"/>
    <col min="9731" max="9731" width="17.75" customWidth="1"/>
    <col min="9732" max="9732" width="10.875" customWidth="1"/>
    <col min="9733" max="9733" width="11.25" customWidth="1"/>
    <col min="9734" max="9734" width="11.5" customWidth="1"/>
    <col min="9735" max="9735" width="11.625" customWidth="1"/>
    <col min="9736" max="9736" width="15.5" customWidth="1"/>
    <col min="9737" max="9737" width="18.75" customWidth="1"/>
    <col min="9738" max="9738" width="15.375" customWidth="1"/>
    <col min="9739" max="9739" width="15.125" customWidth="1"/>
    <col min="9741" max="9741" width="11" customWidth="1"/>
    <col min="9742" max="9742" width="10.625" customWidth="1"/>
    <col min="9743" max="9743" width="9.625" customWidth="1"/>
    <col min="9986" max="9986" width="7" customWidth="1"/>
    <col min="9987" max="9987" width="17.75" customWidth="1"/>
    <col min="9988" max="9988" width="10.875" customWidth="1"/>
    <col min="9989" max="9989" width="11.25" customWidth="1"/>
    <col min="9990" max="9990" width="11.5" customWidth="1"/>
    <col min="9991" max="9991" width="11.625" customWidth="1"/>
    <col min="9992" max="9992" width="15.5" customWidth="1"/>
    <col min="9993" max="9993" width="18.75" customWidth="1"/>
    <col min="9994" max="9994" width="15.375" customWidth="1"/>
    <col min="9995" max="9995" width="15.125" customWidth="1"/>
    <col min="9997" max="9997" width="11" customWidth="1"/>
    <col min="9998" max="9998" width="10.625" customWidth="1"/>
    <col min="9999" max="9999" width="9.625" customWidth="1"/>
    <col min="10242" max="10242" width="7" customWidth="1"/>
    <col min="10243" max="10243" width="17.75" customWidth="1"/>
    <col min="10244" max="10244" width="10.875" customWidth="1"/>
    <col min="10245" max="10245" width="11.25" customWidth="1"/>
    <col min="10246" max="10246" width="11.5" customWidth="1"/>
    <col min="10247" max="10247" width="11.625" customWidth="1"/>
    <col min="10248" max="10248" width="15.5" customWidth="1"/>
    <col min="10249" max="10249" width="18.75" customWidth="1"/>
    <col min="10250" max="10250" width="15.375" customWidth="1"/>
    <col min="10251" max="10251" width="15.125" customWidth="1"/>
    <col min="10253" max="10253" width="11" customWidth="1"/>
    <col min="10254" max="10254" width="10.625" customWidth="1"/>
    <col min="10255" max="10255" width="9.625" customWidth="1"/>
    <col min="10498" max="10498" width="7" customWidth="1"/>
    <col min="10499" max="10499" width="17.75" customWidth="1"/>
    <col min="10500" max="10500" width="10.875" customWidth="1"/>
    <col min="10501" max="10501" width="11.25" customWidth="1"/>
    <col min="10502" max="10502" width="11.5" customWidth="1"/>
    <col min="10503" max="10503" width="11.625" customWidth="1"/>
    <col min="10504" max="10504" width="15.5" customWidth="1"/>
    <col min="10505" max="10505" width="18.75" customWidth="1"/>
    <col min="10506" max="10506" width="15.375" customWidth="1"/>
    <col min="10507" max="10507" width="15.125" customWidth="1"/>
    <col min="10509" max="10509" width="11" customWidth="1"/>
    <col min="10510" max="10510" width="10.625" customWidth="1"/>
    <col min="10511" max="10511" width="9.625" customWidth="1"/>
    <col min="10754" max="10754" width="7" customWidth="1"/>
    <col min="10755" max="10755" width="17.75" customWidth="1"/>
    <col min="10756" max="10756" width="10.875" customWidth="1"/>
    <col min="10757" max="10757" width="11.25" customWidth="1"/>
    <col min="10758" max="10758" width="11.5" customWidth="1"/>
    <col min="10759" max="10759" width="11.625" customWidth="1"/>
    <col min="10760" max="10760" width="15.5" customWidth="1"/>
    <col min="10761" max="10761" width="18.75" customWidth="1"/>
    <col min="10762" max="10762" width="15.375" customWidth="1"/>
    <col min="10763" max="10763" width="15.125" customWidth="1"/>
    <col min="10765" max="10765" width="11" customWidth="1"/>
    <col min="10766" max="10766" width="10.625" customWidth="1"/>
    <col min="10767" max="10767" width="9.625" customWidth="1"/>
    <col min="11010" max="11010" width="7" customWidth="1"/>
    <col min="11011" max="11011" width="17.75" customWidth="1"/>
    <col min="11012" max="11012" width="10.875" customWidth="1"/>
    <col min="11013" max="11013" width="11.25" customWidth="1"/>
    <col min="11014" max="11014" width="11.5" customWidth="1"/>
    <col min="11015" max="11015" width="11.625" customWidth="1"/>
    <col min="11016" max="11016" width="15.5" customWidth="1"/>
    <col min="11017" max="11017" width="18.75" customWidth="1"/>
    <col min="11018" max="11018" width="15.375" customWidth="1"/>
    <col min="11019" max="11019" width="15.125" customWidth="1"/>
    <col min="11021" max="11021" width="11" customWidth="1"/>
    <col min="11022" max="11022" width="10.625" customWidth="1"/>
    <col min="11023" max="11023" width="9.625" customWidth="1"/>
    <col min="11266" max="11266" width="7" customWidth="1"/>
    <col min="11267" max="11267" width="17.75" customWidth="1"/>
    <col min="11268" max="11268" width="10.875" customWidth="1"/>
    <col min="11269" max="11269" width="11.25" customWidth="1"/>
    <col min="11270" max="11270" width="11.5" customWidth="1"/>
    <col min="11271" max="11271" width="11.625" customWidth="1"/>
    <col min="11272" max="11272" width="15.5" customWidth="1"/>
    <col min="11273" max="11273" width="18.75" customWidth="1"/>
    <col min="11274" max="11274" width="15.375" customWidth="1"/>
    <col min="11275" max="11275" width="15.125" customWidth="1"/>
    <col min="11277" max="11277" width="11" customWidth="1"/>
    <col min="11278" max="11278" width="10.625" customWidth="1"/>
    <col min="11279" max="11279" width="9.625" customWidth="1"/>
    <col min="11522" max="11522" width="7" customWidth="1"/>
    <col min="11523" max="11523" width="17.75" customWidth="1"/>
    <col min="11524" max="11524" width="10.875" customWidth="1"/>
    <col min="11525" max="11525" width="11.25" customWidth="1"/>
    <col min="11526" max="11526" width="11.5" customWidth="1"/>
    <col min="11527" max="11527" width="11.625" customWidth="1"/>
    <col min="11528" max="11528" width="15.5" customWidth="1"/>
    <col min="11529" max="11529" width="18.75" customWidth="1"/>
    <col min="11530" max="11530" width="15.375" customWidth="1"/>
    <col min="11531" max="11531" width="15.125" customWidth="1"/>
    <col min="11533" max="11533" width="11" customWidth="1"/>
    <col min="11534" max="11534" width="10.625" customWidth="1"/>
    <col min="11535" max="11535" width="9.625" customWidth="1"/>
    <col min="11778" max="11778" width="7" customWidth="1"/>
    <col min="11779" max="11779" width="17.75" customWidth="1"/>
    <col min="11780" max="11780" width="10.875" customWidth="1"/>
    <col min="11781" max="11781" width="11.25" customWidth="1"/>
    <col min="11782" max="11782" width="11.5" customWidth="1"/>
    <col min="11783" max="11783" width="11.625" customWidth="1"/>
    <col min="11784" max="11784" width="15.5" customWidth="1"/>
    <col min="11785" max="11785" width="18.75" customWidth="1"/>
    <col min="11786" max="11786" width="15.375" customWidth="1"/>
    <col min="11787" max="11787" width="15.125" customWidth="1"/>
    <col min="11789" max="11789" width="11" customWidth="1"/>
    <col min="11790" max="11790" width="10.625" customWidth="1"/>
    <col min="11791" max="11791" width="9.625" customWidth="1"/>
    <col min="12034" max="12034" width="7" customWidth="1"/>
    <col min="12035" max="12035" width="17.75" customWidth="1"/>
    <col min="12036" max="12036" width="10.875" customWidth="1"/>
    <col min="12037" max="12037" width="11.25" customWidth="1"/>
    <col min="12038" max="12038" width="11.5" customWidth="1"/>
    <col min="12039" max="12039" width="11.625" customWidth="1"/>
    <col min="12040" max="12040" width="15.5" customWidth="1"/>
    <col min="12041" max="12041" width="18.75" customWidth="1"/>
    <col min="12042" max="12042" width="15.375" customWidth="1"/>
    <col min="12043" max="12043" width="15.125" customWidth="1"/>
    <col min="12045" max="12045" width="11" customWidth="1"/>
    <col min="12046" max="12046" width="10.625" customWidth="1"/>
    <col min="12047" max="12047" width="9.625" customWidth="1"/>
    <col min="12290" max="12290" width="7" customWidth="1"/>
    <col min="12291" max="12291" width="17.75" customWidth="1"/>
    <col min="12292" max="12292" width="10.875" customWidth="1"/>
    <col min="12293" max="12293" width="11.25" customWidth="1"/>
    <col min="12294" max="12294" width="11.5" customWidth="1"/>
    <col min="12295" max="12295" width="11.625" customWidth="1"/>
    <col min="12296" max="12296" width="15.5" customWidth="1"/>
    <col min="12297" max="12297" width="18.75" customWidth="1"/>
    <col min="12298" max="12298" width="15.375" customWidth="1"/>
    <col min="12299" max="12299" width="15.125" customWidth="1"/>
    <col min="12301" max="12301" width="11" customWidth="1"/>
    <col min="12302" max="12302" width="10.625" customWidth="1"/>
    <col min="12303" max="12303" width="9.625" customWidth="1"/>
    <col min="12546" max="12546" width="7" customWidth="1"/>
    <col min="12547" max="12547" width="17.75" customWidth="1"/>
    <col min="12548" max="12548" width="10.875" customWidth="1"/>
    <col min="12549" max="12549" width="11.25" customWidth="1"/>
    <col min="12550" max="12550" width="11.5" customWidth="1"/>
    <col min="12551" max="12551" width="11.625" customWidth="1"/>
    <col min="12552" max="12552" width="15.5" customWidth="1"/>
    <col min="12553" max="12553" width="18.75" customWidth="1"/>
    <col min="12554" max="12554" width="15.375" customWidth="1"/>
    <col min="12555" max="12555" width="15.125" customWidth="1"/>
    <col min="12557" max="12557" width="11" customWidth="1"/>
    <col min="12558" max="12558" width="10.625" customWidth="1"/>
    <col min="12559" max="12559" width="9.625" customWidth="1"/>
    <col min="12802" max="12802" width="7" customWidth="1"/>
    <col min="12803" max="12803" width="17.75" customWidth="1"/>
    <col min="12804" max="12804" width="10.875" customWidth="1"/>
    <col min="12805" max="12805" width="11.25" customWidth="1"/>
    <col min="12806" max="12806" width="11.5" customWidth="1"/>
    <col min="12807" max="12807" width="11.625" customWidth="1"/>
    <col min="12808" max="12808" width="15.5" customWidth="1"/>
    <col min="12809" max="12809" width="18.75" customWidth="1"/>
    <col min="12810" max="12810" width="15.375" customWidth="1"/>
    <col min="12811" max="12811" width="15.125" customWidth="1"/>
    <col min="12813" max="12813" width="11" customWidth="1"/>
    <col min="12814" max="12814" width="10.625" customWidth="1"/>
    <col min="12815" max="12815" width="9.625" customWidth="1"/>
    <col min="13058" max="13058" width="7" customWidth="1"/>
    <col min="13059" max="13059" width="17.75" customWidth="1"/>
    <col min="13060" max="13060" width="10.875" customWidth="1"/>
    <col min="13061" max="13061" width="11.25" customWidth="1"/>
    <col min="13062" max="13062" width="11.5" customWidth="1"/>
    <col min="13063" max="13063" width="11.625" customWidth="1"/>
    <col min="13064" max="13064" width="15.5" customWidth="1"/>
    <col min="13065" max="13065" width="18.75" customWidth="1"/>
    <col min="13066" max="13066" width="15.375" customWidth="1"/>
    <col min="13067" max="13067" width="15.125" customWidth="1"/>
    <col min="13069" max="13069" width="11" customWidth="1"/>
    <col min="13070" max="13070" width="10.625" customWidth="1"/>
    <col min="13071" max="13071" width="9.625" customWidth="1"/>
    <col min="13314" max="13314" width="7" customWidth="1"/>
    <col min="13315" max="13315" width="17.75" customWidth="1"/>
    <col min="13316" max="13316" width="10.875" customWidth="1"/>
    <col min="13317" max="13317" width="11.25" customWidth="1"/>
    <col min="13318" max="13318" width="11.5" customWidth="1"/>
    <col min="13319" max="13319" width="11.625" customWidth="1"/>
    <col min="13320" max="13320" width="15.5" customWidth="1"/>
    <col min="13321" max="13321" width="18.75" customWidth="1"/>
    <col min="13322" max="13322" width="15.375" customWidth="1"/>
    <col min="13323" max="13323" width="15.125" customWidth="1"/>
    <col min="13325" max="13325" width="11" customWidth="1"/>
    <col min="13326" max="13326" width="10.625" customWidth="1"/>
    <col min="13327" max="13327" width="9.625" customWidth="1"/>
    <col min="13570" max="13570" width="7" customWidth="1"/>
    <col min="13571" max="13571" width="17.75" customWidth="1"/>
    <col min="13572" max="13572" width="10.875" customWidth="1"/>
    <col min="13573" max="13573" width="11.25" customWidth="1"/>
    <col min="13574" max="13574" width="11.5" customWidth="1"/>
    <col min="13575" max="13575" width="11.625" customWidth="1"/>
    <col min="13576" max="13576" width="15.5" customWidth="1"/>
    <col min="13577" max="13577" width="18.75" customWidth="1"/>
    <col min="13578" max="13578" width="15.375" customWidth="1"/>
    <col min="13579" max="13579" width="15.125" customWidth="1"/>
    <col min="13581" max="13581" width="11" customWidth="1"/>
    <col min="13582" max="13582" width="10.625" customWidth="1"/>
    <col min="13583" max="13583" width="9.625" customWidth="1"/>
    <col min="13826" max="13826" width="7" customWidth="1"/>
    <col min="13827" max="13827" width="17.75" customWidth="1"/>
    <col min="13828" max="13828" width="10.875" customWidth="1"/>
    <col min="13829" max="13829" width="11.25" customWidth="1"/>
    <col min="13830" max="13830" width="11.5" customWidth="1"/>
    <col min="13831" max="13831" width="11.625" customWidth="1"/>
    <col min="13832" max="13832" width="15.5" customWidth="1"/>
    <col min="13833" max="13833" width="18.75" customWidth="1"/>
    <col min="13834" max="13834" width="15.375" customWidth="1"/>
    <col min="13835" max="13835" width="15.125" customWidth="1"/>
    <col min="13837" max="13837" width="11" customWidth="1"/>
    <col min="13838" max="13838" width="10.625" customWidth="1"/>
    <col min="13839" max="13839" width="9.625" customWidth="1"/>
    <col min="14082" max="14082" width="7" customWidth="1"/>
    <col min="14083" max="14083" width="17.75" customWidth="1"/>
    <col min="14084" max="14084" width="10.875" customWidth="1"/>
    <col min="14085" max="14085" width="11.25" customWidth="1"/>
    <col min="14086" max="14086" width="11.5" customWidth="1"/>
    <col min="14087" max="14087" width="11.625" customWidth="1"/>
    <col min="14088" max="14088" width="15.5" customWidth="1"/>
    <col min="14089" max="14089" width="18.75" customWidth="1"/>
    <col min="14090" max="14090" width="15.375" customWidth="1"/>
    <col min="14091" max="14091" width="15.125" customWidth="1"/>
    <col min="14093" max="14093" width="11" customWidth="1"/>
    <col min="14094" max="14094" width="10.625" customWidth="1"/>
    <col min="14095" max="14095" width="9.625" customWidth="1"/>
    <col min="14338" max="14338" width="7" customWidth="1"/>
    <col min="14339" max="14339" width="17.75" customWidth="1"/>
    <col min="14340" max="14340" width="10.875" customWidth="1"/>
    <col min="14341" max="14341" width="11.25" customWidth="1"/>
    <col min="14342" max="14342" width="11.5" customWidth="1"/>
    <col min="14343" max="14343" width="11.625" customWidth="1"/>
    <col min="14344" max="14344" width="15.5" customWidth="1"/>
    <col min="14345" max="14345" width="18.75" customWidth="1"/>
    <col min="14346" max="14346" width="15.375" customWidth="1"/>
    <col min="14347" max="14347" width="15.125" customWidth="1"/>
    <col min="14349" max="14349" width="11" customWidth="1"/>
    <col min="14350" max="14350" width="10.625" customWidth="1"/>
    <col min="14351" max="14351" width="9.625" customWidth="1"/>
    <col min="14594" max="14594" width="7" customWidth="1"/>
    <col min="14595" max="14595" width="17.75" customWidth="1"/>
    <col min="14596" max="14596" width="10.875" customWidth="1"/>
    <col min="14597" max="14597" width="11.25" customWidth="1"/>
    <col min="14598" max="14598" width="11.5" customWidth="1"/>
    <col min="14599" max="14599" width="11.625" customWidth="1"/>
    <col min="14600" max="14600" width="15.5" customWidth="1"/>
    <col min="14601" max="14601" width="18.75" customWidth="1"/>
    <col min="14602" max="14602" width="15.375" customWidth="1"/>
    <col min="14603" max="14603" width="15.125" customWidth="1"/>
    <col min="14605" max="14605" width="11" customWidth="1"/>
    <col min="14606" max="14606" width="10.625" customWidth="1"/>
    <col min="14607" max="14607" width="9.625" customWidth="1"/>
    <col min="14850" max="14850" width="7" customWidth="1"/>
    <col min="14851" max="14851" width="17.75" customWidth="1"/>
    <col min="14852" max="14852" width="10.875" customWidth="1"/>
    <col min="14853" max="14853" width="11.25" customWidth="1"/>
    <col min="14854" max="14854" width="11.5" customWidth="1"/>
    <col min="14855" max="14855" width="11.625" customWidth="1"/>
    <col min="14856" max="14856" width="15.5" customWidth="1"/>
    <col min="14857" max="14857" width="18.75" customWidth="1"/>
    <col min="14858" max="14858" width="15.375" customWidth="1"/>
    <col min="14859" max="14859" width="15.125" customWidth="1"/>
    <col min="14861" max="14861" width="11" customWidth="1"/>
    <col min="14862" max="14862" width="10.625" customWidth="1"/>
    <col min="14863" max="14863" width="9.625" customWidth="1"/>
    <col min="15106" max="15106" width="7" customWidth="1"/>
    <col min="15107" max="15107" width="17.75" customWidth="1"/>
    <col min="15108" max="15108" width="10.875" customWidth="1"/>
    <col min="15109" max="15109" width="11.25" customWidth="1"/>
    <col min="15110" max="15110" width="11.5" customWidth="1"/>
    <col min="15111" max="15111" width="11.625" customWidth="1"/>
    <col min="15112" max="15112" width="15.5" customWidth="1"/>
    <col min="15113" max="15113" width="18.75" customWidth="1"/>
    <col min="15114" max="15114" width="15.375" customWidth="1"/>
    <col min="15115" max="15115" width="15.125" customWidth="1"/>
    <col min="15117" max="15117" width="11" customWidth="1"/>
    <col min="15118" max="15118" width="10.625" customWidth="1"/>
    <col min="15119" max="15119" width="9.625" customWidth="1"/>
    <col min="15362" max="15362" width="7" customWidth="1"/>
    <col min="15363" max="15363" width="17.75" customWidth="1"/>
    <col min="15364" max="15364" width="10.875" customWidth="1"/>
    <col min="15365" max="15365" width="11.25" customWidth="1"/>
    <col min="15366" max="15366" width="11.5" customWidth="1"/>
    <col min="15367" max="15367" width="11.625" customWidth="1"/>
    <col min="15368" max="15368" width="15.5" customWidth="1"/>
    <col min="15369" max="15369" width="18.75" customWidth="1"/>
    <col min="15370" max="15370" width="15.375" customWidth="1"/>
    <col min="15371" max="15371" width="15.125" customWidth="1"/>
    <col min="15373" max="15373" width="11" customWidth="1"/>
    <col min="15374" max="15374" width="10.625" customWidth="1"/>
    <col min="15375" max="15375" width="9.625" customWidth="1"/>
    <col min="15618" max="15618" width="7" customWidth="1"/>
    <col min="15619" max="15619" width="17.75" customWidth="1"/>
    <col min="15620" max="15620" width="10.875" customWidth="1"/>
    <col min="15621" max="15621" width="11.25" customWidth="1"/>
    <col min="15622" max="15622" width="11.5" customWidth="1"/>
    <col min="15623" max="15623" width="11.625" customWidth="1"/>
    <col min="15624" max="15624" width="15.5" customWidth="1"/>
    <col min="15625" max="15625" width="18.75" customWidth="1"/>
    <col min="15626" max="15626" width="15.375" customWidth="1"/>
    <col min="15627" max="15627" width="15.125" customWidth="1"/>
    <col min="15629" max="15629" width="11" customWidth="1"/>
    <col min="15630" max="15630" width="10.625" customWidth="1"/>
    <col min="15631" max="15631" width="9.625" customWidth="1"/>
    <col min="15874" max="15874" width="7" customWidth="1"/>
    <col min="15875" max="15875" width="17.75" customWidth="1"/>
    <col min="15876" max="15876" width="10.875" customWidth="1"/>
    <col min="15877" max="15877" width="11.25" customWidth="1"/>
    <col min="15878" max="15878" width="11.5" customWidth="1"/>
    <col min="15879" max="15879" width="11.625" customWidth="1"/>
    <col min="15880" max="15880" width="15.5" customWidth="1"/>
    <col min="15881" max="15881" width="18.75" customWidth="1"/>
    <col min="15882" max="15882" width="15.375" customWidth="1"/>
    <col min="15883" max="15883" width="15.125" customWidth="1"/>
    <col min="15885" max="15885" width="11" customWidth="1"/>
    <col min="15886" max="15886" width="10.625" customWidth="1"/>
    <col min="15887" max="15887" width="9.625" customWidth="1"/>
    <col min="16130" max="16130" width="7" customWidth="1"/>
    <col min="16131" max="16131" width="17.75" customWidth="1"/>
    <col min="16132" max="16132" width="10.875" customWidth="1"/>
    <col min="16133" max="16133" width="11.25" customWidth="1"/>
    <col min="16134" max="16134" width="11.5" customWidth="1"/>
    <col min="16135" max="16135" width="11.625" customWidth="1"/>
    <col min="16136" max="16136" width="15.5" customWidth="1"/>
    <col min="16137" max="16137" width="18.75" customWidth="1"/>
    <col min="16138" max="16138" width="15.375" customWidth="1"/>
    <col min="16139" max="16139" width="15.125" customWidth="1"/>
    <col min="16141" max="16141" width="11" customWidth="1"/>
    <col min="16142" max="16142" width="10.625" customWidth="1"/>
    <col min="16143" max="16143" width="9.625" customWidth="1"/>
  </cols>
  <sheetData>
    <row r="1" spans="1:15" ht="18.75" x14ac:dyDescent="0.3">
      <c r="G1" s="1" t="s">
        <v>0</v>
      </c>
      <c r="N1" t="s">
        <v>1</v>
      </c>
    </row>
    <row r="2" spans="1:15" ht="18.75" x14ac:dyDescent="0.3">
      <c r="G2" s="1"/>
    </row>
    <row r="3" spans="1:15" ht="18.75" x14ac:dyDescent="0.3">
      <c r="A3" s="545" t="s">
        <v>2</v>
      </c>
      <c r="B3" s="545"/>
      <c r="C3" t="s">
        <v>38</v>
      </c>
      <c r="G3" s="1"/>
    </row>
    <row r="4" spans="1:15" ht="18.75" x14ac:dyDescent="0.3">
      <c r="A4" s="545" t="s">
        <v>3</v>
      </c>
      <c r="B4" s="545"/>
      <c r="C4" t="s">
        <v>40</v>
      </c>
      <c r="G4" s="1"/>
    </row>
    <row r="5" spans="1:15" ht="18.75" x14ac:dyDescent="0.3">
      <c r="A5" s="545" t="s">
        <v>4</v>
      </c>
      <c r="B5" s="545"/>
      <c r="C5" t="s">
        <v>41</v>
      </c>
      <c r="G5" s="1"/>
      <c r="H5" s="29"/>
    </row>
    <row r="6" spans="1:15" ht="18.75" x14ac:dyDescent="0.3">
      <c r="A6" s="545" t="s">
        <v>5</v>
      </c>
      <c r="B6" s="545"/>
      <c r="C6" s="13" t="s">
        <v>236</v>
      </c>
      <c r="G6" s="1"/>
    </row>
    <row r="7" spans="1:15" x14ac:dyDescent="0.25">
      <c r="A7" s="108"/>
      <c r="B7" s="108"/>
    </row>
    <row r="8" spans="1:15" x14ac:dyDescent="0.25">
      <c r="A8" s="108" t="s">
        <v>6</v>
      </c>
      <c r="B8" s="108"/>
    </row>
    <row r="9" spans="1:15" ht="24.75" customHeight="1" x14ac:dyDescent="0.25">
      <c r="A9" s="103" t="s">
        <v>7</v>
      </c>
      <c r="B9" s="538" t="s">
        <v>8</v>
      </c>
      <c r="C9" s="538"/>
      <c r="D9" s="103" t="s">
        <v>9</v>
      </c>
      <c r="E9" s="103" t="s">
        <v>10</v>
      </c>
      <c r="F9" s="541" t="s">
        <v>11</v>
      </c>
      <c r="G9" s="541" t="s">
        <v>12</v>
      </c>
      <c r="H9" s="103" t="s">
        <v>13</v>
      </c>
      <c r="I9" s="103"/>
      <c r="J9" s="103" t="s">
        <v>15</v>
      </c>
      <c r="K9" s="103" t="s">
        <v>16</v>
      </c>
      <c r="L9" s="544" t="s">
        <v>17</v>
      </c>
      <c r="M9" s="544"/>
      <c r="N9" s="544"/>
      <c r="O9" s="103" t="s">
        <v>18</v>
      </c>
    </row>
    <row r="10" spans="1:15" x14ac:dyDescent="0.25">
      <c r="A10" s="542" t="s">
        <v>19</v>
      </c>
      <c r="B10" s="546" t="s">
        <v>20</v>
      </c>
      <c r="C10" s="547"/>
      <c r="D10" s="542" t="s">
        <v>21</v>
      </c>
      <c r="E10" s="542" t="s">
        <v>22</v>
      </c>
      <c r="F10" s="542"/>
      <c r="G10" s="542"/>
      <c r="H10" s="104" t="s">
        <v>23</v>
      </c>
      <c r="I10" s="104" t="s">
        <v>14</v>
      </c>
      <c r="J10" s="104" t="s">
        <v>24</v>
      </c>
      <c r="K10" s="104" t="s">
        <v>25</v>
      </c>
      <c r="L10" s="104" t="s">
        <v>26</v>
      </c>
      <c r="M10" s="104" t="s">
        <v>27</v>
      </c>
      <c r="N10" s="104" t="s">
        <v>28</v>
      </c>
      <c r="O10" s="539" t="s">
        <v>29</v>
      </c>
    </row>
    <row r="11" spans="1:15" x14ac:dyDescent="0.25">
      <c r="A11" s="543"/>
      <c r="B11" s="548"/>
      <c r="C11" s="549"/>
      <c r="D11" s="543"/>
      <c r="E11" s="543"/>
      <c r="F11" s="543"/>
      <c r="G11" s="543"/>
      <c r="H11" s="105" t="s">
        <v>30</v>
      </c>
      <c r="I11" s="105"/>
      <c r="J11" s="105" t="s">
        <v>31</v>
      </c>
      <c r="K11" s="105" t="s">
        <v>32</v>
      </c>
      <c r="L11" s="105" t="s">
        <v>33</v>
      </c>
      <c r="M11" s="105" t="s">
        <v>34</v>
      </c>
      <c r="N11" s="105" t="s">
        <v>35</v>
      </c>
      <c r="O11" s="540"/>
    </row>
    <row r="12" spans="1:15" x14ac:dyDescent="0.25">
      <c r="A12" s="47">
        <v>1</v>
      </c>
      <c r="B12" s="536">
        <v>2</v>
      </c>
      <c r="C12" s="537"/>
      <c r="D12" s="106">
        <v>3</v>
      </c>
      <c r="E12" s="106">
        <v>4</v>
      </c>
      <c r="F12" s="107">
        <v>5</v>
      </c>
      <c r="G12" s="107">
        <v>6</v>
      </c>
      <c r="H12" s="104">
        <v>7</v>
      </c>
      <c r="I12" s="104">
        <v>8</v>
      </c>
      <c r="J12" s="104">
        <v>9</v>
      </c>
      <c r="K12" s="104">
        <v>10</v>
      </c>
      <c r="L12" s="104">
        <v>11</v>
      </c>
      <c r="M12" s="104">
        <v>12</v>
      </c>
      <c r="N12" s="104">
        <v>13</v>
      </c>
      <c r="O12" s="106">
        <v>14</v>
      </c>
    </row>
    <row r="13" spans="1:15" ht="31.5" x14ac:dyDescent="0.25">
      <c r="A13" s="7">
        <v>1</v>
      </c>
      <c r="B13" s="534" t="s">
        <v>104</v>
      </c>
      <c r="C13" s="535"/>
      <c r="D13" s="40" t="s">
        <v>100</v>
      </c>
      <c r="E13" s="41"/>
      <c r="F13" s="41"/>
      <c r="G13" s="42" t="s">
        <v>56</v>
      </c>
      <c r="H13" s="43">
        <v>2006</v>
      </c>
      <c r="I13" s="43" t="s">
        <v>105</v>
      </c>
      <c r="J13" s="44" t="s">
        <v>43</v>
      </c>
      <c r="K13" s="63">
        <v>1220000</v>
      </c>
      <c r="L13" s="43" t="s">
        <v>26</v>
      </c>
      <c r="M13" s="41"/>
      <c r="N13" s="41"/>
      <c r="O13" s="40" t="s">
        <v>488</v>
      </c>
    </row>
    <row r="14" spans="1:15" ht="47.25" x14ac:dyDescent="0.25">
      <c r="A14" s="7">
        <f>A13+1</f>
        <v>2</v>
      </c>
      <c r="B14" s="534" t="s">
        <v>104</v>
      </c>
      <c r="C14" s="535"/>
      <c r="D14" s="40" t="s">
        <v>100</v>
      </c>
      <c r="E14" s="41"/>
      <c r="F14" s="41"/>
      <c r="G14" s="42" t="s">
        <v>56</v>
      </c>
      <c r="H14" s="43">
        <v>2006</v>
      </c>
      <c r="I14" s="43" t="s">
        <v>105</v>
      </c>
      <c r="J14" s="44" t="s">
        <v>74</v>
      </c>
      <c r="K14" s="63">
        <v>1220000</v>
      </c>
      <c r="L14" s="43" t="s">
        <v>26</v>
      </c>
      <c r="M14" s="41"/>
      <c r="N14" s="41"/>
      <c r="O14" s="40" t="s">
        <v>489</v>
      </c>
    </row>
    <row r="15" spans="1:15" ht="31.5" x14ac:dyDescent="0.25">
      <c r="A15" s="7">
        <f t="shared" ref="A15:A72" si="0">A14+1</f>
        <v>3</v>
      </c>
      <c r="B15" s="443" t="s">
        <v>222</v>
      </c>
      <c r="C15" s="444"/>
      <c r="D15" s="38" t="s">
        <v>223</v>
      </c>
      <c r="E15" s="12"/>
      <c r="F15" s="12"/>
      <c r="G15" s="47" t="s">
        <v>56</v>
      </c>
      <c r="H15" s="9">
        <v>1997</v>
      </c>
      <c r="I15" s="9" t="s">
        <v>210</v>
      </c>
      <c r="J15" s="11" t="s">
        <v>54</v>
      </c>
      <c r="K15" s="33" t="s">
        <v>211</v>
      </c>
      <c r="L15" s="9" t="s">
        <v>26</v>
      </c>
      <c r="M15" s="32"/>
      <c r="N15" s="12"/>
      <c r="O15" s="32" t="s">
        <v>490</v>
      </c>
    </row>
    <row r="16" spans="1:15" ht="31.5" x14ac:dyDescent="0.25">
      <c r="A16" s="7">
        <f t="shared" si="0"/>
        <v>4</v>
      </c>
      <c r="B16" s="443" t="s">
        <v>122</v>
      </c>
      <c r="C16" s="444"/>
      <c r="D16" s="26" t="s">
        <v>123</v>
      </c>
      <c r="E16" s="12"/>
      <c r="F16" s="12"/>
      <c r="G16" s="30" t="s">
        <v>56</v>
      </c>
      <c r="H16" s="9">
        <v>2009</v>
      </c>
      <c r="I16" s="9" t="s">
        <v>124</v>
      </c>
      <c r="J16" s="11" t="s">
        <v>43</v>
      </c>
      <c r="K16" s="20">
        <v>350000</v>
      </c>
      <c r="L16" s="9" t="s">
        <v>26</v>
      </c>
      <c r="M16" s="12"/>
      <c r="N16" s="4"/>
      <c r="O16" s="32" t="s">
        <v>491</v>
      </c>
    </row>
    <row r="17" spans="1:15" ht="31.5" x14ac:dyDescent="0.25">
      <c r="A17" s="7">
        <f t="shared" si="0"/>
        <v>5</v>
      </c>
      <c r="B17" s="443" t="s">
        <v>122</v>
      </c>
      <c r="C17" s="444"/>
      <c r="D17" s="26" t="s">
        <v>266</v>
      </c>
      <c r="E17" s="12"/>
      <c r="F17" s="12"/>
      <c r="G17" s="30" t="s">
        <v>267</v>
      </c>
      <c r="H17" s="9">
        <v>2014</v>
      </c>
      <c r="I17" s="9" t="s">
        <v>124</v>
      </c>
      <c r="J17" s="11" t="s">
        <v>111</v>
      </c>
      <c r="K17" s="20">
        <v>743915</v>
      </c>
      <c r="L17" s="9" t="s">
        <v>26</v>
      </c>
      <c r="M17" s="12"/>
      <c r="N17" s="4"/>
      <c r="O17" s="32" t="s">
        <v>492</v>
      </c>
    </row>
    <row r="18" spans="1:15" ht="31.5" x14ac:dyDescent="0.25">
      <c r="A18" s="7">
        <f t="shared" si="0"/>
        <v>6</v>
      </c>
      <c r="B18" s="443" t="s">
        <v>122</v>
      </c>
      <c r="C18" s="444"/>
      <c r="D18" s="26" t="s">
        <v>266</v>
      </c>
      <c r="E18" s="12"/>
      <c r="F18" s="12"/>
      <c r="G18" s="30" t="s">
        <v>267</v>
      </c>
      <c r="H18" s="9">
        <v>2014</v>
      </c>
      <c r="I18" s="9" t="s">
        <v>124</v>
      </c>
      <c r="J18" s="11" t="s">
        <v>60</v>
      </c>
      <c r="K18" s="20">
        <v>743917</v>
      </c>
      <c r="L18" s="9" t="s">
        <v>26</v>
      </c>
      <c r="M18" s="12"/>
      <c r="N18" s="4"/>
      <c r="O18" s="32" t="s">
        <v>493</v>
      </c>
    </row>
    <row r="19" spans="1:15" ht="47.25" x14ac:dyDescent="0.25">
      <c r="A19" s="7">
        <f t="shared" si="0"/>
        <v>7</v>
      </c>
      <c r="B19" s="443" t="s">
        <v>61</v>
      </c>
      <c r="C19" s="444"/>
      <c r="D19" s="26" t="s">
        <v>381</v>
      </c>
      <c r="E19" s="12"/>
      <c r="F19" s="12"/>
      <c r="G19" s="30" t="s">
        <v>50</v>
      </c>
      <c r="H19" s="9">
        <v>2013</v>
      </c>
      <c r="I19" s="9" t="s">
        <v>62</v>
      </c>
      <c r="J19" s="11" t="s">
        <v>204</v>
      </c>
      <c r="K19" s="20">
        <v>486971.68</v>
      </c>
      <c r="L19" s="9" t="s">
        <v>26</v>
      </c>
      <c r="M19" s="12"/>
      <c r="N19" s="4"/>
      <c r="O19" s="32" t="s">
        <v>292</v>
      </c>
    </row>
    <row r="20" spans="1:15" ht="31.5" x14ac:dyDescent="0.25">
      <c r="A20" s="7">
        <f t="shared" si="0"/>
        <v>8</v>
      </c>
      <c r="B20" s="443" t="s">
        <v>61</v>
      </c>
      <c r="C20" s="444"/>
      <c r="D20" s="26" t="s">
        <v>269</v>
      </c>
      <c r="E20" s="12"/>
      <c r="F20" s="12"/>
      <c r="G20" s="30" t="s">
        <v>50</v>
      </c>
      <c r="H20" s="9">
        <v>2014</v>
      </c>
      <c r="I20" s="9" t="s">
        <v>62</v>
      </c>
      <c r="J20" s="11" t="s">
        <v>130</v>
      </c>
      <c r="K20" s="20">
        <v>794180</v>
      </c>
      <c r="L20" s="9" t="s">
        <v>26</v>
      </c>
      <c r="M20" s="12"/>
      <c r="N20" s="4"/>
      <c r="O20" s="32" t="s">
        <v>494</v>
      </c>
    </row>
    <row r="21" spans="1:15" ht="47.25" x14ac:dyDescent="0.25">
      <c r="A21" s="7">
        <f t="shared" si="0"/>
        <v>9</v>
      </c>
      <c r="B21" s="443" t="s">
        <v>61</v>
      </c>
      <c r="C21" s="444"/>
      <c r="D21" s="26" t="s">
        <v>269</v>
      </c>
      <c r="E21" s="12"/>
      <c r="F21" s="12"/>
      <c r="G21" s="30" t="s">
        <v>50</v>
      </c>
      <c r="H21" s="9">
        <v>2014</v>
      </c>
      <c r="I21" s="9" t="s">
        <v>62</v>
      </c>
      <c r="J21" s="11" t="s">
        <v>380</v>
      </c>
      <c r="K21" s="20">
        <v>794180</v>
      </c>
      <c r="L21" s="9" t="s">
        <v>26</v>
      </c>
      <c r="M21" s="12"/>
      <c r="N21" s="4"/>
      <c r="O21" s="26" t="s">
        <v>509</v>
      </c>
    </row>
    <row r="22" spans="1:15" ht="31.5" x14ac:dyDescent="0.25">
      <c r="A22" s="7">
        <f t="shared" si="0"/>
        <v>10</v>
      </c>
      <c r="B22" s="443" t="s">
        <v>61</v>
      </c>
      <c r="C22" s="444"/>
      <c r="D22" s="26" t="s">
        <v>269</v>
      </c>
      <c r="E22" s="12"/>
      <c r="F22" s="12"/>
      <c r="G22" s="30" t="s">
        <v>50</v>
      </c>
      <c r="H22" s="9">
        <v>2014</v>
      </c>
      <c r="I22" s="9"/>
      <c r="J22" s="11" t="s">
        <v>268</v>
      </c>
      <c r="K22" s="20">
        <v>794180</v>
      </c>
      <c r="L22" s="9" t="s">
        <v>26</v>
      </c>
      <c r="M22" s="12"/>
      <c r="N22" s="4"/>
      <c r="O22" s="32" t="s">
        <v>495</v>
      </c>
    </row>
    <row r="23" spans="1:15" x14ac:dyDescent="0.25">
      <c r="A23" s="7">
        <f t="shared" si="0"/>
        <v>11</v>
      </c>
      <c r="B23" s="443" t="s">
        <v>94</v>
      </c>
      <c r="C23" s="444"/>
      <c r="D23" s="10" t="s">
        <v>95</v>
      </c>
      <c r="E23" s="12"/>
      <c r="F23" s="12"/>
      <c r="G23" s="9"/>
      <c r="H23" s="9">
        <v>2018</v>
      </c>
      <c r="I23" s="9" t="s">
        <v>96</v>
      </c>
      <c r="J23" s="11" t="s">
        <v>125</v>
      </c>
      <c r="K23" s="20">
        <v>333232</v>
      </c>
      <c r="L23" s="9" t="s">
        <v>26</v>
      </c>
      <c r="M23" s="12"/>
      <c r="N23" s="12"/>
      <c r="O23" s="32" t="s">
        <v>496</v>
      </c>
    </row>
    <row r="24" spans="1:15" x14ac:dyDescent="0.25">
      <c r="A24" s="7">
        <f t="shared" si="0"/>
        <v>12</v>
      </c>
      <c r="B24" s="443" t="s">
        <v>94</v>
      </c>
      <c r="C24" s="444"/>
      <c r="D24" s="10" t="s">
        <v>95</v>
      </c>
      <c r="E24" s="12"/>
      <c r="F24" s="12"/>
      <c r="G24" s="9"/>
      <c r="H24" s="9">
        <v>2018</v>
      </c>
      <c r="I24" s="9" t="s">
        <v>96</v>
      </c>
      <c r="J24" s="11" t="s">
        <v>74</v>
      </c>
      <c r="K24" s="20">
        <v>333232</v>
      </c>
      <c r="L24" s="9" t="s">
        <v>26</v>
      </c>
      <c r="M24" s="12"/>
      <c r="N24" s="12"/>
      <c r="O24" s="32" t="s">
        <v>497</v>
      </c>
    </row>
    <row r="25" spans="1:15" x14ac:dyDescent="0.25">
      <c r="A25" s="7">
        <f t="shared" si="0"/>
        <v>13</v>
      </c>
      <c r="B25" s="443" t="s">
        <v>94</v>
      </c>
      <c r="C25" s="444"/>
      <c r="D25" s="10" t="s">
        <v>95</v>
      </c>
      <c r="E25" s="12"/>
      <c r="F25" s="12"/>
      <c r="G25" s="9"/>
      <c r="H25" s="9">
        <v>2018</v>
      </c>
      <c r="I25" s="9" t="s">
        <v>96</v>
      </c>
      <c r="J25" s="11" t="s">
        <v>166</v>
      </c>
      <c r="K25" s="20">
        <v>333232</v>
      </c>
      <c r="L25" s="9" t="s">
        <v>26</v>
      </c>
      <c r="M25" s="12"/>
      <c r="N25" s="12"/>
      <c r="O25" s="32" t="s">
        <v>498</v>
      </c>
    </row>
    <row r="26" spans="1:15" ht="94.5" x14ac:dyDescent="0.25">
      <c r="A26" s="7">
        <f t="shared" si="0"/>
        <v>14</v>
      </c>
      <c r="B26" s="534" t="s">
        <v>133</v>
      </c>
      <c r="C26" s="535"/>
      <c r="D26" s="40" t="s">
        <v>253</v>
      </c>
      <c r="E26" s="41"/>
      <c r="F26" s="41"/>
      <c r="G26" s="42" t="s">
        <v>50</v>
      </c>
      <c r="H26" s="42" t="s">
        <v>254</v>
      </c>
      <c r="I26" s="43" t="s">
        <v>136</v>
      </c>
      <c r="J26" s="44" t="s">
        <v>110</v>
      </c>
      <c r="K26" s="63">
        <v>3980000</v>
      </c>
      <c r="L26" s="43" t="s">
        <v>26</v>
      </c>
      <c r="M26" s="41"/>
      <c r="N26" s="45"/>
      <c r="O26" s="109" t="s">
        <v>499</v>
      </c>
    </row>
    <row r="27" spans="1:15" ht="110.25" x14ac:dyDescent="0.25">
      <c r="A27" s="7">
        <f t="shared" si="0"/>
        <v>15</v>
      </c>
      <c r="B27" s="443" t="s">
        <v>133</v>
      </c>
      <c r="C27" s="444"/>
      <c r="D27" s="26" t="s">
        <v>299</v>
      </c>
      <c r="E27" s="32"/>
      <c r="F27" s="32"/>
      <c r="G27" s="30" t="s">
        <v>50</v>
      </c>
      <c r="H27" s="9">
        <v>2013</v>
      </c>
      <c r="I27" s="9" t="s">
        <v>136</v>
      </c>
      <c r="J27" s="11" t="s">
        <v>137</v>
      </c>
      <c r="K27" s="20">
        <v>3922641.51</v>
      </c>
      <c r="L27" s="9" t="s">
        <v>26</v>
      </c>
      <c r="M27" s="32"/>
      <c r="N27" s="32"/>
      <c r="O27" s="32" t="s">
        <v>500</v>
      </c>
    </row>
    <row r="38" spans="1:15" x14ac:dyDescent="0.25">
      <c r="A38" s="103" t="s">
        <v>7</v>
      </c>
      <c r="B38" s="538" t="s">
        <v>8</v>
      </c>
      <c r="C38" s="538"/>
      <c r="D38" s="103" t="s">
        <v>9</v>
      </c>
      <c r="E38" s="103" t="s">
        <v>10</v>
      </c>
      <c r="F38" s="541" t="s">
        <v>11</v>
      </c>
      <c r="G38" s="541" t="s">
        <v>12</v>
      </c>
      <c r="H38" s="103" t="s">
        <v>13</v>
      </c>
      <c r="I38" s="103"/>
      <c r="J38" s="103" t="s">
        <v>15</v>
      </c>
      <c r="K38" s="103" t="s">
        <v>16</v>
      </c>
      <c r="L38" s="544" t="s">
        <v>17</v>
      </c>
      <c r="M38" s="544"/>
      <c r="N38" s="544"/>
      <c r="O38" s="103" t="s">
        <v>18</v>
      </c>
    </row>
    <row r="39" spans="1:15" x14ac:dyDescent="0.25">
      <c r="A39" s="542" t="s">
        <v>19</v>
      </c>
      <c r="B39" s="546" t="s">
        <v>20</v>
      </c>
      <c r="C39" s="547"/>
      <c r="D39" s="542" t="s">
        <v>21</v>
      </c>
      <c r="E39" s="542" t="s">
        <v>22</v>
      </c>
      <c r="F39" s="542"/>
      <c r="G39" s="542"/>
      <c r="H39" s="104" t="s">
        <v>23</v>
      </c>
      <c r="I39" s="104" t="s">
        <v>14</v>
      </c>
      <c r="J39" s="104" t="s">
        <v>24</v>
      </c>
      <c r="K39" s="104" t="s">
        <v>25</v>
      </c>
      <c r="L39" s="104" t="s">
        <v>26</v>
      </c>
      <c r="M39" s="104" t="s">
        <v>27</v>
      </c>
      <c r="N39" s="104" t="s">
        <v>28</v>
      </c>
      <c r="O39" s="539" t="s">
        <v>29</v>
      </c>
    </row>
    <row r="40" spans="1:15" x14ac:dyDescent="0.25">
      <c r="A40" s="543"/>
      <c r="B40" s="548"/>
      <c r="C40" s="549"/>
      <c r="D40" s="543"/>
      <c r="E40" s="543"/>
      <c r="F40" s="543"/>
      <c r="G40" s="543"/>
      <c r="H40" s="105" t="s">
        <v>30</v>
      </c>
      <c r="I40" s="105"/>
      <c r="J40" s="105" t="s">
        <v>31</v>
      </c>
      <c r="K40" s="105" t="s">
        <v>32</v>
      </c>
      <c r="L40" s="105" t="s">
        <v>33</v>
      </c>
      <c r="M40" s="105" t="s">
        <v>34</v>
      </c>
      <c r="N40" s="105" t="s">
        <v>35</v>
      </c>
      <c r="O40" s="540"/>
    </row>
    <row r="41" spans="1:15" x14ac:dyDescent="0.25">
      <c r="A41" s="47">
        <v>1</v>
      </c>
      <c r="B41" s="536">
        <v>2</v>
      </c>
      <c r="C41" s="537"/>
      <c r="D41" s="106">
        <v>3</v>
      </c>
      <c r="E41" s="106">
        <v>4</v>
      </c>
      <c r="F41" s="107">
        <v>5</v>
      </c>
      <c r="G41" s="107">
        <v>6</v>
      </c>
      <c r="H41" s="104">
        <v>7</v>
      </c>
      <c r="I41" s="104">
        <v>8</v>
      </c>
      <c r="J41" s="104">
        <v>9</v>
      </c>
      <c r="K41" s="104">
        <v>10</v>
      </c>
      <c r="L41" s="104">
        <v>11</v>
      </c>
      <c r="M41" s="104">
        <v>12</v>
      </c>
      <c r="N41" s="104">
        <v>13</v>
      </c>
      <c r="O41" s="106">
        <v>14</v>
      </c>
    </row>
    <row r="42" spans="1:15" ht="31.5" x14ac:dyDescent="0.25">
      <c r="A42" s="7">
        <f>A27+1</f>
        <v>16</v>
      </c>
      <c r="B42" s="534" t="s">
        <v>133</v>
      </c>
      <c r="C42" s="535"/>
      <c r="D42" s="40" t="s">
        <v>138</v>
      </c>
      <c r="E42" s="41"/>
      <c r="F42" s="41"/>
      <c r="G42" s="42" t="s">
        <v>50</v>
      </c>
      <c r="H42" s="42">
        <v>2015</v>
      </c>
      <c r="I42" s="43" t="s">
        <v>136</v>
      </c>
      <c r="J42" s="44" t="s">
        <v>60</v>
      </c>
      <c r="K42" s="63">
        <v>6026316</v>
      </c>
      <c r="L42" s="43" t="s">
        <v>26</v>
      </c>
      <c r="M42" s="41"/>
      <c r="N42" s="41"/>
      <c r="O42" s="109" t="s">
        <v>494</v>
      </c>
    </row>
    <row r="43" spans="1:15" ht="31.5" x14ac:dyDescent="0.25">
      <c r="A43" s="7">
        <f>A42+1</f>
        <v>17</v>
      </c>
      <c r="B43" s="534" t="s">
        <v>84</v>
      </c>
      <c r="C43" s="535"/>
      <c r="D43" s="48" t="s">
        <v>270</v>
      </c>
      <c r="E43" s="41"/>
      <c r="F43" s="41"/>
      <c r="G43" s="43" t="s">
        <v>50</v>
      </c>
      <c r="H43" s="43">
        <v>2016</v>
      </c>
      <c r="I43" s="43" t="s">
        <v>92</v>
      </c>
      <c r="J43" s="44" t="s">
        <v>140</v>
      </c>
      <c r="K43" s="63">
        <v>3142612</v>
      </c>
      <c r="L43" s="43" t="s">
        <v>26</v>
      </c>
      <c r="M43" s="41"/>
      <c r="N43" s="41"/>
      <c r="O43" s="109" t="s">
        <v>501</v>
      </c>
    </row>
    <row r="44" spans="1:15" ht="31.5" x14ac:dyDescent="0.25">
      <c r="A44" s="9">
        <f>A43+1</f>
        <v>18</v>
      </c>
      <c r="B44" s="534" t="s">
        <v>84</v>
      </c>
      <c r="C44" s="535"/>
      <c r="D44" s="48" t="s">
        <v>270</v>
      </c>
      <c r="E44" s="41"/>
      <c r="F44" s="41"/>
      <c r="G44" s="43" t="s">
        <v>50</v>
      </c>
      <c r="H44" s="43">
        <v>2016</v>
      </c>
      <c r="I44" s="43" t="s">
        <v>92</v>
      </c>
      <c r="J44" s="44" t="s">
        <v>251</v>
      </c>
      <c r="K44" s="63">
        <v>3142612</v>
      </c>
      <c r="L44" s="43" t="s">
        <v>26</v>
      </c>
      <c r="M44" s="41"/>
      <c r="N44" s="41"/>
      <c r="O44" s="109" t="s">
        <v>494</v>
      </c>
    </row>
    <row r="45" spans="1:15" ht="31.5" x14ac:dyDescent="0.25">
      <c r="A45" s="7">
        <f>A44+1</f>
        <v>19</v>
      </c>
      <c r="B45" s="534" t="s">
        <v>84</v>
      </c>
      <c r="C45" s="535"/>
      <c r="D45" s="48" t="s">
        <v>256</v>
      </c>
      <c r="E45" s="41"/>
      <c r="F45" s="41"/>
      <c r="G45" s="43" t="s">
        <v>50</v>
      </c>
      <c r="H45" s="43">
        <v>2017</v>
      </c>
      <c r="I45" s="43" t="s">
        <v>92</v>
      </c>
      <c r="J45" s="44" t="s">
        <v>118</v>
      </c>
      <c r="K45" s="63">
        <v>2173757</v>
      </c>
      <c r="L45" s="43" t="s">
        <v>26</v>
      </c>
      <c r="M45" s="41"/>
      <c r="N45" s="41"/>
      <c r="O45" s="109" t="s">
        <v>502</v>
      </c>
    </row>
    <row r="46" spans="1:15" ht="31.5" x14ac:dyDescent="0.25">
      <c r="A46" s="7">
        <f>A45+1</f>
        <v>20</v>
      </c>
      <c r="B46" s="534" t="s">
        <v>84</v>
      </c>
      <c r="C46" s="535"/>
      <c r="D46" s="48" t="s">
        <v>288</v>
      </c>
      <c r="E46" s="41"/>
      <c r="F46" s="41"/>
      <c r="G46" s="43" t="s">
        <v>91</v>
      </c>
      <c r="H46" s="43">
        <v>2020</v>
      </c>
      <c r="I46" s="43" t="s">
        <v>92</v>
      </c>
      <c r="J46" s="44" t="s">
        <v>257</v>
      </c>
      <c r="K46" s="63">
        <f>5516570/2</f>
        <v>2758285</v>
      </c>
      <c r="L46" s="43" t="s">
        <v>26</v>
      </c>
      <c r="M46" s="41"/>
      <c r="N46" s="41"/>
      <c r="O46" s="109" t="s">
        <v>503</v>
      </c>
    </row>
    <row r="47" spans="1:15" ht="31.5" x14ac:dyDescent="0.25">
      <c r="A47" s="7">
        <f>A46+1</f>
        <v>21</v>
      </c>
      <c r="B47" s="534" t="s">
        <v>142</v>
      </c>
      <c r="C47" s="535"/>
      <c r="D47" s="40" t="s">
        <v>258</v>
      </c>
      <c r="E47" s="41"/>
      <c r="F47" s="41"/>
      <c r="G47" s="42" t="s">
        <v>214</v>
      </c>
      <c r="H47" s="43">
        <v>2008</v>
      </c>
      <c r="I47" s="43" t="s">
        <v>144</v>
      </c>
      <c r="J47" s="44" t="s">
        <v>54</v>
      </c>
      <c r="K47" s="63">
        <v>372666.67</v>
      </c>
      <c r="L47" s="43" t="s">
        <v>26</v>
      </c>
      <c r="M47" s="41"/>
      <c r="N47" s="45"/>
      <c r="O47" s="109" t="s">
        <v>497</v>
      </c>
    </row>
    <row r="48" spans="1:15" ht="47.25" x14ac:dyDescent="0.25">
      <c r="A48" s="7">
        <f t="shared" ref="A48:A49" si="1">A47+1</f>
        <v>22</v>
      </c>
      <c r="B48" s="534" t="s">
        <v>142</v>
      </c>
      <c r="C48" s="535"/>
      <c r="D48" s="40" t="s">
        <v>252</v>
      </c>
      <c r="E48" s="41"/>
      <c r="F48" s="41"/>
      <c r="G48" s="42" t="s">
        <v>214</v>
      </c>
      <c r="H48" s="43">
        <v>2011</v>
      </c>
      <c r="I48" s="43" t="s">
        <v>144</v>
      </c>
      <c r="J48" s="44" t="s">
        <v>251</v>
      </c>
      <c r="K48" s="63">
        <v>485000</v>
      </c>
      <c r="L48" s="43" t="s">
        <v>26</v>
      </c>
      <c r="M48" s="41"/>
      <c r="N48" s="45"/>
      <c r="O48" s="109" t="s">
        <v>498</v>
      </c>
    </row>
    <row r="49" spans="1:15" ht="47.25" x14ac:dyDescent="0.25">
      <c r="A49" s="7">
        <f t="shared" si="1"/>
        <v>23</v>
      </c>
      <c r="B49" s="534" t="s">
        <v>142</v>
      </c>
      <c r="C49" s="535"/>
      <c r="D49" s="40" t="s">
        <v>261</v>
      </c>
      <c r="E49" s="41"/>
      <c r="F49" s="41"/>
      <c r="G49" s="42" t="s">
        <v>214</v>
      </c>
      <c r="H49" s="43">
        <v>2010</v>
      </c>
      <c r="I49" s="43" t="s">
        <v>144</v>
      </c>
      <c r="J49" s="44" t="s">
        <v>117</v>
      </c>
      <c r="K49" s="63">
        <v>485000</v>
      </c>
      <c r="L49" s="43" t="s">
        <v>26</v>
      </c>
      <c r="M49" s="41"/>
      <c r="N49" s="45"/>
      <c r="O49" s="109" t="s">
        <v>292</v>
      </c>
    </row>
    <row r="50" spans="1:15" ht="47.25" x14ac:dyDescent="0.25">
      <c r="A50" s="7">
        <f t="shared" ref="A50:A51" si="2">A49+1</f>
        <v>24</v>
      </c>
      <c r="B50" s="534" t="s">
        <v>142</v>
      </c>
      <c r="C50" s="535"/>
      <c r="D50" s="40" t="s">
        <v>255</v>
      </c>
      <c r="E50" s="41"/>
      <c r="F50" s="41"/>
      <c r="G50" s="42" t="s">
        <v>214</v>
      </c>
      <c r="H50" s="43">
        <v>2010</v>
      </c>
      <c r="I50" s="43" t="s">
        <v>144</v>
      </c>
      <c r="J50" s="44" t="s">
        <v>64</v>
      </c>
      <c r="K50" s="63">
        <v>275000</v>
      </c>
      <c r="L50" s="43" t="s">
        <v>26</v>
      </c>
      <c r="M50" s="41"/>
      <c r="N50" s="45"/>
      <c r="O50" s="109" t="s">
        <v>492</v>
      </c>
    </row>
    <row r="51" spans="1:15" ht="62.25" customHeight="1" x14ac:dyDescent="0.25">
      <c r="A51" s="7">
        <f t="shared" si="2"/>
        <v>25</v>
      </c>
      <c r="B51" s="534" t="s">
        <v>142</v>
      </c>
      <c r="C51" s="535"/>
      <c r="D51" s="40" t="s">
        <v>249</v>
      </c>
      <c r="E51" s="41"/>
      <c r="F51" s="41"/>
      <c r="G51" s="42" t="s">
        <v>214</v>
      </c>
      <c r="H51" s="43">
        <v>2016</v>
      </c>
      <c r="I51" s="43" t="s">
        <v>144</v>
      </c>
      <c r="J51" s="44" t="s">
        <v>120</v>
      </c>
      <c r="K51" s="63">
        <v>2282609</v>
      </c>
      <c r="L51" s="43" t="s">
        <v>26</v>
      </c>
      <c r="M51" s="41"/>
      <c r="N51" s="45"/>
      <c r="O51" s="109" t="s">
        <v>491</v>
      </c>
    </row>
    <row r="52" spans="1:15" ht="62.25" customHeight="1" x14ac:dyDescent="0.25">
      <c r="A52" s="7">
        <f>A51+1</f>
        <v>26</v>
      </c>
      <c r="B52" s="534" t="s">
        <v>142</v>
      </c>
      <c r="C52" s="535"/>
      <c r="D52" s="40" t="s">
        <v>249</v>
      </c>
      <c r="E52" s="41"/>
      <c r="F52" s="41"/>
      <c r="G52" s="42" t="s">
        <v>214</v>
      </c>
      <c r="H52" s="43">
        <v>2016</v>
      </c>
      <c r="I52" s="43" t="s">
        <v>144</v>
      </c>
      <c r="J52" s="44" t="s">
        <v>93</v>
      </c>
      <c r="K52" s="63">
        <v>2282609</v>
      </c>
      <c r="L52" s="43" t="s">
        <v>26</v>
      </c>
      <c r="M52" s="41"/>
      <c r="N52" s="45"/>
      <c r="O52" s="109" t="s">
        <v>504</v>
      </c>
    </row>
    <row r="53" spans="1:15" ht="62.25" customHeight="1" x14ac:dyDescent="0.25">
      <c r="A53" s="7">
        <f t="shared" si="0"/>
        <v>27</v>
      </c>
      <c r="B53" s="534" t="s">
        <v>142</v>
      </c>
      <c r="C53" s="535"/>
      <c r="D53" s="40" t="s">
        <v>249</v>
      </c>
      <c r="E53" s="41"/>
      <c r="F53" s="41"/>
      <c r="G53" s="42" t="s">
        <v>214</v>
      </c>
      <c r="H53" s="43">
        <v>2017</v>
      </c>
      <c r="I53" s="43" t="s">
        <v>144</v>
      </c>
      <c r="J53" s="44" t="s">
        <v>257</v>
      </c>
      <c r="K53" s="63">
        <v>2284351</v>
      </c>
      <c r="L53" s="43" t="s">
        <v>26</v>
      </c>
      <c r="M53" s="41"/>
      <c r="N53" s="45"/>
      <c r="O53" s="109" t="s">
        <v>496</v>
      </c>
    </row>
    <row r="54" spans="1:15" ht="62.25" customHeight="1" x14ac:dyDescent="0.25">
      <c r="A54" s="7">
        <f>A53+1</f>
        <v>28</v>
      </c>
      <c r="B54" s="534" t="s">
        <v>142</v>
      </c>
      <c r="C54" s="535"/>
      <c r="D54" s="40" t="s">
        <v>265</v>
      </c>
      <c r="E54" s="41"/>
      <c r="F54" s="41"/>
      <c r="G54" s="42"/>
      <c r="H54" s="43">
        <v>2017</v>
      </c>
      <c r="I54" s="43" t="s">
        <v>144</v>
      </c>
      <c r="J54" s="44" t="s">
        <v>132</v>
      </c>
      <c r="K54" s="63">
        <v>1116794</v>
      </c>
      <c r="L54" s="43" t="s">
        <v>26</v>
      </c>
      <c r="M54" s="41"/>
      <c r="N54" s="45"/>
      <c r="O54" s="109" t="s">
        <v>494</v>
      </c>
    </row>
    <row r="55" spans="1:15" ht="48.75" customHeight="1" x14ac:dyDescent="0.25">
      <c r="A55" s="7">
        <f t="shared" si="0"/>
        <v>29</v>
      </c>
      <c r="B55" s="534" t="s">
        <v>142</v>
      </c>
      <c r="C55" s="535"/>
      <c r="D55" s="40" t="s">
        <v>265</v>
      </c>
      <c r="E55" s="41"/>
      <c r="F55" s="41"/>
      <c r="G55" s="42"/>
      <c r="H55" s="43">
        <v>2017</v>
      </c>
      <c r="I55" s="43" t="s">
        <v>144</v>
      </c>
      <c r="J55" s="44" t="s">
        <v>264</v>
      </c>
      <c r="K55" s="63">
        <v>1116794</v>
      </c>
      <c r="L55" s="43" t="s">
        <v>26</v>
      </c>
      <c r="M55" s="41"/>
      <c r="N55" s="45"/>
      <c r="O55" s="109" t="s">
        <v>505</v>
      </c>
    </row>
    <row r="56" spans="1:15" ht="32.25" customHeight="1" x14ac:dyDescent="0.25">
      <c r="A56" s="7">
        <f t="shared" si="0"/>
        <v>30</v>
      </c>
      <c r="B56" s="534" t="s">
        <v>142</v>
      </c>
      <c r="C56" s="535"/>
      <c r="D56" s="40" t="s">
        <v>248</v>
      </c>
      <c r="E56" s="41"/>
      <c r="F56" s="41"/>
      <c r="G56" s="42"/>
      <c r="H56" s="43">
        <v>2018</v>
      </c>
      <c r="I56" s="43" t="s">
        <v>144</v>
      </c>
      <c r="J56" s="44" t="s">
        <v>247</v>
      </c>
      <c r="K56" s="63">
        <v>2019589</v>
      </c>
      <c r="L56" s="43" t="s">
        <v>26</v>
      </c>
      <c r="M56" s="41"/>
      <c r="N56" s="45"/>
      <c r="O56" s="109" t="s">
        <v>495</v>
      </c>
    </row>
    <row r="57" spans="1:15" ht="32.25" customHeight="1" x14ac:dyDescent="0.25">
      <c r="A57" s="7">
        <f>A56+1</f>
        <v>31</v>
      </c>
      <c r="B57" s="534" t="s">
        <v>142</v>
      </c>
      <c r="C57" s="535"/>
      <c r="D57" s="40" t="s">
        <v>248</v>
      </c>
      <c r="E57" s="41"/>
      <c r="F57" s="41"/>
      <c r="G57" s="42"/>
      <c r="H57" s="43">
        <v>2018</v>
      </c>
      <c r="I57" s="43" t="s">
        <v>144</v>
      </c>
      <c r="J57" s="44" t="s">
        <v>63</v>
      </c>
      <c r="K57" s="65">
        <v>2019589</v>
      </c>
      <c r="L57" s="43" t="s">
        <v>26</v>
      </c>
      <c r="M57" s="41"/>
      <c r="N57" s="45"/>
      <c r="O57" s="109" t="s">
        <v>506</v>
      </c>
    </row>
    <row r="58" spans="1:15" ht="31.5" x14ac:dyDescent="0.25">
      <c r="A58" s="7">
        <f>A57+1</f>
        <v>32</v>
      </c>
      <c r="B58" s="534" t="s">
        <v>142</v>
      </c>
      <c r="C58" s="535"/>
      <c r="D58" s="40" t="s">
        <v>248</v>
      </c>
      <c r="E58" s="41"/>
      <c r="F58" s="41"/>
      <c r="G58" s="42"/>
      <c r="H58" s="43">
        <v>2018</v>
      </c>
      <c r="I58" s="43" t="s">
        <v>144</v>
      </c>
      <c r="J58" s="44" t="s">
        <v>250</v>
      </c>
      <c r="K58" s="65">
        <v>2019589</v>
      </c>
      <c r="L58" s="43" t="s">
        <v>26</v>
      </c>
      <c r="M58" s="41"/>
      <c r="N58" s="45"/>
      <c r="O58" s="109" t="s">
        <v>493</v>
      </c>
    </row>
    <row r="59" spans="1:15" ht="31.5" x14ac:dyDescent="0.25">
      <c r="A59" s="7">
        <f>A85+1</f>
        <v>34</v>
      </c>
      <c r="B59" s="534" t="s">
        <v>49</v>
      </c>
      <c r="C59" s="535"/>
      <c r="D59" s="48" t="s">
        <v>259</v>
      </c>
      <c r="E59" s="41"/>
      <c r="F59" s="41"/>
      <c r="G59" s="43" t="s">
        <v>50</v>
      </c>
      <c r="H59" s="43">
        <v>2015</v>
      </c>
      <c r="I59" s="43" t="s">
        <v>51</v>
      </c>
      <c r="J59" s="44" t="s">
        <v>111</v>
      </c>
      <c r="K59" s="63">
        <v>2400000</v>
      </c>
      <c r="L59" s="43" t="s">
        <v>26</v>
      </c>
      <c r="M59" s="41"/>
      <c r="N59" s="41"/>
      <c r="O59" s="109" t="s">
        <v>507</v>
      </c>
    </row>
    <row r="60" spans="1:15" x14ac:dyDescent="0.25">
      <c r="A60" s="73"/>
      <c r="B60" s="128"/>
      <c r="C60" s="128"/>
      <c r="D60" s="129"/>
      <c r="E60" s="130"/>
      <c r="F60" s="130"/>
      <c r="G60" s="131"/>
      <c r="H60" s="131"/>
      <c r="I60" s="131"/>
      <c r="J60" s="132"/>
      <c r="K60" s="133"/>
      <c r="L60" s="131"/>
      <c r="M60" s="130"/>
      <c r="N60" s="130"/>
      <c r="O60" s="130"/>
    </row>
    <row r="61" spans="1:15" x14ac:dyDescent="0.25">
      <c r="A61" s="66"/>
      <c r="B61" s="123"/>
      <c r="C61" s="123"/>
      <c r="D61" s="124"/>
      <c r="E61" s="125"/>
      <c r="F61" s="125"/>
      <c r="G61" s="94"/>
      <c r="H61" s="94"/>
      <c r="I61" s="94"/>
      <c r="J61" s="126"/>
      <c r="K61" s="134"/>
      <c r="L61" s="94"/>
      <c r="M61" s="125"/>
      <c r="N61" s="125"/>
      <c r="O61" s="125"/>
    </row>
    <row r="62" spans="1:15" x14ac:dyDescent="0.25">
      <c r="A62" s="66"/>
      <c r="B62" s="123"/>
      <c r="C62" s="123"/>
      <c r="D62" s="124"/>
      <c r="E62" s="125"/>
      <c r="F62" s="125"/>
      <c r="G62" s="94"/>
      <c r="H62" s="94"/>
      <c r="I62" s="94"/>
      <c r="J62" s="126"/>
      <c r="K62" s="134"/>
      <c r="L62" s="94"/>
      <c r="M62" s="125"/>
      <c r="N62" s="125"/>
      <c r="O62" s="125"/>
    </row>
    <row r="63" spans="1:15" x14ac:dyDescent="0.25">
      <c r="A63" s="66"/>
      <c r="B63" s="123"/>
      <c r="C63" s="123"/>
      <c r="D63" s="124"/>
      <c r="E63" s="125"/>
      <c r="F63" s="125"/>
      <c r="G63" s="94"/>
      <c r="H63" s="94"/>
      <c r="I63" s="94"/>
      <c r="J63" s="126"/>
      <c r="K63" s="134"/>
      <c r="L63" s="94"/>
      <c r="M63" s="125"/>
      <c r="N63" s="125"/>
      <c r="O63" s="125"/>
    </row>
    <row r="64" spans="1:15" x14ac:dyDescent="0.25">
      <c r="A64" s="66"/>
      <c r="B64" s="123"/>
      <c r="C64" s="123"/>
      <c r="D64" s="124"/>
      <c r="E64" s="125"/>
      <c r="F64" s="125"/>
      <c r="G64" s="94"/>
      <c r="H64" s="94"/>
      <c r="I64" s="94"/>
      <c r="J64" s="126"/>
      <c r="K64" s="134"/>
      <c r="L64" s="94"/>
      <c r="M64" s="125"/>
      <c r="N64" s="125"/>
      <c r="O64" s="125"/>
    </row>
    <row r="65" spans="1:15" x14ac:dyDescent="0.25">
      <c r="A65" s="66"/>
      <c r="B65" s="123"/>
      <c r="C65" s="123"/>
      <c r="D65" s="124"/>
      <c r="E65" s="125"/>
      <c r="F65" s="125"/>
      <c r="G65" s="94"/>
      <c r="H65" s="94"/>
      <c r="I65" s="94"/>
      <c r="J65" s="126"/>
      <c r="K65" s="134"/>
      <c r="L65" s="94"/>
      <c r="M65" s="125"/>
      <c r="N65" s="125"/>
      <c r="O65" s="125"/>
    </row>
    <row r="66" spans="1:15" x14ac:dyDescent="0.25">
      <c r="A66" s="81"/>
      <c r="B66" s="135"/>
      <c r="C66" s="135"/>
      <c r="D66" s="136"/>
      <c r="E66" s="137"/>
      <c r="F66" s="137"/>
      <c r="G66" s="138"/>
      <c r="H66" s="138"/>
      <c r="I66" s="138"/>
      <c r="J66" s="139"/>
      <c r="K66" s="140"/>
      <c r="L66" s="138"/>
      <c r="M66" s="137"/>
      <c r="N66" s="137"/>
      <c r="O66" s="137"/>
    </row>
    <row r="67" spans="1:15" x14ac:dyDescent="0.25">
      <c r="A67" s="116" t="s">
        <v>7</v>
      </c>
      <c r="B67" s="538" t="s">
        <v>8</v>
      </c>
      <c r="C67" s="538"/>
      <c r="D67" s="116" t="s">
        <v>9</v>
      </c>
      <c r="E67" s="116" t="s">
        <v>10</v>
      </c>
      <c r="F67" s="541" t="s">
        <v>11</v>
      </c>
      <c r="G67" s="541" t="s">
        <v>12</v>
      </c>
      <c r="H67" s="116" t="s">
        <v>13</v>
      </c>
      <c r="I67" s="116"/>
      <c r="J67" s="116" t="s">
        <v>15</v>
      </c>
      <c r="K67" s="116" t="s">
        <v>16</v>
      </c>
      <c r="L67" s="544" t="s">
        <v>17</v>
      </c>
      <c r="M67" s="544"/>
      <c r="N67" s="544"/>
      <c r="O67" s="116" t="s">
        <v>18</v>
      </c>
    </row>
    <row r="68" spans="1:15" x14ac:dyDescent="0.25">
      <c r="A68" s="542" t="s">
        <v>19</v>
      </c>
      <c r="B68" s="546" t="s">
        <v>20</v>
      </c>
      <c r="C68" s="547"/>
      <c r="D68" s="542" t="s">
        <v>21</v>
      </c>
      <c r="E68" s="542" t="s">
        <v>22</v>
      </c>
      <c r="F68" s="542"/>
      <c r="G68" s="542"/>
      <c r="H68" s="104" t="s">
        <v>23</v>
      </c>
      <c r="I68" s="104" t="s">
        <v>14</v>
      </c>
      <c r="J68" s="104" t="s">
        <v>24</v>
      </c>
      <c r="K68" s="104" t="s">
        <v>25</v>
      </c>
      <c r="L68" s="104" t="s">
        <v>26</v>
      </c>
      <c r="M68" s="104" t="s">
        <v>27</v>
      </c>
      <c r="N68" s="104" t="s">
        <v>28</v>
      </c>
      <c r="O68" s="539" t="s">
        <v>29</v>
      </c>
    </row>
    <row r="69" spans="1:15" x14ac:dyDescent="0.25">
      <c r="A69" s="543"/>
      <c r="B69" s="548"/>
      <c r="C69" s="549"/>
      <c r="D69" s="543"/>
      <c r="E69" s="543"/>
      <c r="F69" s="543"/>
      <c r="G69" s="543"/>
      <c r="H69" s="105" t="s">
        <v>30</v>
      </c>
      <c r="I69" s="105"/>
      <c r="J69" s="105" t="s">
        <v>31</v>
      </c>
      <c r="K69" s="105" t="s">
        <v>32</v>
      </c>
      <c r="L69" s="105" t="s">
        <v>33</v>
      </c>
      <c r="M69" s="105" t="s">
        <v>34</v>
      </c>
      <c r="N69" s="105" t="s">
        <v>35</v>
      </c>
      <c r="O69" s="540"/>
    </row>
    <row r="70" spans="1:15" x14ac:dyDescent="0.25">
      <c r="A70" s="47">
        <v>1</v>
      </c>
      <c r="B70" s="536">
        <v>2</v>
      </c>
      <c r="C70" s="537"/>
      <c r="D70" s="117">
        <v>3</v>
      </c>
      <c r="E70" s="117">
        <v>4</v>
      </c>
      <c r="F70" s="118">
        <v>5</v>
      </c>
      <c r="G70" s="118">
        <v>6</v>
      </c>
      <c r="H70" s="104">
        <v>7</v>
      </c>
      <c r="I70" s="104">
        <v>8</v>
      </c>
      <c r="J70" s="104">
        <v>9</v>
      </c>
      <c r="K70" s="104">
        <v>10</v>
      </c>
      <c r="L70" s="104">
        <v>11</v>
      </c>
      <c r="M70" s="104">
        <v>12</v>
      </c>
      <c r="N70" s="104">
        <v>13</v>
      </c>
      <c r="O70" s="117">
        <v>14</v>
      </c>
    </row>
    <row r="71" spans="1:15" ht="31.5" x14ac:dyDescent="0.25">
      <c r="A71" s="9">
        <f>A59+1</f>
        <v>35</v>
      </c>
      <c r="B71" s="534" t="s">
        <v>49</v>
      </c>
      <c r="C71" s="535"/>
      <c r="D71" s="40" t="s">
        <v>290</v>
      </c>
      <c r="E71" s="109"/>
      <c r="F71" s="109"/>
      <c r="G71" s="43" t="s">
        <v>50</v>
      </c>
      <c r="H71" s="43">
        <v>2018</v>
      </c>
      <c r="I71" s="43" t="s">
        <v>51</v>
      </c>
      <c r="J71" s="44" t="s">
        <v>83</v>
      </c>
      <c r="K71" s="63">
        <v>1969099</v>
      </c>
      <c r="L71" s="43" t="s">
        <v>26</v>
      </c>
      <c r="M71" s="109"/>
      <c r="N71" s="109"/>
      <c r="O71" s="40" t="s">
        <v>508</v>
      </c>
    </row>
    <row r="72" spans="1:15" ht="47.25" x14ac:dyDescent="0.25">
      <c r="A72" s="7">
        <f t="shared" si="0"/>
        <v>36</v>
      </c>
      <c r="B72" s="443" t="s">
        <v>146</v>
      </c>
      <c r="C72" s="444"/>
      <c r="D72" s="10" t="s">
        <v>260</v>
      </c>
      <c r="E72" s="12"/>
      <c r="F72" s="12"/>
      <c r="G72" s="9" t="s">
        <v>50</v>
      </c>
      <c r="H72" s="9">
        <v>2011</v>
      </c>
      <c r="I72" s="9" t="s">
        <v>147</v>
      </c>
      <c r="J72" s="11" t="s">
        <v>67</v>
      </c>
      <c r="K72" s="20">
        <v>585000</v>
      </c>
      <c r="L72" s="9" t="s">
        <v>26</v>
      </c>
      <c r="M72" s="12"/>
      <c r="N72" s="12"/>
      <c r="O72" s="32" t="s">
        <v>506</v>
      </c>
    </row>
    <row r="73" spans="1:15" x14ac:dyDescent="0.25">
      <c r="A73" s="66"/>
      <c r="B73" s="123"/>
      <c r="C73" s="123"/>
      <c r="D73" s="124"/>
      <c r="E73" s="125"/>
      <c r="F73" s="125"/>
      <c r="G73" s="94"/>
      <c r="H73" s="94"/>
      <c r="I73" s="94"/>
      <c r="J73" s="126"/>
      <c r="K73" s="127"/>
      <c r="L73" s="94"/>
      <c r="M73" s="125"/>
      <c r="N73" s="125"/>
      <c r="O73" s="125"/>
    </row>
    <row r="74" spans="1:15" x14ac:dyDescent="0.25">
      <c r="C74" s="5" t="s">
        <v>36</v>
      </c>
      <c r="L74" s="23" t="s">
        <v>575</v>
      </c>
    </row>
    <row r="75" spans="1:15" x14ac:dyDescent="0.25">
      <c r="C75" s="5"/>
      <c r="L75" s="5"/>
    </row>
    <row r="76" spans="1:15" x14ac:dyDescent="0.25">
      <c r="C76" s="5" t="s">
        <v>572</v>
      </c>
      <c r="L76" s="5" t="s">
        <v>37</v>
      </c>
    </row>
    <row r="77" spans="1:15" x14ac:dyDescent="0.25">
      <c r="C77" s="5"/>
      <c r="L77" s="5"/>
    </row>
    <row r="78" spans="1:15" x14ac:dyDescent="0.25">
      <c r="C78" s="5"/>
      <c r="F78" s="13"/>
      <c r="L78" s="5"/>
    </row>
    <row r="79" spans="1:15" x14ac:dyDescent="0.25">
      <c r="C79" s="5"/>
      <c r="L79" s="5"/>
    </row>
    <row r="80" spans="1:15" x14ac:dyDescent="0.25">
      <c r="C80" s="6" t="s">
        <v>573</v>
      </c>
      <c r="L80" s="6" t="s">
        <v>576</v>
      </c>
    </row>
    <row r="81" spans="1:15" x14ac:dyDescent="0.25">
      <c r="C81" s="5" t="s">
        <v>39</v>
      </c>
      <c r="L81" s="23" t="str">
        <f>'RUANG DEPAN BIDANG KET'!M80</f>
        <v>NIP. 19721124 200604 2 005</v>
      </c>
    </row>
    <row r="82" spans="1:15" x14ac:dyDescent="0.25">
      <c r="C82" s="23" t="s">
        <v>574</v>
      </c>
    </row>
    <row r="83" spans="1:15" x14ac:dyDescent="0.25">
      <c r="K83" s="24"/>
    </row>
    <row r="84" spans="1:15" ht="47.25" x14ac:dyDescent="0.25">
      <c r="A84" s="7">
        <f>A48+1</f>
        <v>23</v>
      </c>
      <c r="B84" s="534" t="s">
        <v>142</v>
      </c>
      <c r="C84" s="535"/>
      <c r="D84" s="40" t="s">
        <v>252</v>
      </c>
      <c r="E84" s="41"/>
      <c r="F84" s="41"/>
      <c r="G84" s="42" t="s">
        <v>214</v>
      </c>
      <c r="H84" s="43">
        <v>2011</v>
      </c>
      <c r="I84" s="43" t="s">
        <v>144</v>
      </c>
      <c r="J84" s="44" t="s">
        <v>215</v>
      </c>
      <c r="K84" s="63">
        <v>485000</v>
      </c>
      <c r="L84" s="43" t="s">
        <v>26</v>
      </c>
      <c r="M84" s="41"/>
      <c r="N84" s="45"/>
      <c r="O84" s="170"/>
    </row>
    <row r="85" spans="1:15" x14ac:dyDescent="0.25">
      <c r="A85" s="7">
        <f>A58+1</f>
        <v>33</v>
      </c>
      <c r="B85" s="534" t="s">
        <v>49</v>
      </c>
      <c r="C85" s="535"/>
      <c r="D85" s="91" t="s">
        <v>289</v>
      </c>
      <c r="E85" s="41"/>
      <c r="F85" s="41"/>
      <c r="G85" s="43" t="s">
        <v>50</v>
      </c>
      <c r="H85" s="43">
        <v>2006</v>
      </c>
      <c r="I85" s="43" t="s">
        <v>51</v>
      </c>
      <c r="J85" s="44" t="s">
        <v>67</v>
      </c>
      <c r="K85" s="63">
        <v>1343750</v>
      </c>
      <c r="L85" s="43" t="s">
        <v>26</v>
      </c>
      <c r="M85" s="41"/>
      <c r="N85" s="41"/>
      <c r="O85" s="41"/>
    </row>
    <row r="86" spans="1:15" x14ac:dyDescent="0.25">
      <c r="B86" s="22"/>
    </row>
  </sheetData>
  <mergeCells count="71">
    <mergeCell ref="D68:D69"/>
    <mergeCell ref="E68:E69"/>
    <mergeCell ref="O68:O69"/>
    <mergeCell ref="F67:F69"/>
    <mergeCell ref="G67:G69"/>
    <mergeCell ref="L67:N67"/>
    <mergeCell ref="O39:O40"/>
    <mergeCell ref="B41:C41"/>
    <mergeCell ref="F38:F40"/>
    <mergeCell ref="G38:G40"/>
    <mergeCell ref="L38:N38"/>
    <mergeCell ref="B39:C40"/>
    <mergeCell ref="D39:D40"/>
    <mergeCell ref="E39:E40"/>
    <mergeCell ref="A39:A40"/>
    <mergeCell ref="B25:C25"/>
    <mergeCell ref="B38:C38"/>
    <mergeCell ref="B84:C84"/>
    <mergeCell ref="B27:C27"/>
    <mergeCell ref="B42:C42"/>
    <mergeCell ref="B43:C43"/>
    <mergeCell ref="B57:C57"/>
    <mergeCell ref="B54:C54"/>
    <mergeCell ref="B52:C52"/>
    <mergeCell ref="B45:C45"/>
    <mergeCell ref="B44:C44"/>
    <mergeCell ref="B46:C46"/>
    <mergeCell ref="B72:C72"/>
    <mergeCell ref="A68:A69"/>
    <mergeCell ref="B68:C69"/>
    <mergeCell ref="A10:A11"/>
    <mergeCell ref="B10:C11"/>
    <mergeCell ref="B26:C26"/>
    <mergeCell ref="B16:C16"/>
    <mergeCell ref="B23:C23"/>
    <mergeCell ref="B17:C17"/>
    <mergeCell ref="B20:C20"/>
    <mergeCell ref="B13:C13"/>
    <mergeCell ref="B15:C15"/>
    <mergeCell ref="B24:C24"/>
    <mergeCell ref="B18:C18"/>
    <mergeCell ref="B22:C22"/>
    <mergeCell ref="B21:C21"/>
    <mergeCell ref="B19:C19"/>
    <mergeCell ref="B14:C14"/>
    <mergeCell ref="A3:B3"/>
    <mergeCell ref="A4:B4"/>
    <mergeCell ref="A5:B5"/>
    <mergeCell ref="A6:B6"/>
    <mergeCell ref="B9:C9"/>
    <mergeCell ref="O10:O11"/>
    <mergeCell ref="B12:C12"/>
    <mergeCell ref="B51:C51"/>
    <mergeCell ref="B56:C56"/>
    <mergeCell ref="B58:C58"/>
    <mergeCell ref="B47:C47"/>
    <mergeCell ref="G9:G11"/>
    <mergeCell ref="L9:N9"/>
    <mergeCell ref="F9:F11"/>
    <mergeCell ref="B49:C49"/>
    <mergeCell ref="B55:C55"/>
    <mergeCell ref="D10:D11"/>
    <mergeCell ref="E10:E11"/>
    <mergeCell ref="B48:C48"/>
    <mergeCell ref="B50:C50"/>
    <mergeCell ref="B53:C53"/>
    <mergeCell ref="B85:C85"/>
    <mergeCell ref="B71:C71"/>
    <mergeCell ref="B59:C59"/>
    <mergeCell ref="B70:C70"/>
    <mergeCell ref="B67:C67"/>
  </mergeCells>
  <printOptions horizontalCentered="1"/>
  <pageMargins left="0.11811023622047245" right="0.35433070866141736" top="0.19685039370078741" bottom="0.15748031496062992" header="0" footer="0"/>
  <pageSetup paperSize="14" scale="65" orientation="landscape" horizontalDpi="180" verticalDpi="180" r:id="rId1"/>
  <headerFooter alignWithMargins="0">
    <oddFooter>&amp;L&amp;9&amp;F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86"/>
  <sheetViews>
    <sheetView view="pageBreakPreview" topLeftCell="A70" zoomScaleNormal="55" workbookViewId="0">
      <selection activeCell="N79" sqref="N79"/>
    </sheetView>
  </sheetViews>
  <sheetFormatPr defaultRowHeight="15.75" x14ac:dyDescent="0.25"/>
  <cols>
    <col min="2" max="2" width="7" customWidth="1"/>
    <col min="3" max="3" width="17.75" customWidth="1"/>
    <col min="4" max="4" width="10.875" customWidth="1"/>
    <col min="5" max="5" width="11.25" customWidth="1"/>
    <col min="6" max="6" width="11.5" customWidth="1"/>
    <col min="7" max="7" width="11.625" customWidth="1"/>
    <col min="8" max="8" width="15.5" customWidth="1"/>
    <col min="9" max="9" width="18.75" customWidth="1"/>
    <col min="10" max="10" width="15.375" customWidth="1"/>
    <col min="11" max="11" width="15.125" customWidth="1"/>
    <col min="13" max="13" width="11" customWidth="1"/>
    <col min="14" max="14" width="10.625" customWidth="1"/>
    <col min="15" max="15" width="9.625" customWidth="1"/>
    <col min="258" max="258" width="7" customWidth="1"/>
    <col min="259" max="259" width="17.75" customWidth="1"/>
    <col min="260" max="260" width="10.875" customWidth="1"/>
    <col min="261" max="261" width="11.25" customWidth="1"/>
    <col min="262" max="262" width="11.5" customWidth="1"/>
    <col min="263" max="263" width="11.625" customWidth="1"/>
    <col min="264" max="264" width="15.5" customWidth="1"/>
    <col min="265" max="265" width="18.75" customWidth="1"/>
    <col min="266" max="266" width="15.375" customWidth="1"/>
    <col min="267" max="267" width="15.125" customWidth="1"/>
    <col min="269" max="269" width="11" customWidth="1"/>
    <col min="270" max="270" width="10.625" customWidth="1"/>
    <col min="271" max="271" width="9.625" customWidth="1"/>
    <col min="514" max="514" width="7" customWidth="1"/>
    <col min="515" max="515" width="17.75" customWidth="1"/>
    <col min="516" max="516" width="10.875" customWidth="1"/>
    <col min="517" max="517" width="11.25" customWidth="1"/>
    <col min="518" max="518" width="11.5" customWidth="1"/>
    <col min="519" max="519" width="11.625" customWidth="1"/>
    <col min="520" max="520" width="15.5" customWidth="1"/>
    <col min="521" max="521" width="18.75" customWidth="1"/>
    <col min="522" max="522" width="15.375" customWidth="1"/>
    <col min="523" max="523" width="15.125" customWidth="1"/>
    <col min="525" max="525" width="11" customWidth="1"/>
    <col min="526" max="526" width="10.625" customWidth="1"/>
    <col min="527" max="527" width="9.625" customWidth="1"/>
    <col min="770" max="770" width="7" customWidth="1"/>
    <col min="771" max="771" width="17.75" customWidth="1"/>
    <col min="772" max="772" width="10.875" customWidth="1"/>
    <col min="773" max="773" width="11.25" customWidth="1"/>
    <col min="774" max="774" width="11.5" customWidth="1"/>
    <col min="775" max="775" width="11.625" customWidth="1"/>
    <col min="776" max="776" width="15.5" customWidth="1"/>
    <col min="777" max="777" width="18.75" customWidth="1"/>
    <col min="778" max="778" width="15.375" customWidth="1"/>
    <col min="779" max="779" width="15.125" customWidth="1"/>
    <col min="781" max="781" width="11" customWidth="1"/>
    <col min="782" max="782" width="10.625" customWidth="1"/>
    <col min="783" max="783" width="9.625" customWidth="1"/>
    <col min="1026" max="1026" width="7" customWidth="1"/>
    <col min="1027" max="1027" width="17.75" customWidth="1"/>
    <col min="1028" max="1028" width="10.875" customWidth="1"/>
    <col min="1029" max="1029" width="11.25" customWidth="1"/>
    <col min="1030" max="1030" width="11.5" customWidth="1"/>
    <col min="1031" max="1031" width="11.625" customWidth="1"/>
    <col min="1032" max="1032" width="15.5" customWidth="1"/>
    <col min="1033" max="1033" width="18.75" customWidth="1"/>
    <col min="1034" max="1034" width="15.375" customWidth="1"/>
    <col min="1035" max="1035" width="15.125" customWidth="1"/>
    <col min="1037" max="1037" width="11" customWidth="1"/>
    <col min="1038" max="1038" width="10.625" customWidth="1"/>
    <col min="1039" max="1039" width="9.625" customWidth="1"/>
    <col min="1282" max="1282" width="7" customWidth="1"/>
    <col min="1283" max="1283" width="17.75" customWidth="1"/>
    <col min="1284" max="1284" width="10.875" customWidth="1"/>
    <col min="1285" max="1285" width="11.25" customWidth="1"/>
    <col min="1286" max="1286" width="11.5" customWidth="1"/>
    <col min="1287" max="1287" width="11.625" customWidth="1"/>
    <col min="1288" max="1288" width="15.5" customWidth="1"/>
    <col min="1289" max="1289" width="18.75" customWidth="1"/>
    <col min="1290" max="1290" width="15.375" customWidth="1"/>
    <col min="1291" max="1291" width="15.125" customWidth="1"/>
    <col min="1293" max="1293" width="11" customWidth="1"/>
    <col min="1294" max="1294" width="10.625" customWidth="1"/>
    <col min="1295" max="1295" width="9.625" customWidth="1"/>
    <col min="1538" max="1538" width="7" customWidth="1"/>
    <col min="1539" max="1539" width="17.75" customWidth="1"/>
    <col min="1540" max="1540" width="10.875" customWidth="1"/>
    <col min="1541" max="1541" width="11.25" customWidth="1"/>
    <col min="1542" max="1542" width="11.5" customWidth="1"/>
    <col min="1543" max="1543" width="11.625" customWidth="1"/>
    <col min="1544" max="1544" width="15.5" customWidth="1"/>
    <col min="1545" max="1545" width="18.75" customWidth="1"/>
    <col min="1546" max="1546" width="15.375" customWidth="1"/>
    <col min="1547" max="1547" width="15.125" customWidth="1"/>
    <col min="1549" max="1549" width="11" customWidth="1"/>
    <col min="1550" max="1550" width="10.625" customWidth="1"/>
    <col min="1551" max="1551" width="9.625" customWidth="1"/>
    <col min="1794" max="1794" width="7" customWidth="1"/>
    <col min="1795" max="1795" width="17.75" customWidth="1"/>
    <col min="1796" max="1796" width="10.875" customWidth="1"/>
    <col min="1797" max="1797" width="11.25" customWidth="1"/>
    <col min="1798" max="1798" width="11.5" customWidth="1"/>
    <col min="1799" max="1799" width="11.625" customWidth="1"/>
    <col min="1800" max="1800" width="15.5" customWidth="1"/>
    <col min="1801" max="1801" width="18.75" customWidth="1"/>
    <col min="1802" max="1802" width="15.375" customWidth="1"/>
    <col min="1803" max="1803" width="15.125" customWidth="1"/>
    <col min="1805" max="1805" width="11" customWidth="1"/>
    <col min="1806" max="1806" width="10.625" customWidth="1"/>
    <col min="1807" max="1807" width="9.625" customWidth="1"/>
    <col min="2050" max="2050" width="7" customWidth="1"/>
    <col min="2051" max="2051" width="17.75" customWidth="1"/>
    <col min="2052" max="2052" width="10.875" customWidth="1"/>
    <col min="2053" max="2053" width="11.25" customWidth="1"/>
    <col min="2054" max="2054" width="11.5" customWidth="1"/>
    <col min="2055" max="2055" width="11.625" customWidth="1"/>
    <col min="2056" max="2056" width="15.5" customWidth="1"/>
    <col min="2057" max="2057" width="18.75" customWidth="1"/>
    <col min="2058" max="2058" width="15.375" customWidth="1"/>
    <col min="2059" max="2059" width="15.125" customWidth="1"/>
    <col min="2061" max="2061" width="11" customWidth="1"/>
    <col min="2062" max="2062" width="10.625" customWidth="1"/>
    <col min="2063" max="2063" width="9.625" customWidth="1"/>
    <col min="2306" max="2306" width="7" customWidth="1"/>
    <col min="2307" max="2307" width="17.75" customWidth="1"/>
    <col min="2308" max="2308" width="10.875" customWidth="1"/>
    <col min="2309" max="2309" width="11.25" customWidth="1"/>
    <col min="2310" max="2310" width="11.5" customWidth="1"/>
    <col min="2311" max="2311" width="11.625" customWidth="1"/>
    <col min="2312" max="2312" width="15.5" customWidth="1"/>
    <col min="2313" max="2313" width="18.75" customWidth="1"/>
    <col min="2314" max="2314" width="15.375" customWidth="1"/>
    <col min="2315" max="2315" width="15.125" customWidth="1"/>
    <col min="2317" max="2317" width="11" customWidth="1"/>
    <col min="2318" max="2318" width="10.625" customWidth="1"/>
    <col min="2319" max="2319" width="9.625" customWidth="1"/>
    <col min="2562" max="2562" width="7" customWidth="1"/>
    <col min="2563" max="2563" width="17.75" customWidth="1"/>
    <col min="2564" max="2564" width="10.875" customWidth="1"/>
    <col min="2565" max="2565" width="11.25" customWidth="1"/>
    <col min="2566" max="2566" width="11.5" customWidth="1"/>
    <col min="2567" max="2567" width="11.625" customWidth="1"/>
    <col min="2568" max="2568" width="15.5" customWidth="1"/>
    <col min="2569" max="2569" width="18.75" customWidth="1"/>
    <col min="2570" max="2570" width="15.375" customWidth="1"/>
    <col min="2571" max="2571" width="15.125" customWidth="1"/>
    <col min="2573" max="2573" width="11" customWidth="1"/>
    <col min="2574" max="2574" width="10.625" customWidth="1"/>
    <col min="2575" max="2575" width="9.625" customWidth="1"/>
    <col min="2818" max="2818" width="7" customWidth="1"/>
    <col min="2819" max="2819" width="17.75" customWidth="1"/>
    <col min="2820" max="2820" width="10.875" customWidth="1"/>
    <col min="2821" max="2821" width="11.25" customWidth="1"/>
    <col min="2822" max="2822" width="11.5" customWidth="1"/>
    <col min="2823" max="2823" width="11.625" customWidth="1"/>
    <col min="2824" max="2824" width="15.5" customWidth="1"/>
    <col min="2825" max="2825" width="18.75" customWidth="1"/>
    <col min="2826" max="2826" width="15.375" customWidth="1"/>
    <col min="2827" max="2827" width="15.125" customWidth="1"/>
    <col min="2829" max="2829" width="11" customWidth="1"/>
    <col min="2830" max="2830" width="10.625" customWidth="1"/>
    <col min="2831" max="2831" width="9.625" customWidth="1"/>
    <col min="3074" max="3074" width="7" customWidth="1"/>
    <col min="3075" max="3075" width="17.75" customWidth="1"/>
    <col min="3076" max="3076" width="10.875" customWidth="1"/>
    <col min="3077" max="3077" width="11.25" customWidth="1"/>
    <col min="3078" max="3078" width="11.5" customWidth="1"/>
    <col min="3079" max="3079" width="11.625" customWidth="1"/>
    <col min="3080" max="3080" width="15.5" customWidth="1"/>
    <col min="3081" max="3081" width="18.75" customWidth="1"/>
    <col min="3082" max="3082" width="15.375" customWidth="1"/>
    <col min="3083" max="3083" width="15.125" customWidth="1"/>
    <col min="3085" max="3085" width="11" customWidth="1"/>
    <col min="3086" max="3086" width="10.625" customWidth="1"/>
    <col min="3087" max="3087" width="9.625" customWidth="1"/>
    <col min="3330" max="3330" width="7" customWidth="1"/>
    <col min="3331" max="3331" width="17.75" customWidth="1"/>
    <col min="3332" max="3332" width="10.875" customWidth="1"/>
    <col min="3333" max="3333" width="11.25" customWidth="1"/>
    <col min="3334" max="3334" width="11.5" customWidth="1"/>
    <col min="3335" max="3335" width="11.625" customWidth="1"/>
    <col min="3336" max="3336" width="15.5" customWidth="1"/>
    <col min="3337" max="3337" width="18.75" customWidth="1"/>
    <col min="3338" max="3338" width="15.375" customWidth="1"/>
    <col min="3339" max="3339" width="15.125" customWidth="1"/>
    <col min="3341" max="3341" width="11" customWidth="1"/>
    <col min="3342" max="3342" width="10.625" customWidth="1"/>
    <col min="3343" max="3343" width="9.625" customWidth="1"/>
    <col min="3586" max="3586" width="7" customWidth="1"/>
    <col min="3587" max="3587" width="17.75" customWidth="1"/>
    <col min="3588" max="3588" width="10.875" customWidth="1"/>
    <col min="3589" max="3589" width="11.25" customWidth="1"/>
    <col min="3590" max="3590" width="11.5" customWidth="1"/>
    <col min="3591" max="3591" width="11.625" customWidth="1"/>
    <col min="3592" max="3592" width="15.5" customWidth="1"/>
    <col min="3593" max="3593" width="18.75" customWidth="1"/>
    <col min="3594" max="3594" width="15.375" customWidth="1"/>
    <col min="3595" max="3595" width="15.125" customWidth="1"/>
    <col min="3597" max="3597" width="11" customWidth="1"/>
    <col min="3598" max="3598" width="10.625" customWidth="1"/>
    <col min="3599" max="3599" width="9.625" customWidth="1"/>
    <col min="3842" max="3842" width="7" customWidth="1"/>
    <col min="3843" max="3843" width="17.75" customWidth="1"/>
    <col min="3844" max="3844" width="10.875" customWidth="1"/>
    <col min="3845" max="3845" width="11.25" customWidth="1"/>
    <col min="3846" max="3846" width="11.5" customWidth="1"/>
    <col min="3847" max="3847" width="11.625" customWidth="1"/>
    <col min="3848" max="3848" width="15.5" customWidth="1"/>
    <col min="3849" max="3849" width="18.75" customWidth="1"/>
    <col min="3850" max="3850" width="15.375" customWidth="1"/>
    <col min="3851" max="3851" width="15.125" customWidth="1"/>
    <col min="3853" max="3853" width="11" customWidth="1"/>
    <col min="3854" max="3854" width="10.625" customWidth="1"/>
    <col min="3855" max="3855" width="9.625" customWidth="1"/>
    <col min="4098" max="4098" width="7" customWidth="1"/>
    <col min="4099" max="4099" width="17.75" customWidth="1"/>
    <col min="4100" max="4100" width="10.875" customWidth="1"/>
    <col min="4101" max="4101" width="11.25" customWidth="1"/>
    <col min="4102" max="4102" width="11.5" customWidth="1"/>
    <col min="4103" max="4103" width="11.625" customWidth="1"/>
    <col min="4104" max="4104" width="15.5" customWidth="1"/>
    <col min="4105" max="4105" width="18.75" customWidth="1"/>
    <col min="4106" max="4106" width="15.375" customWidth="1"/>
    <col min="4107" max="4107" width="15.125" customWidth="1"/>
    <col min="4109" max="4109" width="11" customWidth="1"/>
    <col min="4110" max="4110" width="10.625" customWidth="1"/>
    <col min="4111" max="4111" width="9.625" customWidth="1"/>
    <col min="4354" max="4354" width="7" customWidth="1"/>
    <col min="4355" max="4355" width="17.75" customWidth="1"/>
    <col min="4356" max="4356" width="10.875" customWidth="1"/>
    <col min="4357" max="4357" width="11.25" customWidth="1"/>
    <col min="4358" max="4358" width="11.5" customWidth="1"/>
    <col min="4359" max="4359" width="11.625" customWidth="1"/>
    <col min="4360" max="4360" width="15.5" customWidth="1"/>
    <col min="4361" max="4361" width="18.75" customWidth="1"/>
    <col min="4362" max="4362" width="15.375" customWidth="1"/>
    <col min="4363" max="4363" width="15.125" customWidth="1"/>
    <col min="4365" max="4365" width="11" customWidth="1"/>
    <col min="4366" max="4366" width="10.625" customWidth="1"/>
    <col min="4367" max="4367" width="9.625" customWidth="1"/>
    <col min="4610" max="4610" width="7" customWidth="1"/>
    <col min="4611" max="4611" width="17.75" customWidth="1"/>
    <col min="4612" max="4612" width="10.875" customWidth="1"/>
    <col min="4613" max="4613" width="11.25" customWidth="1"/>
    <col min="4614" max="4614" width="11.5" customWidth="1"/>
    <col min="4615" max="4615" width="11.625" customWidth="1"/>
    <col min="4616" max="4616" width="15.5" customWidth="1"/>
    <col min="4617" max="4617" width="18.75" customWidth="1"/>
    <col min="4618" max="4618" width="15.375" customWidth="1"/>
    <col min="4619" max="4619" width="15.125" customWidth="1"/>
    <col min="4621" max="4621" width="11" customWidth="1"/>
    <col min="4622" max="4622" width="10.625" customWidth="1"/>
    <col min="4623" max="4623" width="9.625" customWidth="1"/>
    <col min="4866" max="4866" width="7" customWidth="1"/>
    <col min="4867" max="4867" width="17.75" customWidth="1"/>
    <col min="4868" max="4868" width="10.875" customWidth="1"/>
    <col min="4869" max="4869" width="11.25" customWidth="1"/>
    <col min="4870" max="4870" width="11.5" customWidth="1"/>
    <col min="4871" max="4871" width="11.625" customWidth="1"/>
    <col min="4872" max="4872" width="15.5" customWidth="1"/>
    <col min="4873" max="4873" width="18.75" customWidth="1"/>
    <col min="4874" max="4874" width="15.375" customWidth="1"/>
    <col min="4875" max="4875" width="15.125" customWidth="1"/>
    <col min="4877" max="4877" width="11" customWidth="1"/>
    <col min="4878" max="4878" width="10.625" customWidth="1"/>
    <col min="4879" max="4879" width="9.625" customWidth="1"/>
    <col min="5122" max="5122" width="7" customWidth="1"/>
    <col min="5123" max="5123" width="17.75" customWidth="1"/>
    <col min="5124" max="5124" width="10.875" customWidth="1"/>
    <col min="5125" max="5125" width="11.25" customWidth="1"/>
    <col min="5126" max="5126" width="11.5" customWidth="1"/>
    <col min="5127" max="5127" width="11.625" customWidth="1"/>
    <col min="5128" max="5128" width="15.5" customWidth="1"/>
    <col min="5129" max="5129" width="18.75" customWidth="1"/>
    <col min="5130" max="5130" width="15.375" customWidth="1"/>
    <col min="5131" max="5131" width="15.125" customWidth="1"/>
    <col min="5133" max="5133" width="11" customWidth="1"/>
    <col min="5134" max="5134" width="10.625" customWidth="1"/>
    <col min="5135" max="5135" width="9.625" customWidth="1"/>
    <col min="5378" max="5378" width="7" customWidth="1"/>
    <col min="5379" max="5379" width="17.75" customWidth="1"/>
    <col min="5380" max="5380" width="10.875" customWidth="1"/>
    <col min="5381" max="5381" width="11.25" customWidth="1"/>
    <col min="5382" max="5382" width="11.5" customWidth="1"/>
    <col min="5383" max="5383" width="11.625" customWidth="1"/>
    <col min="5384" max="5384" width="15.5" customWidth="1"/>
    <col min="5385" max="5385" width="18.75" customWidth="1"/>
    <col min="5386" max="5386" width="15.375" customWidth="1"/>
    <col min="5387" max="5387" width="15.125" customWidth="1"/>
    <col min="5389" max="5389" width="11" customWidth="1"/>
    <col min="5390" max="5390" width="10.625" customWidth="1"/>
    <col min="5391" max="5391" width="9.625" customWidth="1"/>
    <col min="5634" max="5634" width="7" customWidth="1"/>
    <col min="5635" max="5635" width="17.75" customWidth="1"/>
    <col min="5636" max="5636" width="10.875" customWidth="1"/>
    <col min="5637" max="5637" width="11.25" customWidth="1"/>
    <col min="5638" max="5638" width="11.5" customWidth="1"/>
    <col min="5639" max="5639" width="11.625" customWidth="1"/>
    <col min="5640" max="5640" width="15.5" customWidth="1"/>
    <col min="5641" max="5641" width="18.75" customWidth="1"/>
    <col min="5642" max="5642" width="15.375" customWidth="1"/>
    <col min="5643" max="5643" width="15.125" customWidth="1"/>
    <col min="5645" max="5645" width="11" customWidth="1"/>
    <col min="5646" max="5646" width="10.625" customWidth="1"/>
    <col min="5647" max="5647" width="9.625" customWidth="1"/>
    <col min="5890" max="5890" width="7" customWidth="1"/>
    <col min="5891" max="5891" width="17.75" customWidth="1"/>
    <col min="5892" max="5892" width="10.875" customWidth="1"/>
    <col min="5893" max="5893" width="11.25" customWidth="1"/>
    <col min="5894" max="5894" width="11.5" customWidth="1"/>
    <col min="5895" max="5895" width="11.625" customWidth="1"/>
    <col min="5896" max="5896" width="15.5" customWidth="1"/>
    <col min="5897" max="5897" width="18.75" customWidth="1"/>
    <col min="5898" max="5898" width="15.375" customWidth="1"/>
    <col min="5899" max="5899" width="15.125" customWidth="1"/>
    <col min="5901" max="5901" width="11" customWidth="1"/>
    <col min="5902" max="5902" width="10.625" customWidth="1"/>
    <col min="5903" max="5903" width="9.625" customWidth="1"/>
    <col min="6146" max="6146" width="7" customWidth="1"/>
    <col min="6147" max="6147" width="17.75" customWidth="1"/>
    <col min="6148" max="6148" width="10.875" customWidth="1"/>
    <col min="6149" max="6149" width="11.25" customWidth="1"/>
    <col min="6150" max="6150" width="11.5" customWidth="1"/>
    <col min="6151" max="6151" width="11.625" customWidth="1"/>
    <col min="6152" max="6152" width="15.5" customWidth="1"/>
    <col min="6153" max="6153" width="18.75" customWidth="1"/>
    <col min="6154" max="6154" width="15.375" customWidth="1"/>
    <col min="6155" max="6155" width="15.125" customWidth="1"/>
    <col min="6157" max="6157" width="11" customWidth="1"/>
    <col min="6158" max="6158" width="10.625" customWidth="1"/>
    <col min="6159" max="6159" width="9.625" customWidth="1"/>
    <col min="6402" max="6402" width="7" customWidth="1"/>
    <col min="6403" max="6403" width="17.75" customWidth="1"/>
    <col min="6404" max="6404" width="10.875" customWidth="1"/>
    <col min="6405" max="6405" width="11.25" customWidth="1"/>
    <col min="6406" max="6406" width="11.5" customWidth="1"/>
    <col min="6407" max="6407" width="11.625" customWidth="1"/>
    <col min="6408" max="6408" width="15.5" customWidth="1"/>
    <col min="6409" max="6409" width="18.75" customWidth="1"/>
    <col min="6410" max="6410" width="15.375" customWidth="1"/>
    <col min="6411" max="6411" width="15.125" customWidth="1"/>
    <col min="6413" max="6413" width="11" customWidth="1"/>
    <col min="6414" max="6414" width="10.625" customWidth="1"/>
    <col min="6415" max="6415" width="9.625" customWidth="1"/>
    <col min="6658" max="6658" width="7" customWidth="1"/>
    <col min="6659" max="6659" width="17.75" customWidth="1"/>
    <col min="6660" max="6660" width="10.875" customWidth="1"/>
    <col min="6661" max="6661" width="11.25" customWidth="1"/>
    <col min="6662" max="6662" width="11.5" customWidth="1"/>
    <col min="6663" max="6663" width="11.625" customWidth="1"/>
    <col min="6664" max="6664" width="15.5" customWidth="1"/>
    <col min="6665" max="6665" width="18.75" customWidth="1"/>
    <col min="6666" max="6666" width="15.375" customWidth="1"/>
    <col min="6667" max="6667" width="15.125" customWidth="1"/>
    <col min="6669" max="6669" width="11" customWidth="1"/>
    <col min="6670" max="6670" width="10.625" customWidth="1"/>
    <col min="6671" max="6671" width="9.625" customWidth="1"/>
    <col min="6914" max="6914" width="7" customWidth="1"/>
    <col min="6915" max="6915" width="17.75" customWidth="1"/>
    <col min="6916" max="6916" width="10.875" customWidth="1"/>
    <col min="6917" max="6917" width="11.25" customWidth="1"/>
    <col min="6918" max="6918" width="11.5" customWidth="1"/>
    <col min="6919" max="6919" width="11.625" customWidth="1"/>
    <col min="6920" max="6920" width="15.5" customWidth="1"/>
    <col min="6921" max="6921" width="18.75" customWidth="1"/>
    <col min="6922" max="6922" width="15.375" customWidth="1"/>
    <col min="6923" max="6923" width="15.125" customWidth="1"/>
    <col min="6925" max="6925" width="11" customWidth="1"/>
    <col min="6926" max="6926" width="10.625" customWidth="1"/>
    <col min="6927" max="6927" width="9.625" customWidth="1"/>
    <col min="7170" max="7170" width="7" customWidth="1"/>
    <col min="7171" max="7171" width="17.75" customWidth="1"/>
    <col min="7172" max="7172" width="10.875" customWidth="1"/>
    <col min="7173" max="7173" width="11.25" customWidth="1"/>
    <col min="7174" max="7174" width="11.5" customWidth="1"/>
    <col min="7175" max="7175" width="11.625" customWidth="1"/>
    <col min="7176" max="7176" width="15.5" customWidth="1"/>
    <col min="7177" max="7177" width="18.75" customWidth="1"/>
    <col min="7178" max="7178" width="15.375" customWidth="1"/>
    <col min="7179" max="7179" width="15.125" customWidth="1"/>
    <col min="7181" max="7181" width="11" customWidth="1"/>
    <col min="7182" max="7182" width="10.625" customWidth="1"/>
    <col min="7183" max="7183" width="9.625" customWidth="1"/>
    <col min="7426" max="7426" width="7" customWidth="1"/>
    <col min="7427" max="7427" width="17.75" customWidth="1"/>
    <col min="7428" max="7428" width="10.875" customWidth="1"/>
    <col min="7429" max="7429" width="11.25" customWidth="1"/>
    <col min="7430" max="7430" width="11.5" customWidth="1"/>
    <col min="7431" max="7431" width="11.625" customWidth="1"/>
    <col min="7432" max="7432" width="15.5" customWidth="1"/>
    <col min="7433" max="7433" width="18.75" customWidth="1"/>
    <col min="7434" max="7434" width="15.375" customWidth="1"/>
    <col min="7435" max="7435" width="15.125" customWidth="1"/>
    <col min="7437" max="7437" width="11" customWidth="1"/>
    <col min="7438" max="7438" width="10.625" customWidth="1"/>
    <col min="7439" max="7439" width="9.625" customWidth="1"/>
    <col min="7682" max="7682" width="7" customWidth="1"/>
    <col min="7683" max="7683" width="17.75" customWidth="1"/>
    <col min="7684" max="7684" width="10.875" customWidth="1"/>
    <col min="7685" max="7685" width="11.25" customWidth="1"/>
    <col min="7686" max="7686" width="11.5" customWidth="1"/>
    <col min="7687" max="7687" width="11.625" customWidth="1"/>
    <col min="7688" max="7688" width="15.5" customWidth="1"/>
    <col min="7689" max="7689" width="18.75" customWidth="1"/>
    <col min="7690" max="7690" width="15.375" customWidth="1"/>
    <col min="7691" max="7691" width="15.125" customWidth="1"/>
    <col min="7693" max="7693" width="11" customWidth="1"/>
    <col min="7694" max="7694" width="10.625" customWidth="1"/>
    <col min="7695" max="7695" width="9.625" customWidth="1"/>
    <col min="7938" max="7938" width="7" customWidth="1"/>
    <col min="7939" max="7939" width="17.75" customWidth="1"/>
    <col min="7940" max="7940" width="10.875" customWidth="1"/>
    <col min="7941" max="7941" width="11.25" customWidth="1"/>
    <col min="7942" max="7942" width="11.5" customWidth="1"/>
    <col min="7943" max="7943" width="11.625" customWidth="1"/>
    <col min="7944" max="7944" width="15.5" customWidth="1"/>
    <col min="7945" max="7945" width="18.75" customWidth="1"/>
    <col min="7946" max="7946" width="15.375" customWidth="1"/>
    <col min="7947" max="7947" width="15.125" customWidth="1"/>
    <col min="7949" max="7949" width="11" customWidth="1"/>
    <col min="7950" max="7950" width="10.625" customWidth="1"/>
    <col min="7951" max="7951" width="9.625" customWidth="1"/>
    <col min="8194" max="8194" width="7" customWidth="1"/>
    <col min="8195" max="8195" width="17.75" customWidth="1"/>
    <col min="8196" max="8196" width="10.875" customWidth="1"/>
    <col min="8197" max="8197" width="11.25" customWidth="1"/>
    <col min="8198" max="8198" width="11.5" customWidth="1"/>
    <col min="8199" max="8199" width="11.625" customWidth="1"/>
    <col min="8200" max="8200" width="15.5" customWidth="1"/>
    <col min="8201" max="8201" width="18.75" customWidth="1"/>
    <col min="8202" max="8202" width="15.375" customWidth="1"/>
    <col min="8203" max="8203" width="15.125" customWidth="1"/>
    <col min="8205" max="8205" width="11" customWidth="1"/>
    <col min="8206" max="8206" width="10.625" customWidth="1"/>
    <col min="8207" max="8207" width="9.625" customWidth="1"/>
    <col min="8450" max="8450" width="7" customWidth="1"/>
    <col min="8451" max="8451" width="17.75" customWidth="1"/>
    <col min="8452" max="8452" width="10.875" customWidth="1"/>
    <col min="8453" max="8453" width="11.25" customWidth="1"/>
    <col min="8454" max="8454" width="11.5" customWidth="1"/>
    <col min="8455" max="8455" width="11.625" customWidth="1"/>
    <col min="8456" max="8456" width="15.5" customWidth="1"/>
    <col min="8457" max="8457" width="18.75" customWidth="1"/>
    <col min="8458" max="8458" width="15.375" customWidth="1"/>
    <col min="8459" max="8459" width="15.125" customWidth="1"/>
    <col min="8461" max="8461" width="11" customWidth="1"/>
    <col min="8462" max="8462" width="10.625" customWidth="1"/>
    <col min="8463" max="8463" width="9.625" customWidth="1"/>
    <col min="8706" max="8706" width="7" customWidth="1"/>
    <col min="8707" max="8707" width="17.75" customWidth="1"/>
    <col min="8708" max="8708" width="10.875" customWidth="1"/>
    <col min="8709" max="8709" width="11.25" customWidth="1"/>
    <col min="8710" max="8710" width="11.5" customWidth="1"/>
    <col min="8711" max="8711" width="11.625" customWidth="1"/>
    <col min="8712" max="8712" width="15.5" customWidth="1"/>
    <col min="8713" max="8713" width="18.75" customWidth="1"/>
    <col min="8714" max="8714" width="15.375" customWidth="1"/>
    <col min="8715" max="8715" width="15.125" customWidth="1"/>
    <col min="8717" max="8717" width="11" customWidth="1"/>
    <col min="8718" max="8718" width="10.625" customWidth="1"/>
    <col min="8719" max="8719" width="9.625" customWidth="1"/>
    <col min="8962" max="8962" width="7" customWidth="1"/>
    <col min="8963" max="8963" width="17.75" customWidth="1"/>
    <col min="8964" max="8964" width="10.875" customWidth="1"/>
    <col min="8965" max="8965" width="11.25" customWidth="1"/>
    <col min="8966" max="8966" width="11.5" customWidth="1"/>
    <col min="8967" max="8967" width="11.625" customWidth="1"/>
    <col min="8968" max="8968" width="15.5" customWidth="1"/>
    <col min="8969" max="8969" width="18.75" customWidth="1"/>
    <col min="8970" max="8970" width="15.375" customWidth="1"/>
    <col min="8971" max="8971" width="15.125" customWidth="1"/>
    <col min="8973" max="8973" width="11" customWidth="1"/>
    <col min="8974" max="8974" width="10.625" customWidth="1"/>
    <col min="8975" max="8975" width="9.625" customWidth="1"/>
    <col min="9218" max="9218" width="7" customWidth="1"/>
    <col min="9219" max="9219" width="17.75" customWidth="1"/>
    <col min="9220" max="9220" width="10.875" customWidth="1"/>
    <col min="9221" max="9221" width="11.25" customWidth="1"/>
    <col min="9222" max="9222" width="11.5" customWidth="1"/>
    <col min="9223" max="9223" width="11.625" customWidth="1"/>
    <col min="9224" max="9224" width="15.5" customWidth="1"/>
    <col min="9225" max="9225" width="18.75" customWidth="1"/>
    <col min="9226" max="9226" width="15.375" customWidth="1"/>
    <col min="9227" max="9227" width="15.125" customWidth="1"/>
    <col min="9229" max="9229" width="11" customWidth="1"/>
    <col min="9230" max="9230" width="10.625" customWidth="1"/>
    <col min="9231" max="9231" width="9.625" customWidth="1"/>
    <col min="9474" max="9474" width="7" customWidth="1"/>
    <col min="9475" max="9475" width="17.75" customWidth="1"/>
    <col min="9476" max="9476" width="10.875" customWidth="1"/>
    <col min="9477" max="9477" width="11.25" customWidth="1"/>
    <col min="9478" max="9478" width="11.5" customWidth="1"/>
    <col min="9479" max="9479" width="11.625" customWidth="1"/>
    <col min="9480" max="9480" width="15.5" customWidth="1"/>
    <col min="9481" max="9481" width="18.75" customWidth="1"/>
    <col min="9482" max="9482" width="15.375" customWidth="1"/>
    <col min="9483" max="9483" width="15.125" customWidth="1"/>
    <col min="9485" max="9485" width="11" customWidth="1"/>
    <col min="9486" max="9486" width="10.625" customWidth="1"/>
    <col min="9487" max="9487" width="9.625" customWidth="1"/>
    <col min="9730" max="9730" width="7" customWidth="1"/>
    <col min="9731" max="9731" width="17.75" customWidth="1"/>
    <col min="9732" max="9732" width="10.875" customWidth="1"/>
    <col min="9733" max="9733" width="11.25" customWidth="1"/>
    <col min="9734" max="9734" width="11.5" customWidth="1"/>
    <col min="9735" max="9735" width="11.625" customWidth="1"/>
    <col min="9736" max="9736" width="15.5" customWidth="1"/>
    <col min="9737" max="9737" width="18.75" customWidth="1"/>
    <col min="9738" max="9738" width="15.375" customWidth="1"/>
    <col min="9739" max="9739" width="15.125" customWidth="1"/>
    <col min="9741" max="9741" width="11" customWidth="1"/>
    <col min="9742" max="9742" width="10.625" customWidth="1"/>
    <col min="9743" max="9743" width="9.625" customWidth="1"/>
    <col min="9986" max="9986" width="7" customWidth="1"/>
    <col min="9987" max="9987" width="17.75" customWidth="1"/>
    <col min="9988" max="9988" width="10.875" customWidth="1"/>
    <col min="9989" max="9989" width="11.25" customWidth="1"/>
    <col min="9990" max="9990" width="11.5" customWidth="1"/>
    <col min="9991" max="9991" width="11.625" customWidth="1"/>
    <col min="9992" max="9992" width="15.5" customWidth="1"/>
    <col min="9993" max="9993" width="18.75" customWidth="1"/>
    <col min="9994" max="9994" width="15.375" customWidth="1"/>
    <col min="9995" max="9995" width="15.125" customWidth="1"/>
    <col min="9997" max="9997" width="11" customWidth="1"/>
    <col min="9998" max="9998" width="10.625" customWidth="1"/>
    <col min="9999" max="9999" width="9.625" customWidth="1"/>
    <col min="10242" max="10242" width="7" customWidth="1"/>
    <col min="10243" max="10243" width="17.75" customWidth="1"/>
    <col min="10244" max="10244" width="10.875" customWidth="1"/>
    <col min="10245" max="10245" width="11.25" customWidth="1"/>
    <col min="10246" max="10246" width="11.5" customWidth="1"/>
    <col min="10247" max="10247" width="11.625" customWidth="1"/>
    <col min="10248" max="10248" width="15.5" customWidth="1"/>
    <col min="10249" max="10249" width="18.75" customWidth="1"/>
    <col min="10250" max="10250" width="15.375" customWidth="1"/>
    <col min="10251" max="10251" width="15.125" customWidth="1"/>
    <col min="10253" max="10253" width="11" customWidth="1"/>
    <col min="10254" max="10254" width="10.625" customWidth="1"/>
    <col min="10255" max="10255" width="9.625" customWidth="1"/>
    <col min="10498" max="10498" width="7" customWidth="1"/>
    <col min="10499" max="10499" width="17.75" customWidth="1"/>
    <col min="10500" max="10500" width="10.875" customWidth="1"/>
    <col min="10501" max="10501" width="11.25" customWidth="1"/>
    <col min="10502" max="10502" width="11.5" customWidth="1"/>
    <col min="10503" max="10503" width="11.625" customWidth="1"/>
    <col min="10504" max="10504" width="15.5" customWidth="1"/>
    <col min="10505" max="10505" width="18.75" customWidth="1"/>
    <col min="10506" max="10506" width="15.375" customWidth="1"/>
    <col min="10507" max="10507" width="15.125" customWidth="1"/>
    <col min="10509" max="10509" width="11" customWidth="1"/>
    <col min="10510" max="10510" width="10.625" customWidth="1"/>
    <col min="10511" max="10511" width="9.625" customWidth="1"/>
    <col min="10754" max="10754" width="7" customWidth="1"/>
    <col min="10755" max="10755" width="17.75" customWidth="1"/>
    <col min="10756" max="10756" width="10.875" customWidth="1"/>
    <col min="10757" max="10757" width="11.25" customWidth="1"/>
    <col min="10758" max="10758" width="11.5" customWidth="1"/>
    <col min="10759" max="10759" width="11.625" customWidth="1"/>
    <col min="10760" max="10760" width="15.5" customWidth="1"/>
    <col min="10761" max="10761" width="18.75" customWidth="1"/>
    <col min="10762" max="10762" width="15.375" customWidth="1"/>
    <col min="10763" max="10763" width="15.125" customWidth="1"/>
    <col min="10765" max="10765" width="11" customWidth="1"/>
    <col min="10766" max="10766" width="10.625" customWidth="1"/>
    <col min="10767" max="10767" width="9.625" customWidth="1"/>
    <col min="11010" max="11010" width="7" customWidth="1"/>
    <col min="11011" max="11011" width="17.75" customWidth="1"/>
    <col min="11012" max="11012" width="10.875" customWidth="1"/>
    <col min="11013" max="11013" width="11.25" customWidth="1"/>
    <col min="11014" max="11014" width="11.5" customWidth="1"/>
    <col min="11015" max="11015" width="11.625" customWidth="1"/>
    <col min="11016" max="11016" width="15.5" customWidth="1"/>
    <col min="11017" max="11017" width="18.75" customWidth="1"/>
    <col min="11018" max="11018" width="15.375" customWidth="1"/>
    <col min="11019" max="11019" width="15.125" customWidth="1"/>
    <col min="11021" max="11021" width="11" customWidth="1"/>
    <col min="11022" max="11022" width="10.625" customWidth="1"/>
    <col min="11023" max="11023" width="9.625" customWidth="1"/>
    <col min="11266" max="11266" width="7" customWidth="1"/>
    <col min="11267" max="11267" width="17.75" customWidth="1"/>
    <col min="11268" max="11268" width="10.875" customWidth="1"/>
    <col min="11269" max="11269" width="11.25" customWidth="1"/>
    <col min="11270" max="11270" width="11.5" customWidth="1"/>
    <col min="11271" max="11271" width="11.625" customWidth="1"/>
    <col min="11272" max="11272" width="15.5" customWidth="1"/>
    <col min="11273" max="11273" width="18.75" customWidth="1"/>
    <col min="11274" max="11274" width="15.375" customWidth="1"/>
    <col min="11275" max="11275" width="15.125" customWidth="1"/>
    <col min="11277" max="11277" width="11" customWidth="1"/>
    <col min="11278" max="11278" width="10.625" customWidth="1"/>
    <col min="11279" max="11279" width="9.625" customWidth="1"/>
    <col min="11522" max="11522" width="7" customWidth="1"/>
    <col min="11523" max="11523" width="17.75" customWidth="1"/>
    <col min="11524" max="11524" width="10.875" customWidth="1"/>
    <col min="11525" max="11525" width="11.25" customWidth="1"/>
    <col min="11526" max="11526" width="11.5" customWidth="1"/>
    <col min="11527" max="11527" width="11.625" customWidth="1"/>
    <col min="11528" max="11528" width="15.5" customWidth="1"/>
    <col min="11529" max="11529" width="18.75" customWidth="1"/>
    <col min="11530" max="11530" width="15.375" customWidth="1"/>
    <col min="11531" max="11531" width="15.125" customWidth="1"/>
    <col min="11533" max="11533" width="11" customWidth="1"/>
    <col min="11534" max="11534" width="10.625" customWidth="1"/>
    <col min="11535" max="11535" width="9.625" customWidth="1"/>
    <col min="11778" max="11778" width="7" customWidth="1"/>
    <col min="11779" max="11779" width="17.75" customWidth="1"/>
    <col min="11780" max="11780" width="10.875" customWidth="1"/>
    <col min="11781" max="11781" width="11.25" customWidth="1"/>
    <col min="11782" max="11782" width="11.5" customWidth="1"/>
    <col min="11783" max="11783" width="11.625" customWidth="1"/>
    <col min="11784" max="11784" width="15.5" customWidth="1"/>
    <col min="11785" max="11785" width="18.75" customWidth="1"/>
    <col min="11786" max="11786" width="15.375" customWidth="1"/>
    <col min="11787" max="11787" width="15.125" customWidth="1"/>
    <col min="11789" max="11789" width="11" customWidth="1"/>
    <col min="11790" max="11790" width="10.625" customWidth="1"/>
    <col min="11791" max="11791" width="9.625" customWidth="1"/>
    <col min="12034" max="12034" width="7" customWidth="1"/>
    <col min="12035" max="12035" width="17.75" customWidth="1"/>
    <col min="12036" max="12036" width="10.875" customWidth="1"/>
    <col min="12037" max="12037" width="11.25" customWidth="1"/>
    <col min="12038" max="12038" width="11.5" customWidth="1"/>
    <col min="12039" max="12039" width="11.625" customWidth="1"/>
    <col min="12040" max="12040" width="15.5" customWidth="1"/>
    <col min="12041" max="12041" width="18.75" customWidth="1"/>
    <col min="12042" max="12042" width="15.375" customWidth="1"/>
    <col min="12043" max="12043" width="15.125" customWidth="1"/>
    <col min="12045" max="12045" width="11" customWidth="1"/>
    <col min="12046" max="12046" width="10.625" customWidth="1"/>
    <col min="12047" max="12047" width="9.625" customWidth="1"/>
    <col min="12290" max="12290" width="7" customWidth="1"/>
    <col min="12291" max="12291" width="17.75" customWidth="1"/>
    <col min="12292" max="12292" width="10.875" customWidth="1"/>
    <col min="12293" max="12293" width="11.25" customWidth="1"/>
    <col min="12294" max="12294" width="11.5" customWidth="1"/>
    <col min="12295" max="12295" width="11.625" customWidth="1"/>
    <col min="12296" max="12296" width="15.5" customWidth="1"/>
    <col min="12297" max="12297" width="18.75" customWidth="1"/>
    <col min="12298" max="12298" width="15.375" customWidth="1"/>
    <col min="12299" max="12299" width="15.125" customWidth="1"/>
    <col min="12301" max="12301" width="11" customWidth="1"/>
    <col min="12302" max="12302" width="10.625" customWidth="1"/>
    <col min="12303" max="12303" width="9.625" customWidth="1"/>
    <col min="12546" max="12546" width="7" customWidth="1"/>
    <col min="12547" max="12547" width="17.75" customWidth="1"/>
    <col min="12548" max="12548" width="10.875" customWidth="1"/>
    <col min="12549" max="12549" width="11.25" customWidth="1"/>
    <col min="12550" max="12550" width="11.5" customWidth="1"/>
    <col min="12551" max="12551" width="11.625" customWidth="1"/>
    <col min="12552" max="12552" width="15.5" customWidth="1"/>
    <col min="12553" max="12553" width="18.75" customWidth="1"/>
    <col min="12554" max="12554" width="15.375" customWidth="1"/>
    <col min="12555" max="12555" width="15.125" customWidth="1"/>
    <col min="12557" max="12557" width="11" customWidth="1"/>
    <col min="12558" max="12558" width="10.625" customWidth="1"/>
    <col min="12559" max="12559" width="9.625" customWidth="1"/>
    <col min="12802" max="12802" width="7" customWidth="1"/>
    <col min="12803" max="12803" width="17.75" customWidth="1"/>
    <col min="12804" max="12804" width="10.875" customWidth="1"/>
    <col min="12805" max="12805" width="11.25" customWidth="1"/>
    <col min="12806" max="12806" width="11.5" customWidth="1"/>
    <col min="12807" max="12807" width="11.625" customWidth="1"/>
    <col min="12808" max="12808" width="15.5" customWidth="1"/>
    <col min="12809" max="12809" width="18.75" customWidth="1"/>
    <col min="12810" max="12810" width="15.375" customWidth="1"/>
    <col min="12811" max="12811" width="15.125" customWidth="1"/>
    <col min="12813" max="12813" width="11" customWidth="1"/>
    <col min="12814" max="12814" width="10.625" customWidth="1"/>
    <col min="12815" max="12815" width="9.625" customWidth="1"/>
    <col min="13058" max="13058" width="7" customWidth="1"/>
    <col min="13059" max="13059" width="17.75" customWidth="1"/>
    <col min="13060" max="13060" width="10.875" customWidth="1"/>
    <col min="13061" max="13061" width="11.25" customWidth="1"/>
    <col min="13062" max="13062" width="11.5" customWidth="1"/>
    <col min="13063" max="13063" width="11.625" customWidth="1"/>
    <col min="13064" max="13064" width="15.5" customWidth="1"/>
    <col min="13065" max="13065" width="18.75" customWidth="1"/>
    <col min="13066" max="13066" width="15.375" customWidth="1"/>
    <col min="13067" max="13067" width="15.125" customWidth="1"/>
    <col min="13069" max="13069" width="11" customWidth="1"/>
    <col min="13070" max="13070" width="10.625" customWidth="1"/>
    <col min="13071" max="13071" width="9.625" customWidth="1"/>
    <col min="13314" max="13314" width="7" customWidth="1"/>
    <col min="13315" max="13315" width="17.75" customWidth="1"/>
    <col min="13316" max="13316" width="10.875" customWidth="1"/>
    <col min="13317" max="13317" width="11.25" customWidth="1"/>
    <col min="13318" max="13318" width="11.5" customWidth="1"/>
    <col min="13319" max="13319" width="11.625" customWidth="1"/>
    <col min="13320" max="13320" width="15.5" customWidth="1"/>
    <col min="13321" max="13321" width="18.75" customWidth="1"/>
    <col min="13322" max="13322" width="15.375" customWidth="1"/>
    <col min="13323" max="13323" width="15.125" customWidth="1"/>
    <col min="13325" max="13325" width="11" customWidth="1"/>
    <col min="13326" max="13326" width="10.625" customWidth="1"/>
    <col min="13327" max="13327" width="9.625" customWidth="1"/>
    <col min="13570" max="13570" width="7" customWidth="1"/>
    <col min="13571" max="13571" width="17.75" customWidth="1"/>
    <col min="13572" max="13572" width="10.875" customWidth="1"/>
    <col min="13573" max="13573" width="11.25" customWidth="1"/>
    <col min="13574" max="13574" width="11.5" customWidth="1"/>
    <col min="13575" max="13575" width="11.625" customWidth="1"/>
    <col min="13576" max="13576" width="15.5" customWidth="1"/>
    <col min="13577" max="13577" width="18.75" customWidth="1"/>
    <col min="13578" max="13578" width="15.375" customWidth="1"/>
    <col min="13579" max="13579" width="15.125" customWidth="1"/>
    <col min="13581" max="13581" width="11" customWidth="1"/>
    <col min="13582" max="13582" width="10.625" customWidth="1"/>
    <col min="13583" max="13583" width="9.625" customWidth="1"/>
    <col min="13826" max="13826" width="7" customWidth="1"/>
    <col min="13827" max="13827" width="17.75" customWidth="1"/>
    <col min="13828" max="13828" width="10.875" customWidth="1"/>
    <col min="13829" max="13829" width="11.25" customWidth="1"/>
    <col min="13830" max="13830" width="11.5" customWidth="1"/>
    <col min="13831" max="13831" width="11.625" customWidth="1"/>
    <col min="13832" max="13832" width="15.5" customWidth="1"/>
    <col min="13833" max="13833" width="18.75" customWidth="1"/>
    <col min="13834" max="13834" width="15.375" customWidth="1"/>
    <col min="13835" max="13835" width="15.125" customWidth="1"/>
    <col min="13837" max="13837" width="11" customWidth="1"/>
    <col min="13838" max="13838" width="10.625" customWidth="1"/>
    <col min="13839" max="13839" width="9.625" customWidth="1"/>
    <col min="14082" max="14082" width="7" customWidth="1"/>
    <col min="14083" max="14083" width="17.75" customWidth="1"/>
    <col min="14084" max="14084" width="10.875" customWidth="1"/>
    <col min="14085" max="14085" width="11.25" customWidth="1"/>
    <col min="14086" max="14086" width="11.5" customWidth="1"/>
    <col min="14087" max="14087" width="11.625" customWidth="1"/>
    <col min="14088" max="14088" width="15.5" customWidth="1"/>
    <col min="14089" max="14089" width="18.75" customWidth="1"/>
    <col min="14090" max="14090" width="15.375" customWidth="1"/>
    <col min="14091" max="14091" width="15.125" customWidth="1"/>
    <col min="14093" max="14093" width="11" customWidth="1"/>
    <col min="14094" max="14094" width="10.625" customWidth="1"/>
    <col min="14095" max="14095" width="9.625" customWidth="1"/>
    <col min="14338" max="14338" width="7" customWidth="1"/>
    <col min="14339" max="14339" width="17.75" customWidth="1"/>
    <col min="14340" max="14340" width="10.875" customWidth="1"/>
    <col min="14341" max="14341" width="11.25" customWidth="1"/>
    <col min="14342" max="14342" width="11.5" customWidth="1"/>
    <col min="14343" max="14343" width="11.625" customWidth="1"/>
    <col min="14344" max="14344" width="15.5" customWidth="1"/>
    <col min="14345" max="14345" width="18.75" customWidth="1"/>
    <col min="14346" max="14346" width="15.375" customWidth="1"/>
    <col min="14347" max="14347" width="15.125" customWidth="1"/>
    <col min="14349" max="14349" width="11" customWidth="1"/>
    <col min="14350" max="14350" width="10.625" customWidth="1"/>
    <col min="14351" max="14351" width="9.625" customWidth="1"/>
    <col min="14594" max="14594" width="7" customWidth="1"/>
    <col min="14595" max="14595" width="17.75" customWidth="1"/>
    <col min="14596" max="14596" width="10.875" customWidth="1"/>
    <col min="14597" max="14597" width="11.25" customWidth="1"/>
    <col min="14598" max="14598" width="11.5" customWidth="1"/>
    <col min="14599" max="14599" width="11.625" customWidth="1"/>
    <col min="14600" max="14600" width="15.5" customWidth="1"/>
    <col min="14601" max="14601" width="18.75" customWidth="1"/>
    <col min="14602" max="14602" width="15.375" customWidth="1"/>
    <col min="14603" max="14603" width="15.125" customWidth="1"/>
    <col min="14605" max="14605" width="11" customWidth="1"/>
    <col min="14606" max="14606" width="10.625" customWidth="1"/>
    <col min="14607" max="14607" width="9.625" customWidth="1"/>
    <col min="14850" max="14850" width="7" customWidth="1"/>
    <col min="14851" max="14851" width="17.75" customWidth="1"/>
    <col min="14852" max="14852" width="10.875" customWidth="1"/>
    <col min="14853" max="14853" width="11.25" customWidth="1"/>
    <col min="14854" max="14854" width="11.5" customWidth="1"/>
    <col min="14855" max="14855" width="11.625" customWidth="1"/>
    <col min="14856" max="14856" width="15.5" customWidth="1"/>
    <col min="14857" max="14857" width="18.75" customWidth="1"/>
    <col min="14858" max="14858" width="15.375" customWidth="1"/>
    <col min="14859" max="14859" width="15.125" customWidth="1"/>
    <col min="14861" max="14861" width="11" customWidth="1"/>
    <col min="14862" max="14862" width="10.625" customWidth="1"/>
    <col min="14863" max="14863" width="9.625" customWidth="1"/>
    <col min="15106" max="15106" width="7" customWidth="1"/>
    <col min="15107" max="15107" width="17.75" customWidth="1"/>
    <col min="15108" max="15108" width="10.875" customWidth="1"/>
    <col min="15109" max="15109" width="11.25" customWidth="1"/>
    <col min="15110" max="15110" width="11.5" customWidth="1"/>
    <col min="15111" max="15111" width="11.625" customWidth="1"/>
    <col min="15112" max="15112" width="15.5" customWidth="1"/>
    <col min="15113" max="15113" width="18.75" customWidth="1"/>
    <col min="15114" max="15114" width="15.375" customWidth="1"/>
    <col min="15115" max="15115" width="15.125" customWidth="1"/>
    <col min="15117" max="15117" width="11" customWidth="1"/>
    <col min="15118" max="15118" width="10.625" customWidth="1"/>
    <col min="15119" max="15119" width="9.625" customWidth="1"/>
    <col min="15362" max="15362" width="7" customWidth="1"/>
    <col min="15363" max="15363" width="17.75" customWidth="1"/>
    <col min="15364" max="15364" width="10.875" customWidth="1"/>
    <col min="15365" max="15365" width="11.25" customWidth="1"/>
    <col min="15366" max="15366" width="11.5" customWidth="1"/>
    <col min="15367" max="15367" width="11.625" customWidth="1"/>
    <col min="15368" max="15368" width="15.5" customWidth="1"/>
    <col min="15369" max="15369" width="18.75" customWidth="1"/>
    <col min="15370" max="15370" width="15.375" customWidth="1"/>
    <col min="15371" max="15371" width="15.125" customWidth="1"/>
    <col min="15373" max="15373" width="11" customWidth="1"/>
    <col min="15374" max="15374" width="10.625" customWidth="1"/>
    <col min="15375" max="15375" width="9.625" customWidth="1"/>
    <col min="15618" max="15618" width="7" customWidth="1"/>
    <col min="15619" max="15619" width="17.75" customWidth="1"/>
    <col min="15620" max="15620" width="10.875" customWidth="1"/>
    <col min="15621" max="15621" width="11.25" customWidth="1"/>
    <col min="15622" max="15622" width="11.5" customWidth="1"/>
    <col min="15623" max="15623" width="11.625" customWidth="1"/>
    <col min="15624" max="15624" width="15.5" customWidth="1"/>
    <col min="15625" max="15625" width="18.75" customWidth="1"/>
    <col min="15626" max="15626" width="15.375" customWidth="1"/>
    <col min="15627" max="15627" width="15.125" customWidth="1"/>
    <col min="15629" max="15629" width="11" customWidth="1"/>
    <col min="15630" max="15630" width="10.625" customWidth="1"/>
    <col min="15631" max="15631" width="9.625" customWidth="1"/>
    <col min="15874" max="15874" width="7" customWidth="1"/>
    <col min="15875" max="15875" width="17.75" customWidth="1"/>
    <col min="15876" max="15876" width="10.875" customWidth="1"/>
    <col min="15877" max="15877" width="11.25" customWidth="1"/>
    <col min="15878" max="15878" width="11.5" customWidth="1"/>
    <col min="15879" max="15879" width="11.625" customWidth="1"/>
    <col min="15880" max="15880" width="15.5" customWidth="1"/>
    <col min="15881" max="15881" width="18.75" customWidth="1"/>
    <col min="15882" max="15882" width="15.375" customWidth="1"/>
    <col min="15883" max="15883" width="15.125" customWidth="1"/>
    <col min="15885" max="15885" width="11" customWidth="1"/>
    <col min="15886" max="15886" width="10.625" customWidth="1"/>
    <col min="15887" max="15887" width="9.625" customWidth="1"/>
    <col min="16130" max="16130" width="7" customWidth="1"/>
    <col min="16131" max="16131" width="17.75" customWidth="1"/>
    <col min="16132" max="16132" width="10.875" customWidth="1"/>
    <col min="16133" max="16133" width="11.25" customWidth="1"/>
    <col min="16134" max="16134" width="11.5" customWidth="1"/>
    <col min="16135" max="16135" width="11.625" customWidth="1"/>
    <col min="16136" max="16136" width="15.5" customWidth="1"/>
    <col min="16137" max="16137" width="18.75" customWidth="1"/>
    <col min="16138" max="16138" width="15.375" customWidth="1"/>
    <col min="16139" max="16139" width="15.125" customWidth="1"/>
    <col min="16141" max="16141" width="11" customWidth="1"/>
    <col min="16142" max="16142" width="10.625" customWidth="1"/>
    <col min="16143" max="16143" width="9.625" customWidth="1"/>
  </cols>
  <sheetData>
    <row r="1" spans="1:15" ht="18.75" x14ac:dyDescent="0.3">
      <c r="G1" s="1" t="s">
        <v>0</v>
      </c>
      <c r="N1" t="s">
        <v>1</v>
      </c>
    </row>
    <row r="2" spans="1:15" ht="18.75" x14ac:dyDescent="0.3">
      <c r="G2" s="1"/>
    </row>
    <row r="3" spans="1:15" ht="18.75" x14ac:dyDescent="0.3">
      <c r="A3" s="545" t="s">
        <v>2</v>
      </c>
      <c r="B3" s="545"/>
      <c r="C3" t="s">
        <v>38</v>
      </c>
      <c r="G3" s="1"/>
    </row>
    <row r="4" spans="1:15" ht="18.75" x14ac:dyDescent="0.3">
      <c r="A4" s="545" t="s">
        <v>3</v>
      </c>
      <c r="B4" s="545"/>
      <c r="C4" t="s">
        <v>40</v>
      </c>
      <c r="G4" s="1"/>
    </row>
    <row r="5" spans="1:15" ht="18.75" x14ac:dyDescent="0.3">
      <c r="A5" s="545" t="s">
        <v>4</v>
      </c>
      <c r="B5" s="545"/>
      <c r="C5" t="s">
        <v>41</v>
      </c>
      <c r="G5" s="1"/>
      <c r="H5" s="29"/>
    </row>
    <row r="6" spans="1:15" ht="18.75" x14ac:dyDescent="0.3">
      <c r="A6" s="545" t="s">
        <v>5</v>
      </c>
      <c r="B6" s="545"/>
      <c r="C6" s="13" t="s">
        <v>236</v>
      </c>
      <c r="G6" s="1"/>
    </row>
    <row r="7" spans="1:15" x14ac:dyDescent="0.25">
      <c r="A7" s="108"/>
      <c r="B7" s="108"/>
    </row>
    <row r="8" spans="1:15" x14ac:dyDescent="0.25">
      <c r="A8" s="108" t="s">
        <v>6</v>
      </c>
      <c r="B8" s="108"/>
    </row>
    <row r="9" spans="1:15" ht="24.75" customHeight="1" x14ac:dyDescent="0.25">
      <c r="A9" s="161" t="s">
        <v>7</v>
      </c>
      <c r="B9" s="538" t="s">
        <v>8</v>
      </c>
      <c r="C9" s="538"/>
      <c r="D9" s="161" t="s">
        <v>9</v>
      </c>
      <c r="E9" s="161" t="s">
        <v>10</v>
      </c>
      <c r="F9" s="541" t="s">
        <v>11</v>
      </c>
      <c r="G9" s="541" t="s">
        <v>12</v>
      </c>
      <c r="H9" s="161" t="s">
        <v>13</v>
      </c>
      <c r="I9" s="161"/>
      <c r="J9" s="161" t="s">
        <v>15</v>
      </c>
      <c r="K9" s="161" t="s">
        <v>16</v>
      </c>
      <c r="L9" s="544" t="s">
        <v>17</v>
      </c>
      <c r="M9" s="544"/>
      <c r="N9" s="544"/>
      <c r="O9" s="161" t="s">
        <v>18</v>
      </c>
    </row>
    <row r="10" spans="1:15" x14ac:dyDescent="0.25">
      <c r="A10" s="542" t="s">
        <v>19</v>
      </c>
      <c r="B10" s="546" t="s">
        <v>20</v>
      </c>
      <c r="C10" s="547"/>
      <c r="D10" s="542" t="s">
        <v>21</v>
      </c>
      <c r="E10" s="542" t="s">
        <v>22</v>
      </c>
      <c r="F10" s="542"/>
      <c r="G10" s="542"/>
      <c r="H10" s="104" t="s">
        <v>23</v>
      </c>
      <c r="I10" s="104" t="s">
        <v>14</v>
      </c>
      <c r="J10" s="104" t="s">
        <v>24</v>
      </c>
      <c r="K10" s="104" t="s">
        <v>25</v>
      </c>
      <c r="L10" s="104" t="s">
        <v>26</v>
      </c>
      <c r="M10" s="104" t="s">
        <v>27</v>
      </c>
      <c r="N10" s="104" t="s">
        <v>28</v>
      </c>
      <c r="O10" s="539" t="s">
        <v>29</v>
      </c>
    </row>
    <row r="11" spans="1:15" x14ac:dyDescent="0.25">
      <c r="A11" s="543"/>
      <c r="B11" s="548"/>
      <c r="C11" s="549"/>
      <c r="D11" s="543"/>
      <c r="E11" s="543"/>
      <c r="F11" s="543"/>
      <c r="G11" s="543"/>
      <c r="H11" s="105" t="s">
        <v>30</v>
      </c>
      <c r="I11" s="105"/>
      <c r="J11" s="105" t="s">
        <v>31</v>
      </c>
      <c r="K11" s="105" t="s">
        <v>32</v>
      </c>
      <c r="L11" s="105" t="s">
        <v>33</v>
      </c>
      <c r="M11" s="105" t="s">
        <v>34</v>
      </c>
      <c r="N11" s="105" t="s">
        <v>35</v>
      </c>
      <c r="O11" s="540"/>
    </row>
    <row r="12" spans="1:15" x14ac:dyDescent="0.25">
      <c r="A12" s="47">
        <v>1</v>
      </c>
      <c r="B12" s="536">
        <v>2</v>
      </c>
      <c r="C12" s="537"/>
      <c r="D12" s="162">
        <v>3</v>
      </c>
      <c r="E12" s="162">
        <v>4</v>
      </c>
      <c r="F12" s="163">
        <v>5</v>
      </c>
      <c r="G12" s="163">
        <v>6</v>
      </c>
      <c r="H12" s="104">
        <v>7</v>
      </c>
      <c r="I12" s="104">
        <v>8</v>
      </c>
      <c r="J12" s="104">
        <v>9</v>
      </c>
      <c r="K12" s="104">
        <v>10</v>
      </c>
      <c r="L12" s="104">
        <v>11</v>
      </c>
      <c r="M12" s="104">
        <v>12</v>
      </c>
      <c r="N12" s="104">
        <v>13</v>
      </c>
      <c r="O12" s="162">
        <v>14</v>
      </c>
    </row>
    <row r="13" spans="1:15" ht="31.5" x14ac:dyDescent="0.25">
      <c r="A13" s="7">
        <v>1</v>
      </c>
      <c r="B13" s="534" t="s">
        <v>104</v>
      </c>
      <c r="C13" s="535"/>
      <c r="D13" s="40" t="s">
        <v>100</v>
      </c>
      <c r="E13" s="41"/>
      <c r="F13" s="41"/>
      <c r="G13" s="42" t="s">
        <v>56</v>
      </c>
      <c r="H13" s="43">
        <v>2006</v>
      </c>
      <c r="I13" s="43" t="s">
        <v>105</v>
      </c>
      <c r="J13" s="44" t="s">
        <v>43</v>
      </c>
      <c r="K13" s="63">
        <v>1220000</v>
      </c>
      <c r="L13" s="43" t="s">
        <v>26</v>
      </c>
      <c r="M13" s="41"/>
      <c r="N13" s="41"/>
      <c r="O13" s="40" t="s">
        <v>488</v>
      </c>
    </row>
    <row r="14" spans="1:15" ht="47.25" x14ac:dyDescent="0.25">
      <c r="A14" s="7">
        <f>A13+1</f>
        <v>2</v>
      </c>
      <c r="B14" s="534" t="s">
        <v>104</v>
      </c>
      <c r="C14" s="535"/>
      <c r="D14" s="40" t="s">
        <v>100</v>
      </c>
      <c r="E14" s="41"/>
      <c r="F14" s="41"/>
      <c r="G14" s="42" t="s">
        <v>56</v>
      </c>
      <c r="H14" s="43">
        <v>2006</v>
      </c>
      <c r="I14" s="43" t="s">
        <v>105</v>
      </c>
      <c r="J14" s="44" t="s">
        <v>74</v>
      </c>
      <c r="K14" s="63">
        <v>1220000</v>
      </c>
      <c r="L14" s="43" t="s">
        <v>26</v>
      </c>
      <c r="M14" s="41"/>
      <c r="N14" s="41"/>
      <c r="O14" s="40" t="s">
        <v>489</v>
      </c>
    </row>
    <row r="15" spans="1:15" ht="31.5" x14ac:dyDescent="0.25">
      <c r="A15" s="7">
        <f t="shared" ref="A15:A72" si="0">A14+1</f>
        <v>3</v>
      </c>
      <c r="B15" s="443" t="s">
        <v>222</v>
      </c>
      <c r="C15" s="444"/>
      <c r="D15" s="38" t="s">
        <v>223</v>
      </c>
      <c r="E15" s="12"/>
      <c r="F15" s="12"/>
      <c r="G15" s="47" t="s">
        <v>56</v>
      </c>
      <c r="H15" s="9">
        <v>1997</v>
      </c>
      <c r="I15" s="9" t="s">
        <v>210</v>
      </c>
      <c r="J15" s="11" t="s">
        <v>54</v>
      </c>
      <c r="K15" s="33" t="s">
        <v>211</v>
      </c>
      <c r="L15" s="9" t="s">
        <v>26</v>
      </c>
      <c r="M15" s="32"/>
      <c r="N15" s="12"/>
      <c r="O15" s="32" t="s">
        <v>490</v>
      </c>
    </row>
    <row r="16" spans="1:15" ht="31.5" x14ac:dyDescent="0.25">
      <c r="A16" s="7">
        <f t="shared" si="0"/>
        <v>4</v>
      </c>
      <c r="B16" s="443" t="s">
        <v>122</v>
      </c>
      <c r="C16" s="444"/>
      <c r="D16" s="26" t="s">
        <v>123</v>
      </c>
      <c r="E16" s="12"/>
      <c r="F16" s="12"/>
      <c r="G16" s="30" t="s">
        <v>56</v>
      </c>
      <c r="H16" s="9">
        <v>2009</v>
      </c>
      <c r="I16" s="9" t="s">
        <v>124</v>
      </c>
      <c r="J16" s="11" t="s">
        <v>43</v>
      </c>
      <c r="K16" s="20">
        <v>350000</v>
      </c>
      <c r="L16" s="9" t="s">
        <v>26</v>
      </c>
      <c r="M16" s="12"/>
      <c r="N16" s="4"/>
      <c r="O16" s="32" t="s">
        <v>491</v>
      </c>
    </row>
    <row r="17" spans="1:15" ht="31.5" x14ac:dyDescent="0.25">
      <c r="A17" s="7">
        <f t="shared" si="0"/>
        <v>5</v>
      </c>
      <c r="B17" s="443" t="s">
        <v>122</v>
      </c>
      <c r="C17" s="444"/>
      <c r="D17" s="26" t="s">
        <v>266</v>
      </c>
      <c r="E17" s="12"/>
      <c r="F17" s="12"/>
      <c r="G17" s="30" t="s">
        <v>267</v>
      </c>
      <c r="H17" s="9">
        <v>2014</v>
      </c>
      <c r="I17" s="9" t="s">
        <v>124</v>
      </c>
      <c r="J17" s="11" t="s">
        <v>111</v>
      </c>
      <c r="K17" s="20">
        <v>743915</v>
      </c>
      <c r="L17" s="9" t="s">
        <v>26</v>
      </c>
      <c r="M17" s="12"/>
      <c r="N17" s="4"/>
      <c r="O17" s="32" t="s">
        <v>492</v>
      </c>
    </row>
    <row r="18" spans="1:15" ht="31.5" x14ac:dyDescent="0.25">
      <c r="A18" s="7">
        <f t="shared" si="0"/>
        <v>6</v>
      </c>
      <c r="B18" s="443" t="s">
        <v>122</v>
      </c>
      <c r="C18" s="444"/>
      <c r="D18" s="26" t="s">
        <v>266</v>
      </c>
      <c r="E18" s="12"/>
      <c r="F18" s="12"/>
      <c r="G18" s="30" t="s">
        <v>267</v>
      </c>
      <c r="H18" s="9">
        <v>2014</v>
      </c>
      <c r="I18" s="9" t="s">
        <v>124</v>
      </c>
      <c r="J18" s="11" t="s">
        <v>60</v>
      </c>
      <c r="K18" s="20">
        <v>743917</v>
      </c>
      <c r="L18" s="9" t="s">
        <v>26</v>
      </c>
      <c r="M18" s="12"/>
      <c r="N18" s="4"/>
      <c r="O18" s="32" t="s">
        <v>493</v>
      </c>
    </row>
    <row r="19" spans="1:15" ht="47.25" x14ac:dyDescent="0.25">
      <c r="A19" s="7">
        <f t="shared" si="0"/>
        <v>7</v>
      </c>
      <c r="B19" s="443" t="s">
        <v>61</v>
      </c>
      <c r="C19" s="444"/>
      <c r="D19" s="26" t="s">
        <v>381</v>
      </c>
      <c r="E19" s="12"/>
      <c r="F19" s="12"/>
      <c r="G19" s="30" t="s">
        <v>50</v>
      </c>
      <c r="H19" s="9">
        <v>2013</v>
      </c>
      <c r="I19" s="9" t="s">
        <v>62</v>
      </c>
      <c r="J19" s="11" t="s">
        <v>204</v>
      </c>
      <c r="K19" s="20">
        <v>486971.68</v>
      </c>
      <c r="L19" s="9" t="s">
        <v>26</v>
      </c>
      <c r="M19" s="12"/>
      <c r="N19" s="4"/>
      <c r="O19" s="32" t="s">
        <v>292</v>
      </c>
    </row>
    <row r="20" spans="1:15" ht="31.5" x14ac:dyDescent="0.25">
      <c r="A20" s="7">
        <f t="shared" si="0"/>
        <v>8</v>
      </c>
      <c r="B20" s="443" t="s">
        <v>61</v>
      </c>
      <c r="C20" s="444"/>
      <c r="D20" s="26" t="s">
        <v>269</v>
      </c>
      <c r="E20" s="12"/>
      <c r="F20" s="12"/>
      <c r="G20" s="30" t="s">
        <v>50</v>
      </c>
      <c r="H20" s="9">
        <v>2014</v>
      </c>
      <c r="I20" s="9" t="s">
        <v>62</v>
      </c>
      <c r="J20" s="11" t="s">
        <v>130</v>
      </c>
      <c r="K20" s="20">
        <v>794180</v>
      </c>
      <c r="L20" s="9" t="s">
        <v>26</v>
      </c>
      <c r="M20" s="12"/>
      <c r="N20" s="4"/>
      <c r="O20" s="32" t="s">
        <v>494</v>
      </c>
    </row>
    <row r="21" spans="1:15" ht="47.25" x14ac:dyDescent="0.25">
      <c r="A21" s="7">
        <f t="shared" si="0"/>
        <v>9</v>
      </c>
      <c r="B21" s="443" t="s">
        <v>61</v>
      </c>
      <c r="C21" s="444"/>
      <c r="D21" s="26" t="s">
        <v>269</v>
      </c>
      <c r="E21" s="12"/>
      <c r="F21" s="12"/>
      <c r="G21" s="30" t="s">
        <v>50</v>
      </c>
      <c r="H21" s="9">
        <v>2014</v>
      </c>
      <c r="I21" s="9" t="s">
        <v>62</v>
      </c>
      <c r="J21" s="11" t="s">
        <v>380</v>
      </c>
      <c r="K21" s="20">
        <v>794180</v>
      </c>
      <c r="L21" s="9" t="s">
        <v>26</v>
      </c>
      <c r="M21" s="12"/>
      <c r="N21" s="4"/>
      <c r="O21" s="26" t="s">
        <v>509</v>
      </c>
    </row>
    <row r="22" spans="1:15" ht="31.5" x14ac:dyDescent="0.25">
      <c r="A22" s="7">
        <f t="shared" si="0"/>
        <v>10</v>
      </c>
      <c r="B22" s="443" t="s">
        <v>61</v>
      </c>
      <c r="C22" s="444"/>
      <c r="D22" s="26" t="s">
        <v>269</v>
      </c>
      <c r="E22" s="12"/>
      <c r="F22" s="12"/>
      <c r="G22" s="30" t="s">
        <v>50</v>
      </c>
      <c r="H22" s="9">
        <v>2014</v>
      </c>
      <c r="I22" s="9" t="s">
        <v>62</v>
      </c>
      <c r="J22" s="11" t="s">
        <v>268</v>
      </c>
      <c r="K22" s="20">
        <v>794180</v>
      </c>
      <c r="L22" s="9" t="s">
        <v>26</v>
      </c>
      <c r="M22" s="12"/>
      <c r="N22" s="4"/>
      <c r="O22" s="32" t="s">
        <v>495</v>
      </c>
    </row>
    <row r="23" spans="1:15" x14ac:dyDescent="0.25">
      <c r="A23" s="7">
        <f t="shared" si="0"/>
        <v>11</v>
      </c>
      <c r="B23" s="443" t="s">
        <v>94</v>
      </c>
      <c r="C23" s="444"/>
      <c r="D23" s="10" t="s">
        <v>95</v>
      </c>
      <c r="E23" s="12"/>
      <c r="F23" s="12"/>
      <c r="G23" s="9"/>
      <c r="H23" s="9">
        <v>2018</v>
      </c>
      <c r="I23" s="9" t="s">
        <v>96</v>
      </c>
      <c r="J23" s="11" t="s">
        <v>125</v>
      </c>
      <c r="K23" s="20">
        <v>333232</v>
      </c>
      <c r="L23" s="9" t="s">
        <v>26</v>
      </c>
      <c r="M23" s="12"/>
      <c r="N23" s="12"/>
      <c r="O23" s="32" t="s">
        <v>496</v>
      </c>
    </row>
    <row r="24" spans="1:15" x14ac:dyDescent="0.25">
      <c r="A24" s="7">
        <f t="shared" si="0"/>
        <v>12</v>
      </c>
      <c r="B24" s="443" t="s">
        <v>94</v>
      </c>
      <c r="C24" s="444"/>
      <c r="D24" s="10" t="s">
        <v>95</v>
      </c>
      <c r="E24" s="12"/>
      <c r="F24" s="12"/>
      <c r="G24" s="9"/>
      <c r="H24" s="9">
        <v>2018</v>
      </c>
      <c r="I24" s="9" t="s">
        <v>96</v>
      </c>
      <c r="J24" s="11" t="s">
        <v>74</v>
      </c>
      <c r="K24" s="20">
        <v>333232</v>
      </c>
      <c r="L24" s="9" t="s">
        <v>26</v>
      </c>
      <c r="M24" s="12"/>
      <c r="N24" s="12"/>
      <c r="O24" s="32" t="s">
        <v>497</v>
      </c>
    </row>
    <row r="25" spans="1:15" x14ac:dyDescent="0.25">
      <c r="A25" s="7">
        <f t="shared" si="0"/>
        <v>13</v>
      </c>
      <c r="B25" s="443" t="s">
        <v>94</v>
      </c>
      <c r="C25" s="444"/>
      <c r="D25" s="10" t="s">
        <v>95</v>
      </c>
      <c r="E25" s="12"/>
      <c r="F25" s="12"/>
      <c r="G25" s="9"/>
      <c r="H25" s="9">
        <v>2018</v>
      </c>
      <c r="I25" s="9" t="s">
        <v>96</v>
      </c>
      <c r="J25" s="11" t="s">
        <v>166</v>
      </c>
      <c r="K25" s="20">
        <v>333232</v>
      </c>
      <c r="L25" s="9" t="s">
        <v>26</v>
      </c>
      <c r="M25" s="12"/>
      <c r="N25" s="12"/>
      <c r="O25" s="32" t="s">
        <v>498</v>
      </c>
    </row>
    <row r="26" spans="1:15" ht="78.75" x14ac:dyDescent="0.25">
      <c r="A26" s="7">
        <f t="shared" si="0"/>
        <v>14</v>
      </c>
      <c r="B26" s="534" t="s">
        <v>133</v>
      </c>
      <c r="C26" s="535"/>
      <c r="D26" s="40" t="s">
        <v>253</v>
      </c>
      <c r="E26" s="41"/>
      <c r="F26" s="41"/>
      <c r="G26" s="42" t="s">
        <v>50</v>
      </c>
      <c r="H26" s="42" t="s">
        <v>254</v>
      </c>
      <c r="I26" s="43" t="s">
        <v>136</v>
      </c>
      <c r="J26" s="44" t="s">
        <v>110</v>
      </c>
      <c r="K26" s="63">
        <v>3980000</v>
      </c>
      <c r="L26" s="43" t="s">
        <v>26</v>
      </c>
      <c r="M26" s="41"/>
      <c r="N26" s="45"/>
      <c r="O26" s="109" t="s">
        <v>499</v>
      </c>
    </row>
    <row r="27" spans="1:15" ht="110.25" x14ac:dyDescent="0.25">
      <c r="A27" s="7">
        <f t="shared" si="0"/>
        <v>15</v>
      </c>
      <c r="B27" s="443" t="s">
        <v>133</v>
      </c>
      <c r="C27" s="444"/>
      <c r="D27" s="26" t="s">
        <v>299</v>
      </c>
      <c r="E27" s="32"/>
      <c r="F27" s="32"/>
      <c r="G27" s="30" t="s">
        <v>50</v>
      </c>
      <c r="H27" s="9">
        <v>2013</v>
      </c>
      <c r="I27" s="9" t="s">
        <v>136</v>
      </c>
      <c r="J27" s="11" t="s">
        <v>137</v>
      </c>
      <c r="K27" s="20">
        <v>3922641.51</v>
      </c>
      <c r="L27" s="9" t="s">
        <v>26</v>
      </c>
      <c r="M27" s="32"/>
      <c r="N27" s="32"/>
      <c r="O27" s="32" t="s">
        <v>500</v>
      </c>
    </row>
    <row r="38" spans="1:15" x14ac:dyDescent="0.25">
      <c r="A38" s="161" t="s">
        <v>7</v>
      </c>
      <c r="B38" s="538" t="s">
        <v>8</v>
      </c>
      <c r="C38" s="538"/>
      <c r="D38" s="161" t="s">
        <v>9</v>
      </c>
      <c r="E38" s="161" t="s">
        <v>10</v>
      </c>
      <c r="F38" s="541" t="s">
        <v>11</v>
      </c>
      <c r="G38" s="541" t="s">
        <v>12</v>
      </c>
      <c r="H38" s="161" t="s">
        <v>13</v>
      </c>
      <c r="I38" s="161"/>
      <c r="J38" s="161" t="s">
        <v>15</v>
      </c>
      <c r="K38" s="161" t="s">
        <v>16</v>
      </c>
      <c r="L38" s="544" t="s">
        <v>17</v>
      </c>
      <c r="M38" s="544"/>
      <c r="N38" s="544"/>
      <c r="O38" s="161" t="s">
        <v>18</v>
      </c>
    </row>
    <row r="39" spans="1:15" x14ac:dyDescent="0.25">
      <c r="A39" s="542" t="s">
        <v>19</v>
      </c>
      <c r="B39" s="546" t="s">
        <v>20</v>
      </c>
      <c r="C39" s="547"/>
      <c r="D39" s="542" t="s">
        <v>21</v>
      </c>
      <c r="E39" s="542" t="s">
        <v>22</v>
      </c>
      <c r="F39" s="542"/>
      <c r="G39" s="542"/>
      <c r="H39" s="104" t="s">
        <v>23</v>
      </c>
      <c r="I39" s="104" t="s">
        <v>14</v>
      </c>
      <c r="J39" s="104" t="s">
        <v>24</v>
      </c>
      <c r="K39" s="104" t="s">
        <v>25</v>
      </c>
      <c r="L39" s="104" t="s">
        <v>26</v>
      </c>
      <c r="M39" s="104" t="s">
        <v>27</v>
      </c>
      <c r="N39" s="104" t="s">
        <v>28</v>
      </c>
      <c r="O39" s="539" t="s">
        <v>29</v>
      </c>
    </row>
    <row r="40" spans="1:15" x14ac:dyDescent="0.25">
      <c r="A40" s="543"/>
      <c r="B40" s="548"/>
      <c r="C40" s="549"/>
      <c r="D40" s="543"/>
      <c r="E40" s="543"/>
      <c r="F40" s="543"/>
      <c r="G40" s="543"/>
      <c r="H40" s="105" t="s">
        <v>30</v>
      </c>
      <c r="I40" s="105"/>
      <c r="J40" s="105" t="s">
        <v>31</v>
      </c>
      <c r="K40" s="105" t="s">
        <v>32</v>
      </c>
      <c r="L40" s="105" t="s">
        <v>33</v>
      </c>
      <c r="M40" s="105" t="s">
        <v>34</v>
      </c>
      <c r="N40" s="105" t="s">
        <v>35</v>
      </c>
      <c r="O40" s="540"/>
    </row>
    <row r="41" spans="1:15" x14ac:dyDescent="0.25">
      <c r="A41" s="47">
        <v>1</v>
      </c>
      <c r="B41" s="536">
        <v>2</v>
      </c>
      <c r="C41" s="537"/>
      <c r="D41" s="162">
        <v>3</v>
      </c>
      <c r="E41" s="162">
        <v>4</v>
      </c>
      <c r="F41" s="163">
        <v>5</v>
      </c>
      <c r="G41" s="163">
        <v>6</v>
      </c>
      <c r="H41" s="104">
        <v>7</v>
      </c>
      <c r="I41" s="104">
        <v>8</v>
      </c>
      <c r="J41" s="104">
        <v>9</v>
      </c>
      <c r="K41" s="104">
        <v>10</v>
      </c>
      <c r="L41" s="104">
        <v>11</v>
      </c>
      <c r="M41" s="104">
        <v>12</v>
      </c>
      <c r="N41" s="104">
        <v>13</v>
      </c>
      <c r="O41" s="162">
        <v>14</v>
      </c>
    </row>
    <row r="42" spans="1:15" ht="31.5" x14ac:dyDescent="0.25">
      <c r="A42" s="7">
        <f>A27+1</f>
        <v>16</v>
      </c>
      <c r="B42" s="534" t="s">
        <v>133</v>
      </c>
      <c r="C42" s="535"/>
      <c r="D42" s="40" t="s">
        <v>138</v>
      </c>
      <c r="E42" s="41"/>
      <c r="F42" s="41"/>
      <c r="G42" s="42" t="s">
        <v>50</v>
      </c>
      <c r="H42" s="42">
        <v>2015</v>
      </c>
      <c r="I42" s="43" t="s">
        <v>136</v>
      </c>
      <c r="J42" s="44" t="s">
        <v>60</v>
      </c>
      <c r="K42" s="63">
        <v>6026316</v>
      </c>
      <c r="L42" s="43" t="s">
        <v>26</v>
      </c>
      <c r="M42" s="41"/>
      <c r="N42" s="41"/>
      <c r="O42" s="109" t="s">
        <v>494</v>
      </c>
    </row>
    <row r="43" spans="1:15" ht="31.5" x14ac:dyDescent="0.25">
      <c r="A43" s="7">
        <f>A42+1</f>
        <v>17</v>
      </c>
      <c r="B43" s="534" t="s">
        <v>84</v>
      </c>
      <c r="C43" s="535"/>
      <c r="D43" s="48" t="s">
        <v>270</v>
      </c>
      <c r="E43" s="41"/>
      <c r="F43" s="41"/>
      <c r="G43" s="43" t="s">
        <v>50</v>
      </c>
      <c r="H43" s="43">
        <v>2016</v>
      </c>
      <c r="I43" s="43" t="s">
        <v>92</v>
      </c>
      <c r="J43" s="44" t="s">
        <v>140</v>
      </c>
      <c r="K43" s="63">
        <v>3142612</v>
      </c>
      <c r="L43" s="43" t="s">
        <v>26</v>
      </c>
      <c r="M43" s="41"/>
      <c r="N43" s="41"/>
      <c r="O43" s="109" t="s">
        <v>501</v>
      </c>
    </row>
    <row r="44" spans="1:15" ht="31.5" x14ac:dyDescent="0.25">
      <c r="A44" s="9">
        <f>A43+1</f>
        <v>18</v>
      </c>
      <c r="B44" s="534" t="s">
        <v>84</v>
      </c>
      <c r="C44" s="535"/>
      <c r="D44" s="48" t="s">
        <v>270</v>
      </c>
      <c r="E44" s="41"/>
      <c r="F44" s="41"/>
      <c r="G44" s="43" t="s">
        <v>50</v>
      </c>
      <c r="H44" s="43">
        <v>2016</v>
      </c>
      <c r="I44" s="43" t="s">
        <v>92</v>
      </c>
      <c r="J44" s="44" t="s">
        <v>251</v>
      </c>
      <c r="K44" s="63">
        <v>3142612</v>
      </c>
      <c r="L44" s="43" t="s">
        <v>26</v>
      </c>
      <c r="M44" s="41"/>
      <c r="N44" s="41"/>
      <c r="O44" s="109" t="s">
        <v>494</v>
      </c>
    </row>
    <row r="45" spans="1:15" ht="31.5" x14ac:dyDescent="0.25">
      <c r="A45" s="7">
        <f>A44+1</f>
        <v>19</v>
      </c>
      <c r="B45" s="534" t="s">
        <v>84</v>
      </c>
      <c r="C45" s="535"/>
      <c r="D45" s="48" t="s">
        <v>256</v>
      </c>
      <c r="E45" s="41"/>
      <c r="F45" s="41"/>
      <c r="G45" s="43" t="s">
        <v>50</v>
      </c>
      <c r="H45" s="43">
        <v>2017</v>
      </c>
      <c r="I45" s="43" t="s">
        <v>92</v>
      </c>
      <c r="J45" s="44" t="s">
        <v>118</v>
      </c>
      <c r="K45" s="63">
        <v>2173757</v>
      </c>
      <c r="L45" s="43" t="s">
        <v>26</v>
      </c>
      <c r="M45" s="41"/>
      <c r="N45" s="41"/>
      <c r="O45" s="109" t="s">
        <v>502</v>
      </c>
    </row>
    <row r="46" spans="1:15" ht="31.5" x14ac:dyDescent="0.25">
      <c r="A46" s="7">
        <f>A45+1</f>
        <v>20</v>
      </c>
      <c r="B46" s="534" t="s">
        <v>84</v>
      </c>
      <c r="C46" s="535"/>
      <c r="D46" s="48" t="s">
        <v>288</v>
      </c>
      <c r="E46" s="41"/>
      <c r="F46" s="41"/>
      <c r="G46" s="43" t="s">
        <v>91</v>
      </c>
      <c r="H46" s="43">
        <v>2020</v>
      </c>
      <c r="I46" s="43" t="s">
        <v>92</v>
      </c>
      <c r="J46" s="44" t="s">
        <v>257</v>
      </c>
      <c r="K46" s="63">
        <f>5516570/2</f>
        <v>2758285</v>
      </c>
      <c r="L46" s="43" t="s">
        <v>26</v>
      </c>
      <c r="M46" s="41"/>
      <c r="N46" s="41"/>
      <c r="O46" s="109" t="s">
        <v>503</v>
      </c>
    </row>
    <row r="47" spans="1:15" ht="31.5" x14ac:dyDescent="0.25">
      <c r="A47" s="7">
        <f>A46+1</f>
        <v>21</v>
      </c>
      <c r="B47" s="534" t="s">
        <v>142</v>
      </c>
      <c r="C47" s="535"/>
      <c r="D47" s="40" t="s">
        <v>258</v>
      </c>
      <c r="E47" s="41"/>
      <c r="F47" s="41"/>
      <c r="G47" s="42" t="s">
        <v>214</v>
      </c>
      <c r="H47" s="43">
        <v>2008</v>
      </c>
      <c r="I47" s="43" t="s">
        <v>144</v>
      </c>
      <c r="J47" s="44" t="s">
        <v>54</v>
      </c>
      <c r="K47" s="63">
        <v>372666.67</v>
      </c>
      <c r="L47" s="43" t="s">
        <v>26</v>
      </c>
      <c r="M47" s="41"/>
      <c r="N47" s="45"/>
      <c r="O47" s="109" t="s">
        <v>497</v>
      </c>
    </row>
    <row r="48" spans="1:15" ht="47.25" x14ac:dyDescent="0.25">
      <c r="A48" s="7">
        <f t="shared" ref="A48:A51" si="1">A47+1</f>
        <v>22</v>
      </c>
      <c r="B48" s="534" t="s">
        <v>142</v>
      </c>
      <c r="C48" s="535"/>
      <c r="D48" s="40" t="s">
        <v>252</v>
      </c>
      <c r="E48" s="41"/>
      <c r="F48" s="41"/>
      <c r="G48" s="42" t="s">
        <v>214</v>
      </c>
      <c r="H48" s="43">
        <v>2011</v>
      </c>
      <c r="I48" s="43" t="s">
        <v>144</v>
      </c>
      <c r="J48" s="44" t="s">
        <v>251</v>
      </c>
      <c r="K48" s="63">
        <v>485000</v>
      </c>
      <c r="L48" s="43" t="s">
        <v>26</v>
      </c>
      <c r="M48" s="41"/>
      <c r="N48" s="45"/>
      <c r="O48" s="109" t="s">
        <v>498</v>
      </c>
    </row>
    <row r="49" spans="1:15" ht="47.25" x14ac:dyDescent="0.25">
      <c r="A49" s="7">
        <f t="shared" si="1"/>
        <v>23</v>
      </c>
      <c r="B49" s="534" t="s">
        <v>142</v>
      </c>
      <c r="C49" s="535"/>
      <c r="D49" s="40" t="s">
        <v>261</v>
      </c>
      <c r="E49" s="41"/>
      <c r="F49" s="41"/>
      <c r="G49" s="42" t="s">
        <v>214</v>
      </c>
      <c r="H49" s="43">
        <v>2010</v>
      </c>
      <c r="I49" s="43" t="s">
        <v>144</v>
      </c>
      <c r="J49" s="44" t="s">
        <v>117</v>
      </c>
      <c r="K49" s="63">
        <v>485000</v>
      </c>
      <c r="L49" s="43" t="s">
        <v>26</v>
      </c>
      <c r="M49" s="41"/>
      <c r="N49" s="45"/>
      <c r="O49" s="109" t="s">
        <v>292</v>
      </c>
    </row>
    <row r="50" spans="1:15" ht="47.25" x14ac:dyDescent="0.25">
      <c r="A50" s="7">
        <f t="shared" si="1"/>
        <v>24</v>
      </c>
      <c r="B50" s="534" t="s">
        <v>142</v>
      </c>
      <c r="C50" s="535"/>
      <c r="D50" s="40" t="s">
        <v>255</v>
      </c>
      <c r="E50" s="41"/>
      <c r="F50" s="41"/>
      <c r="G50" s="42" t="s">
        <v>214</v>
      </c>
      <c r="H50" s="43">
        <v>2010</v>
      </c>
      <c r="I50" s="43" t="s">
        <v>144</v>
      </c>
      <c r="J50" s="44" t="s">
        <v>64</v>
      </c>
      <c r="K50" s="63">
        <v>275000</v>
      </c>
      <c r="L50" s="43" t="s">
        <v>26</v>
      </c>
      <c r="M50" s="41"/>
      <c r="N50" s="45"/>
      <c r="O50" s="109" t="s">
        <v>492</v>
      </c>
    </row>
    <row r="51" spans="1:15" ht="62.25" customHeight="1" x14ac:dyDescent="0.25">
      <c r="A51" s="7">
        <f t="shared" si="1"/>
        <v>25</v>
      </c>
      <c r="B51" s="534" t="s">
        <v>142</v>
      </c>
      <c r="C51" s="535"/>
      <c r="D51" s="40" t="s">
        <v>249</v>
      </c>
      <c r="E51" s="41"/>
      <c r="F51" s="41"/>
      <c r="G51" s="42" t="s">
        <v>214</v>
      </c>
      <c r="H51" s="43">
        <v>2016</v>
      </c>
      <c r="I51" s="43" t="s">
        <v>144</v>
      </c>
      <c r="J51" s="44" t="s">
        <v>120</v>
      </c>
      <c r="K51" s="63">
        <v>2282609</v>
      </c>
      <c r="L51" s="43" t="s">
        <v>26</v>
      </c>
      <c r="M51" s="41"/>
      <c r="N51" s="45"/>
      <c r="O51" s="109" t="s">
        <v>491</v>
      </c>
    </row>
    <row r="52" spans="1:15" ht="62.25" customHeight="1" x14ac:dyDescent="0.25">
      <c r="A52" s="7">
        <f>A51+1</f>
        <v>26</v>
      </c>
      <c r="B52" s="534" t="s">
        <v>142</v>
      </c>
      <c r="C52" s="535"/>
      <c r="D52" s="40" t="s">
        <v>249</v>
      </c>
      <c r="E52" s="41"/>
      <c r="F52" s="41"/>
      <c r="G52" s="42" t="s">
        <v>214</v>
      </c>
      <c r="H52" s="43">
        <v>2016</v>
      </c>
      <c r="I52" s="43" t="s">
        <v>144</v>
      </c>
      <c r="J52" s="44" t="s">
        <v>93</v>
      </c>
      <c r="K52" s="63">
        <v>2282609</v>
      </c>
      <c r="L52" s="43" t="s">
        <v>26</v>
      </c>
      <c r="M52" s="41"/>
      <c r="N52" s="45"/>
      <c r="O52" s="109" t="s">
        <v>504</v>
      </c>
    </row>
    <row r="53" spans="1:15" ht="62.25" customHeight="1" x14ac:dyDescent="0.25">
      <c r="A53" s="7">
        <f t="shared" si="0"/>
        <v>27</v>
      </c>
      <c r="B53" s="534" t="s">
        <v>142</v>
      </c>
      <c r="C53" s="535"/>
      <c r="D53" s="40" t="s">
        <v>249</v>
      </c>
      <c r="E53" s="41"/>
      <c r="F53" s="41"/>
      <c r="G53" s="42" t="s">
        <v>214</v>
      </c>
      <c r="H53" s="43">
        <v>2017</v>
      </c>
      <c r="I53" s="43" t="s">
        <v>144</v>
      </c>
      <c r="J53" s="44" t="s">
        <v>257</v>
      </c>
      <c r="K53" s="63">
        <v>2284351</v>
      </c>
      <c r="L53" s="43" t="s">
        <v>26</v>
      </c>
      <c r="M53" s="41"/>
      <c r="N53" s="45"/>
      <c r="O53" s="109" t="s">
        <v>496</v>
      </c>
    </row>
    <row r="54" spans="1:15" ht="62.25" customHeight="1" x14ac:dyDescent="0.25">
      <c r="A54" s="7">
        <f>A53+1</f>
        <v>28</v>
      </c>
      <c r="B54" s="534" t="s">
        <v>142</v>
      </c>
      <c r="C54" s="535"/>
      <c r="D54" s="40" t="s">
        <v>265</v>
      </c>
      <c r="E54" s="41"/>
      <c r="F54" s="41"/>
      <c r="G54" s="42"/>
      <c r="H54" s="43">
        <v>2017</v>
      </c>
      <c r="I54" s="43" t="s">
        <v>144</v>
      </c>
      <c r="J54" s="44" t="s">
        <v>132</v>
      </c>
      <c r="K54" s="63">
        <v>1116794</v>
      </c>
      <c r="L54" s="43" t="s">
        <v>26</v>
      </c>
      <c r="M54" s="41"/>
      <c r="N54" s="45"/>
      <c r="O54" s="109" t="s">
        <v>494</v>
      </c>
    </row>
    <row r="55" spans="1:15" ht="48.75" customHeight="1" x14ac:dyDescent="0.25">
      <c r="A55" s="7">
        <f t="shared" si="0"/>
        <v>29</v>
      </c>
      <c r="B55" s="534" t="s">
        <v>142</v>
      </c>
      <c r="C55" s="535"/>
      <c r="D55" s="40" t="s">
        <v>265</v>
      </c>
      <c r="E55" s="41"/>
      <c r="F55" s="41"/>
      <c r="G55" s="42"/>
      <c r="H55" s="43">
        <v>2017</v>
      </c>
      <c r="I55" s="43" t="s">
        <v>144</v>
      </c>
      <c r="J55" s="44" t="s">
        <v>264</v>
      </c>
      <c r="K55" s="63">
        <v>1116794</v>
      </c>
      <c r="L55" s="43" t="s">
        <v>26</v>
      </c>
      <c r="M55" s="41"/>
      <c r="N55" s="45"/>
      <c r="O55" s="109" t="s">
        <v>505</v>
      </c>
    </row>
    <row r="56" spans="1:15" ht="32.25" customHeight="1" x14ac:dyDescent="0.25">
      <c r="A56" s="7">
        <f t="shared" si="0"/>
        <v>30</v>
      </c>
      <c r="B56" s="534" t="s">
        <v>142</v>
      </c>
      <c r="C56" s="535"/>
      <c r="D56" s="40" t="s">
        <v>248</v>
      </c>
      <c r="E56" s="41"/>
      <c r="F56" s="41"/>
      <c r="G56" s="42"/>
      <c r="H56" s="43">
        <v>2018</v>
      </c>
      <c r="I56" s="43" t="s">
        <v>144</v>
      </c>
      <c r="J56" s="44" t="s">
        <v>247</v>
      </c>
      <c r="K56" s="63">
        <v>2019589</v>
      </c>
      <c r="L56" s="43" t="s">
        <v>26</v>
      </c>
      <c r="M56" s="41"/>
      <c r="N56" s="45"/>
      <c r="O56" s="109" t="s">
        <v>495</v>
      </c>
    </row>
    <row r="57" spans="1:15" ht="32.25" customHeight="1" x14ac:dyDescent="0.25">
      <c r="A57" s="7">
        <f>A56+1</f>
        <v>31</v>
      </c>
      <c r="B57" s="534" t="s">
        <v>142</v>
      </c>
      <c r="C57" s="535"/>
      <c r="D57" s="40" t="s">
        <v>248</v>
      </c>
      <c r="E57" s="41"/>
      <c r="F57" s="41"/>
      <c r="G57" s="42"/>
      <c r="H57" s="43">
        <v>2018</v>
      </c>
      <c r="I57" s="43" t="s">
        <v>144</v>
      </c>
      <c r="J57" s="44" t="s">
        <v>63</v>
      </c>
      <c r="K57" s="65">
        <v>2019589</v>
      </c>
      <c r="L57" s="43" t="s">
        <v>26</v>
      </c>
      <c r="M57" s="41"/>
      <c r="N57" s="45"/>
      <c r="O57" s="109" t="s">
        <v>506</v>
      </c>
    </row>
    <row r="58" spans="1:15" ht="31.5" x14ac:dyDescent="0.25">
      <c r="A58" s="7">
        <f>A57+1</f>
        <v>32</v>
      </c>
      <c r="B58" s="534" t="s">
        <v>142</v>
      </c>
      <c r="C58" s="535"/>
      <c r="D58" s="40" t="s">
        <v>248</v>
      </c>
      <c r="E58" s="41"/>
      <c r="F58" s="41"/>
      <c r="G58" s="42"/>
      <c r="H58" s="43">
        <v>2018</v>
      </c>
      <c r="I58" s="43" t="s">
        <v>144</v>
      </c>
      <c r="J58" s="44" t="s">
        <v>250</v>
      </c>
      <c r="K58" s="65">
        <v>2019589</v>
      </c>
      <c r="L58" s="43" t="s">
        <v>26</v>
      </c>
      <c r="M58" s="41"/>
      <c r="N58" s="45"/>
      <c r="O58" s="109" t="s">
        <v>493</v>
      </c>
    </row>
    <row r="59" spans="1:15" ht="31.5" x14ac:dyDescent="0.25">
      <c r="A59" s="7">
        <f>A85+1</f>
        <v>34</v>
      </c>
      <c r="B59" s="534" t="s">
        <v>49</v>
      </c>
      <c r="C59" s="535"/>
      <c r="D59" s="48" t="s">
        <v>259</v>
      </c>
      <c r="E59" s="41"/>
      <c r="F59" s="41"/>
      <c r="G59" s="43" t="s">
        <v>50</v>
      </c>
      <c r="H59" s="43">
        <v>2015</v>
      </c>
      <c r="I59" s="43" t="s">
        <v>51</v>
      </c>
      <c r="J59" s="44" t="s">
        <v>111</v>
      </c>
      <c r="K59" s="63">
        <v>2400000</v>
      </c>
      <c r="L59" s="43" t="s">
        <v>26</v>
      </c>
      <c r="M59" s="41"/>
      <c r="N59" s="41"/>
      <c r="O59" s="109" t="s">
        <v>507</v>
      </c>
    </row>
    <row r="60" spans="1:15" x14ac:dyDescent="0.25">
      <c r="A60" s="73"/>
      <c r="B60" s="128"/>
      <c r="C60" s="128"/>
      <c r="D60" s="129"/>
      <c r="E60" s="130"/>
      <c r="F60" s="130"/>
      <c r="G60" s="131"/>
      <c r="H60" s="131"/>
      <c r="I60" s="131"/>
      <c r="J60" s="132"/>
      <c r="K60" s="133"/>
      <c r="L60" s="131"/>
      <c r="M60" s="130"/>
      <c r="N60" s="130"/>
      <c r="O60" s="130"/>
    </row>
    <row r="61" spans="1:15" x14ac:dyDescent="0.25">
      <c r="A61" s="66"/>
      <c r="B61" s="123"/>
      <c r="C61" s="123"/>
      <c r="D61" s="124"/>
      <c r="E61" s="125"/>
      <c r="F61" s="125"/>
      <c r="G61" s="94"/>
      <c r="H61" s="94"/>
      <c r="I61" s="94"/>
      <c r="J61" s="126"/>
      <c r="K61" s="134"/>
      <c r="L61" s="94"/>
      <c r="M61" s="125"/>
      <c r="N61" s="125"/>
      <c r="O61" s="125"/>
    </row>
    <row r="62" spans="1:15" x14ac:dyDescent="0.25">
      <c r="A62" s="66"/>
      <c r="B62" s="123"/>
      <c r="C62" s="123"/>
      <c r="D62" s="124"/>
      <c r="E62" s="125"/>
      <c r="F62" s="125"/>
      <c r="G62" s="94"/>
      <c r="H62" s="94"/>
      <c r="I62" s="94"/>
      <c r="J62" s="126"/>
      <c r="K62" s="134"/>
      <c r="L62" s="94"/>
      <c r="M62" s="125"/>
      <c r="N62" s="125"/>
      <c r="O62" s="125"/>
    </row>
    <row r="63" spans="1:15" x14ac:dyDescent="0.25">
      <c r="A63" s="66"/>
      <c r="B63" s="123"/>
      <c r="C63" s="123"/>
      <c r="D63" s="124"/>
      <c r="E63" s="125"/>
      <c r="F63" s="125"/>
      <c r="G63" s="94"/>
      <c r="H63" s="94"/>
      <c r="I63" s="94"/>
      <c r="J63" s="126"/>
      <c r="K63" s="134"/>
      <c r="L63" s="94"/>
      <c r="M63" s="125"/>
      <c r="N63" s="125"/>
      <c r="O63" s="125"/>
    </row>
    <row r="64" spans="1:15" x14ac:dyDescent="0.25">
      <c r="A64" s="66"/>
      <c r="B64" s="123"/>
      <c r="C64" s="123"/>
      <c r="D64" s="124"/>
      <c r="E64" s="125"/>
      <c r="F64" s="125"/>
      <c r="G64" s="94"/>
      <c r="H64" s="94"/>
      <c r="I64" s="94"/>
      <c r="J64" s="126"/>
      <c r="K64" s="134"/>
      <c r="L64" s="94"/>
      <c r="M64" s="125"/>
      <c r="N64" s="125"/>
      <c r="O64" s="125"/>
    </row>
    <row r="65" spans="1:15" x14ac:dyDescent="0.25">
      <c r="A65" s="66"/>
      <c r="B65" s="123"/>
      <c r="C65" s="123"/>
      <c r="D65" s="124"/>
      <c r="E65" s="125"/>
      <c r="F65" s="125"/>
      <c r="G65" s="94"/>
      <c r="H65" s="94"/>
      <c r="I65" s="94"/>
      <c r="J65" s="126"/>
      <c r="K65" s="134"/>
      <c r="L65" s="94"/>
      <c r="M65" s="125"/>
      <c r="N65" s="125"/>
      <c r="O65" s="125"/>
    </row>
    <row r="66" spans="1:15" x14ac:dyDescent="0.25">
      <c r="A66" s="81"/>
      <c r="B66" s="135"/>
      <c r="C66" s="135"/>
      <c r="D66" s="136"/>
      <c r="E66" s="137"/>
      <c r="F66" s="137"/>
      <c r="G66" s="138"/>
      <c r="H66" s="138"/>
      <c r="I66" s="138"/>
      <c r="J66" s="139"/>
      <c r="K66" s="140"/>
      <c r="L66" s="138"/>
      <c r="M66" s="137"/>
      <c r="N66" s="137"/>
      <c r="O66" s="137"/>
    </row>
    <row r="67" spans="1:15" x14ac:dyDescent="0.25">
      <c r="A67" s="161" t="s">
        <v>7</v>
      </c>
      <c r="B67" s="538" t="s">
        <v>8</v>
      </c>
      <c r="C67" s="538"/>
      <c r="D67" s="161" t="s">
        <v>9</v>
      </c>
      <c r="E67" s="161" t="s">
        <v>10</v>
      </c>
      <c r="F67" s="541" t="s">
        <v>11</v>
      </c>
      <c r="G67" s="541" t="s">
        <v>12</v>
      </c>
      <c r="H67" s="161" t="s">
        <v>13</v>
      </c>
      <c r="I67" s="161"/>
      <c r="J67" s="161" t="s">
        <v>15</v>
      </c>
      <c r="K67" s="161" t="s">
        <v>16</v>
      </c>
      <c r="L67" s="544" t="s">
        <v>17</v>
      </c>
      <c r="M67" s="544"/>
      <c r="N67" s="544"/>
      <c r="O67" s="161" t="s">
        <v>18</v>
      </c>
    </row>
    <row r="68" spans="1:15" x14ac:dyDescent="0.25">
      <c r="A68" s="542" t="s">
        <v>19</v>
      </c>
      <c r="B68" s="546" t="s">
        <v>20</v>
      </c>
      <c r="C68" s="547"/>
      <c r="D68" s="542" t="s">
        <v>21</v>
      </c>
      <c r="E68" s="542" t="s">
        <v>22</v>
      </c>
      <c r="F68" s="542"/>
      <c r="G68" s="542"/>
      <c r="H68" s="104" t="s">
        <v>23</v>
      </c>
      <c r="I68" s="104" t="s">
        <v>14</v>
      </c>
      <c r="J68" s="104" t="s">
        <v>24</v>
      </c>
      <c r="K68" s="104" t="s">
        <v>25</v>
      </c>
      <c r="L68" s="104" t="s">
        <v>26</v>
      </c>
      <c r="M68" s="104" t="s">
        <v>27</v>
      </c>
      <c r="N68" s="104" t="s">
        <v>28</v>
      </c>
      <c r="O68" s="539" t="s">
        <v>29</v>
      </c>
    </row>
    <row r="69" spans="1:15" x14ac:dyDescent="0.25">
      <c r="A69" s="543"/>
      <c r="B69" s="548"/>
      <c r="C69" s="549"/>
      <c r="D69" s="543"/>
      <c r="E69" s="543"/>
      <c r="F69" s="543"/>
      <c r="G69" s="543"/>
      <c r="H69" s="105" t="s">
        <v>30</v>
      </c>
      <c r="I69" s="105"/>
      <c r="J69" s="105" t="s">
        <v>31</v>
      </c>
      <c r="K69" s="105" t="s">
        <v>32</v>
      </c>
      <c r="L69" s="105" t="s">
        <v>33</v>
      </c>
      <c r="M69" s="105" t="s">
        <v>34</v>
      </c>
      <c r="N69" s="105" t="s">
        <v>35</v>
      </c>
      <c r="O69" s="540"/>
    </row>
    <row r="70" spans="1:15" x14ac:dyDescent="0.25">
      <c r="A70" s="47">
        <v>1</v>
      </c>
      <c r="B70" s="536">
        <v>2</v>
      </c>
      <c r="C70" s="537"/>
      <c r="D70" s="162">
        <v>3</v>
      </c>
      <c r="E70" s="162">
        <v>4</v>
      </c>
      <c r="F70" s="163">
        <v>5</v>
      </c>
      <c r="G70" s="163">
        <v>6</v>
      </c>
      <c r="H70" s="104">
        <v>7</v>
      </c>
      <c r="I70" s="104">
        <v>8</v>
      </c>
      <c r="J70" s="104">
        <v>9</v>
      </c>
      <c r="K70" s="104">
        <v>10</v>
      </c>
      <c r="L70" s="104">
        <v>11</v>
      </c>
      <c r="M70" s="104">
        <v>12</v>
      </c>
      <c r="N70" s="104">
        <v>13</v>
      </c>
      <c r="O70" s="162">
        <v>14</v>
      </c>
    </row>
    <row r="71" spans="1:15" ht="31.5" x14ac:dyDescent="0.25">
      <c r="A71" s="9">
        <f>A59+1</f>
        <v>35</v>
      </c>
      <c r="B71" s="534" t="s">
        <v>49</v>
      </c>
      <c r="C71" s="535"/>
      <c r="D71" s="40" t="s">
        <v>290</v>
      </c>
      <c r="E71" s="109"/>
      <c r="F71" s="109"/>
      <c r="G71" s="43" t="s">
        <v>50</v>
      </c>
      <c r="H71" s="43">
        <v>2018</v>
      </c>
      <c r="I71" s="43" t="s">
        <v>51</v>
      </c>
      <c r="J71" s="44" t="s">
        <v>83</v>
      </c>
      <c r="K71" s="63">
        <v>1969099</v>
      </c>
      <c r="L71" s="43" t="s">
        <v>26</v>
      </c>
      <c r="M71" s="109"/>
      <c r="N71" s="109"/>
      <c r="O71" s="40" t="s">
        <v>508</v>
      </c>
    </row>
    <row r="72" spans="1:15" ht="47.25" x14ac:dyDescent="0.25">
      <c r="A72" s="7">
        <f t="shared" si="0"/>
        <v>36</v>
      </c>
      <c r="B72" s="443" t="s">
        <v>146</v>
      </c>
      <c r="C72" s="444"/>
      <c r="D72" s="10" t="s">
        <v>260</v>
      </c>
      <c r="E72" s="12"/>
      <c r="F72" s="12"/>
      <c r="G72" s="9" t="s">
        <v>50</v>
      </c>
      <c r="H72" s="9">
        <v>2011</v>
      </c>
      <c r="I72" s="9" t="s">
        <v>147</v>
      </c>
      <c r="J72" s="11" t="s">
        <v>67</v>
      </c>
      <c r="K72" s="20">
        <v>585000</v>
      </c>
      <c r="L72" s="9" t="s">
        <v>26</v>
      </c>
      <c r="M72" s="12"/>
      <c r="N72" s="12"/>
      <c r="O72" s="32" t="s">
        <v>506</v>
      </c>
    </row>
    <row r="73" spans="1:15" x14ac:dyDescent="0.25">
      <c r="A73" s="66"/>
      <c r="B73" s="123"/>
      <c r="C73" s="123"/>
      <c r="D73" s="124"/>
      <c r="E73" s="125"/>
      <c r="F73" s="125"/>
      <c r="G73" s="94"/>
      <c r="H73" s="94"/>
      <c r="I73" s="94"/>
      <c r="J73" s="126"/>
      <c r="K73" s="127"/>
      <c r="L73" s="94"/>
      <c r="M73" s="125"/>
      <c r="N73" s="125"/>
      <c r="O73" s="125"/>
    </row>
    <row r="74" spans="1:15" x14ac:dyDescent="0.25">
      <c r="C74" s="5" t="s">
        <v>36</v>
      </c>
      <c r="L74" s="23" t="s">
        <v>575</v>
      </c>
    </row>
    <row r="75" spans="1:15" ht="9" customHeight="1" x14ac:dyDescent="0.25">
      <c r="C75" s="5"/>
      <c r="L75" s="5"/>
    </row>
    <row r="76" spans="1:15" x14ac:dyDescent="0.25">
      <c r="C76" s="5" t="s">
        <v>572</v>
      </c>
      <c r="L76" s="5" t="s">
        <v>37</v>
      </c>
    </row>
    <row r="77" spans="1:15" x14ac:dyDescent="0.25">
      <c r="C77" s="5"/>
      <c r="L77" s="5"/>
    </row>
    <row r="78" spans="1:15" x14ac:dyDescent="0.25">
      <c r="C78" s="5"/>
      <c r="F78" s="13"/>
      <c r="L78" s="5"/>
    </row>
    <row r="79" spans="1:15" x14ac:dyDescent="0.25">
      <c r="C79" s="5"/>
      <c r="L79" s="5"/>
    </row>
    <row r="80" spans="1:15" x14ac:dyDescent="0.25">
      <c r="C80" s="6" t="s">
        <v>573</v>
      </c>
      <c r="L80" s="6" t="s">
        <v>576</v>
      </c>
    </row>
    <row r="81" spans="1:15" x14ac:dyDescent="0.25">
      <c r="C81" s="5" t="s">
        <v>39</v>
      </c>
      <c r="L81" s="23" t="str">
        <f>'RUANG DEPAN BIDANG'!L81</f>
        <v>NIP. 19721124 200604 2 005</v>
      </c>
    </row>
    <row r="82" spans="1:15" x14ac:dyDescent="0.25">
      <c r="C82" s="23" t="s">
        <v>574</v>
      </c>
    </row>
    <row r="83" spans="1:15" x14ac:dyDescent="0.25">
      <c r="K83" s="24"/>
    </row>
    <row r="84" spans="1:15" ht="47.25" x14ac:dyDescent="0.25">
      <c r="A84" s="7">
        <f>A48+1</f>
        <v>23</v>
      </c>
      <c r="B84" s="534" t="s">
        <v>142</v>
      </c>
      <c r="C84" s="535"/>
      <c r="D84" s="40" t="s">
        <v>252</v>
      </c>
      <c r="E84" s="41"/>
      <c r="F84" s="41"/>
      <c r="G84" s="42" t="s">
        <v>214</v>
      </c>
      <c r="H84" s="43">
        <v>2011</v>
      </c>
      <c r="I84" s="43" t="s">
        <v>144</v>
      </c>
      <c r="J84" s="44" t="s">
        <v>215</v>
      </c>
      <c r="K84" s="63">
        <v>485000</v>
      </c>
      <c r="L84" s="43" t="s">
        <v>26</v>
      </c>
      <c r="M84" s="41"/>
      <c r="N84" s="45"/>
      <c r="O84" s="170"/>
    </row>
    <row r="85" spans="1:15" x14ac:dyDescent="0.25">
      <c r="A85" s="7">
        <f>A58+1</f>
        <v>33</v>
      </c>
      <c r="B85" s="534" t="s">
        <v>49</v>
      </c>
      <c r="C85" s="535"/>
      <c r="D85" s="91" t="s">
        <v>289</v>
      </c>
      <c r="E85" s="41"/>
      <c r="F85" s="41"/>
      <c r="G85" s="43" t="s">
        <v>50</v>
      </c>
      <c r="H85" s="43">
        <v>2006</v>
      </c>
      <c r="I85" s="43" t="s">
        <v>51</v>
      </c>
      <c r="J85" s="44" t="s">
        <v>67</v>
      </c>
      <c r="K85" s="63">
        <v>1343750</v>
      </c>
      <c r="L85" s="43" t="s">
        <v>26</v>
      </c>
      <c r="M85" s="41"/>
      <c r="N85" s="41"/>
      <c r="O85" s="41"/>
    </row>
    <row r="86" spans="1:15" x14ac:dyDescent="0.25">
      <c r="B86" s="22"/>
    </row>
  </sheetData>
  <mergeCells count="71">
    <mergeCell ref="B71:C71"/>
    <mergeCell ref="B72:C72"/>
    <mergeCell ref="B84:C84"/>
    <mergeCell ref="B85:C85"/>
    <mergeCell ref="A68:A69"/>
    <mergeCell ref="B68:C69"/>
    <mergeCell ref="D68:D69"/>
    <mergeCell ref="E68:E69"/>
    <mergeCell ref="O68:O69"/>
    <mergeCell ref="B70:C70"/>
    <mergeCell ref="B58:C58"/>
    <mergeCell ref="B59:C59"/>
    <mergeCell ref="B67:C67"/>
    <mergeCell ref="F67:F69"/>
    <mergeCell ref="G67:G69"/>
    <mergeCell ref="L67:N67"/>
    <mergeCell ref="B57:C57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O39:O40"/>
    <mergeCell ref="B41:C41"/>
    <mergeCell ref="B42:C42"/>
    <mergeCell ref="B43:C43"/>
    <mergeCell ref="B44:C44"/>
    <mergeCell ref="B45:C45"/>
    <mergeCell ref="F38:F40"/>
    <mergeCell ref="G38:G40"/>
    <mergeCell ref="L38:N38"/>
    <mergeCell ref="A39:A40"/>
    <mergeCell ref="B39:C40"/>
    <mergeCell ref="D39:D40"/>
    <mergeCell ref="E39:E40"/>
    <mergeCell ref="B38:C38"/>
    <mergeCell ref="B23:C23"/>
    <mergeCell ref="B24:C24"/>
    <mergeCell ref="B25:C25"/>
    <mergeCell ref="B26:C26"/>
    <mergeCell ref="B27:C27"/>
    <mergeCell ref="B22:C22"/>
    <mergeCell ref="O10:O11"/>
    <mergeCell ref="B12:C12"/>
    <mergeCell ref="B13:C13"/>
    <mergeCell ref="B14:C14"/>
    <mergeCell ref="B15:C15"/>
    <mergeCell ref="B16:C16"/>
    <mergeCell ref="G9:G11"/>
    <mergeCell ref="L9:N9"/>
    <mergeCell ref="F9:F11"/>
    <mergeCell ref="B17:C17"/>
    <mergeCell ref="B18:C18"/>
    <mergeCell ref="B19:C19"/>
    <mergeCell ref="B20:C20"/>
    <mergeCell ref="B21:C21"/>
    <mergeCell ref="A10:A11"/>
    <mergeCell ref="B10:C11"/>
    <mergeCell ref="D10:D11"/>
    <mergeCell ref="E10:E11"/>
    <mergeCell ref="A3:B3"/>
    <mergeCell ref="A4:B4"/>
    <mergeCell ref="A5:B5"/>
    <mergeCell ref="A6:B6"/>
    <mergeCell ref="B9:C9"/>
  </mergeCells>
  <printOptions horizontalCentered="1"/>
  <pageMargins left="0.11811023622047245" right="0.35433070866141736" top="0.19685039370078741" bottom="0.15748031496062992" header="0" footer="0"/>
  <pageSetup paperSize="14" scale="65" orientation="landscape" horizontalDpi="180" verticalDpi="180" r:id="rId1"/>
  <headerFooter alignWithMargins="0">
    <oddFooter>&amp;L&amp;9&amp;F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346"/>
  <sheetViews>
    <sheetView view="pageBreakPreview" topLeftCell="A331" zoomScaleNormal="55" workbookViewId="0">
      <selection activeCell="L343" sqref="L343"/>
    </sheetView>
  </sheetViews>
  <sheetFormatPr defaultRowHeight="15.75" x14ac:dyDescent="0.25"/>
  <cols>
    <col min="2" max="2" width="7" customWidth="1"/>
    <col min="3" max="3" width="17.75" customWidth="1"/>
    <col min="4" max="4" width="10.875" customWidth="1"/>
    <col min="5" max="5" width="11.25" customWidth="1"/>
    <col min="6" max="6" width="11.5" customWidth="1"/>
    <col min="7" max="7" width="11.625" customWidth="1"/>
    <col min="8" max="8" width="15.5" customWidth="1"/>
    <col min="9" max="9" width="18.75" customWidth="1"/>
    <col min="10" max="10" width="15.375" customWidth="1"/>
    <col min="11" max="11" width="15.125" customWidth="1"/>
    <col min="13" max="13" width="11" customWidth="1"/>
    <col min="14" max="14" width="10.625" customWidth="1"/>
    <col min="15" max="15" width="9.625" customWidth="1"/>
    <col min="17" max="17" width="9.375" customWidth="1"/>
    <col min="18" max="18" width="22.875" customWidth="1"/>
    <col min="19" max="19" width="13.375" customWidth="1"/>
    <col min="20" max="20" width="12.25" customWidth="1"/>
    <col min="21" max="21" width="13" customWidth="1"/>
    <col min="22" max="22" width="12.375" customWidth="1"/>
    <col min="258" max="258" width="7" customWidth="1"/>
    <col min="259" max="259" width="17.75" customWidth="1"/>
    <col min="260" max="260" width="10.875" customWidth="1"/>
    <col min="261" max="261" width="11.25" customWidth="1"/>
    <col min="262" max="262" width="11.5" customWidth="1"/>
    <col min="263" max="263" width="11.625" customWidth="1"/>
    <col min="264" max="264" width="15.5" customWidth="1"/>
    <col min="265" max="265" width="18.75" customWidth="1"/>
    <col min="266" max="266" width="15.375" customWidth="1"/>
    <col min="267" max="267" width="15.125" customWidth="1"/>
    <col min="269" max="269" width="11" customWidth="1"/>
    <col min="270" max="270" width="10.625" customWidth="1"/>
    <col min="271" max="271" width="9.625" customWidth="1"/>
    <col min="514" max="514" width="7" customWidth="1"/>
    <col min="515" max="515" width="17.75" customWidth="1"/>
    <col min="516" max="516" width="10.875" customWidth="1"/>
    <col min="517" max="517" width="11.25" customWidth="1"/>
    <col min="518" max="518" width="11.5" customWidth="1"/>
    <col min="519" max="519" width="11.625" customWidth="1"/>
    <col min="520" max="520" width="15.5" customWidth="1"/>
    <col min="521" max="521" width="18.75" customWidth="1"/>
    <col min="522" max="522" width="15.375" customWidth="1"/>
    <col min="523" max="523" width="15.125" customWidth="1"/>
    <col min="525" max="525" width="11" customWidth="1"/>
    <col min="526" max="526" width="10.625" customWidth="1"/>
    <col min="527" max="527" width="9.625" customWidth="1"/>
    <col min="770" max="770" width="7" customWidth="1"/>
    <col min="771" max="771" width="17.75" customWidth="1"/>
    <col min="772" max="772" width="10.875" customWidth="1"/>
    <col min="773" max="773" width="11.25" customWidth="1"/>
    <col min="774" max="774" width="11.5" customWidth="1"/>
    <col min="775" max="775" width="11.625" customWidth="1"/>
    <col min="776" max="776" width="15.5" customWidth="1"/>
    <col min="777" max="777" width="18.75" customWidth="1"/>
    <col min="778" max="778" width="15.375" customWidth="1"/>
    <col min="779" max="779" width="15.125" customWidth="1"/>
    <col min="781" max="781" width="11" customWidth="1"/>
    <col min="782" max="782" width="10.625" customWidth="1"/>
    <col min="783" max="783" width="9.625" customWidth="1"/>
    <col min="1026" max="1026" width="7" customWidth="1"/>
    <col min="1027" max="1027" width="17.75" customWidth="1"/>
    <col min="1028" max="1028" width="10.875" customWidth="1"/>
    <col min="1029" max="1029" width="11.25" customWidth="1"/>
    <col min="1030" max="1030" width="11.5" customWidth="1"/>
    <col min="1031" max="1031" width="11.625" customWidth="1"/>
    <col min="1032" max="1032" width="15.5" customWidth="1"/>
    <col min="1033" max="1033" width="18.75" customWidth="1"/>
    <col min="1034" max="1034" width="15.375" customWidth="1"/>
    <col min="1035" max="1035" width="15.125" customWidth="1"/>
    <col min="1037" max="1037" width="11" customWidth="1"/>
    <col min="1038" max="1038" width="10.625" customWidth="1"/>
    <col min="1039" max="1039" width="9.625" customWidth="1"/>
    <col min="1282" max="1282" width="7" customWidth="1"/>
    <col min="1283" max="1283" width="17.75" customWidth="1"/>
    <col min="1284" max="1284" width="10.875" customWidth="1"/>
    <col min="1285" max="1285" width="11.25" customWidth="1"/>
    <col min="1286" max="1286" width="11.5" customWidth="1"/>
    <col min="1287" max="1287" width="11.625" customWidth="1"/>
    <col min="1288" max="1288" width="15.5" customWidth="1"/>
    <col min="1289" max="1289" width="18.75" customWidth="1"/>
    <col min="1290" max="1290" width="15.375" customWidth="1"/>
    <col min="1291" max="1291" width="15.125" customWidth="1"/>
    <col min="1293" max="1293" width="11" customWidth="1"/>
    <col min="1294" max="1294" width="10.625" customWidth="1"/>
    <col min="1295" max="1295" width="9.625" customWidth="1"/>
    <col min="1538" max="1538" width="7" customWidth="1"/>
    <col min="1539" max="1539" width="17.75" customWidth="1"/>
    <col min="1540" max="1540" width="10.875" customWidth="1"/>
    <col min="1541" max="1541" width="11.25" customWidth="1"/>
    <col min="1542" max="1542" width="11.5" customWidth="1"/>
    <col min="1543" max="1543" width="11.625" customWidth="1"/>
    <col min="1544" max="1544" width="15.5" customWidth="1"/>
    <col min="1545" max="1545" width="18.75" customWidth="1"/>
    <col min="1546" max="1546" width="15.375" customWidth="1"/>
    <col min="1547" max="1547" width="15.125" customWidth="1"/>
    <col min="1549" max="1549" width="11" customWidth="1"/>
    <col min="1550" max="1550" width="10.625" customWidth="1"/>
    <col min="1551" max="1551" width="9.625" customWidth="1"/>
    <col min="1794" max="1794" width="7" customWidth="1"/>
    <col min="1795" max="1795" width="17.75" customWidth="1"/>
    <col min="1796" max="1796" width="10.875" customWidth="1"/>
    <col min="1797" max="1797" width="11.25" customWidth="1"/>
    <col min="1798" max="1798" width="11.5" customWidth="1"/>
    <col min="1799" max="1799" width="11.625" customWidth="1"/>
    <col min="1800" max="1800" width="15.5" customWidth="1"/>
    <col min="1801" max="1801" width="18.75" customWidth="1"/>
    <col min="1802" max="1802" width="15.375" customWidth="1"/>
    <col min="1803" max="1803" width="15.125" customWidth="1"/>
    <col min="1805" max="1805" width="11" customWidth="1"/>
    <col min="1806" max="1806" width="10.625" customWidth="1"/>
    <col min="1807" max="1807" width="9.625" customWidth="1"/>
    <col min="2050" max="2050" width="7" customWidth="1"/>
    <col min="2051" max="2051" width="17.75" customWidth="1"/>
    <col min="2052" max="2052" width="10.875" customWidth="1"/>
    <col min="2053" max="2053" width="11.25" customWidth="1"/>
    <col min="2054" max="2054" width="11.5" customWidth="1"/>
    <col min="2055" max="2055" width="11.625" customWidth="1"/>
    <col min="2056" max="2056" width="15.5" customWidth="1"/>
    <col min="2057" max="2057" width="18.75" customWidth="1"/>
    <col min="2058" max="2058" width="15.375" customWidth="1"/>
    <col min="2059" max="2059" width="15.125" customWidth="1"/>
    <col min="2061" max="2061" width="11" customWidth="1"/>
    <col min="2062" max="2062" width="10.625" customWidth="1"/>
    <col min="2063" max="2063" width="9.625" customWidth="1"/>
    <col min="2306" max="2306" width="7" customWidth="1"/>
    <col min="2307" max="2307" width="17.75" customWidth="1"/>
    <col min="2308" max="2308" width="10.875" customWidth="1"/>
    <col min="2309" max="2309" width="11.25" customWidth="1"/>
    <col min="2310" max="2310" width="11.5" customWidth="1"/>
    <col min="2311" max="2311" width="11.625" customWidth="1"/>
    <col min="2312" max="2312" width="15.5" customWidth="1"/>
    <col min="2313" max="2313" width="18.75" customWidth="1"/>
    <col min="2314" max="2314" width="15.375" customWidth="1"/>
    <col min="2315" max="2315" width="15.125" customWidth="1"/>
    <col min="2317" max="2317" width="11" customWidth="1"/>
    <col min="2318" max="2318" width="10.625" customWidth="1"/>
    <col min="2319" max="2319" width="9.625" customWidth="1"/>
    <col min="2562" max="2562" width="7" customWidth="1"/>
    <col min="2563" max="2563" width="17.75" customWidth="1"/>
    <col min="2564" max="2564" width="10.875" customWidth="1"/>
    <col min="2565" max="2565" width="11.25" customWidth="1"/>
    <col min="2566" max="2566" width="11.5" customWidth="1"/>
    <col min="2567" max="2567" width="11.625" customWidth="1"/>
    <col min="2568" max="2568" width="15.5" customWidth="1"/>
    <col min="2569" max="2569" width="18.75" customWidth="1"/>
    <col min="2570" max="2570" width="15.375" customWidth="1"/>
    <col min="2571" max="2571" width="15.125" customWidth="1"/>
    <col min="2573" max="2573" width="11" customWidth="1"/>
    <col min="2574" max="2574" width="10.625" customWidth="1"/>
    <col min="2575" max="2575" width="9.625" customWidth="1"/>
    <col min="2818" max="2818" width="7" customWidth="1"/>
    <col min="2819" max="2819" width="17.75" customWidth="1"/>
    <col min="2820" max="2820" width="10.875" customWidth="1"/>
    <col min="2821" max="2821" width="11.25" customWidth="1"/>
    <col min="2822" max="2822" width="11.5" customWidth="1"/>
    <col min="2823" max="2823" width="11.625" customWidth="1"/>
    <col min="2824" max="2824" width="15.5" customWidth="1"/>
    <col min="2825" max="2825" width="18.75" customWidth="1"/>
    <col min="2826" max="2826" width="15.375" customWidth="1"/>
    <col min="2827" max="2827" width="15.125" customWidth="1"/>
    <col min="2829" max="2829" width="11" customWidth="1"/>
    <col min="2830" max="2830" width="10.625" customWidth="1"/>
    <col min="2831" max="2831" width="9.625" customWidth="1"/>
    <col min="3074" max="3074" width="7" customWidth="1"/>
    <col min="3075" max="3075" width="17.75" customWidth="1"/>
    <col min="3076" max="3076" width="10.875" customWidth="1"/>
    <col min="3077" max="3077" width="11.25" customWidth="1"/>
    <col min="3078" max="3078" width="11.5" customWidth="1"/>
    <col min="3079" max="3079" width="11.625" customWidth="1"/>
    <col min="3080" max="3080" width="15.5" customWidth="1"/>
    <col min="3081" max="3081" width="18.75" customWidth="1"/>
    <col min="3082" max="3082" width="15.375" customWidth="1"/>
    <col min="3083" max="3083" width="15.125" customWidth="1"/>
    <col min="3085" max="3085" width="11" customWidth="1"/>
    <col min="3086" max="3086" width="10.625" customWidth="1"/>
    <col min="3087" max="3087" width="9.625" customWidth="1"/>
    <col min="3330" max="3330" width="7" customWidth="1"/>
    <col min="3331" max="3331" width="17.75" customWidth="1"/>
    <col min="3332" max="3332" width="10.875" customWidth="1"/>
    <col min="3333" max="3333" width="11.25" customWidth="1"/>
    <col min="3334" max="3334" width="11.5" customWidth="1"/>
    <col min="3335" max="3335" width="11.625" customWidth="1"/>
    <col min="3336" max="3336" width="15.5" customWidth="1"/>
    <col min="3337" max="3337" width="18.75" customWidth="1"/>
    <col min="3338" max="3338" width="15.375" customWidth="1"/>
    <col min="3339" max="3339" width="15.125" customWidth="1"/>
    <col min="3341" max="3341" width="11" customWidth="1"/>
    <col min="3342" max="3342" width="10.625" customWidth="1"/>
    <col min="3343" max="3343" width="9.625" customWidth="1"/>
    <col min="3586" max="3586" width="7" customWidth="1"/>
    <col min="3587" max="3587" width="17.75" customWidth="1"/>
    <col min="3588" max="3588" width="10.875" customWidth="1"/>
    <col min="3589" max="3589" width="11.25" customWidth="1"/>
    <col min="3590" max="3590" width="11.5" customWidth="1"/>
    <col min="3591" max="3591" width="11.625" customWidth="1"/>
    <col min="3592" max="3592" width="15.5" customWidth="1"/>
    <col min="3593" max="3593" width="18.75" customWidth="1"/>
    <col min="3594" max="3594" width="15.375" customWidth="1"/>
    <col min="3595" max="3595" width="15.125" customWidth="1"/>
    <col min="3597" max="3597" width="11" customWidth="1"/>
    <col min="3598" max="3598" width="10.625" customWidth="1"/>
    <col min="3599" max="3599" width="9.625" customWidth="1"/>
    <col min="3842" max="3842" width="7" customWidth="1"/>
    <col min="3843" max="3843" width="17.75" customWidth="1"/>
    <col min="3844" max="3844" width="10.875" customWidth="1"/>
    <col min="3845" max="3845" width="11.25" customWidth="1"/>
    <col min="3846" max="3846" width="11.5" customWidth="1"/>
    <col min="3847" max="3847" width="11.625" customWidth="1"/>
    <col min="3848" max="3848" width="15.5" customWidth="1"/>
    <col min="3849" max="3849" width="18.75" customWidth="1"/>
    <col min="3850" max="3850" width="15.375" customWidth="1"/>
    <col min="3851" max="3851" width="15.125" customWidth="1"/>
    <col min="3853" max="3853" width="11" customWidth="1"/>
    <col min="3854" max="3854" width="10.625" customWidth="1"/>
    <col min="3855" max="3855" width="9.625" customWidth="1"/>
    <col min="4098" max="4098" width="7" customWidth="1"/>
    <col min="4099" max="4099" width="17.75" customWidth="1"/>
    <col min="4100" max="4100" width="10.875" customWidth="1"/>
    <col min="4101" max="4101" width="11.25" customWidth="1"/>
    <col min="4102" max="4102" width="11.5" customWidth="1"/>
    <col min="4103" max="4103" width="11.625" customWidth="1"/>
    <col min="4104" max="4104" width="15.5" customWidth="1"/>
    <col min="4105" max="4105" width="18.75" customWidth="1"/>
    <col min="4106" max="4106" width="15.375" customWidth="1"/>
    <col min="4107" max="4107" width="15.125" customWidth="1"/>
    <col min="4109" max="4109" width="11" customWidth="1"/>
    <col min="4110" max="4110" width="10.625" customWidth="1"/>
    <col min="4111" max="4111" width="9.625" customWidth="1"/>
    <col min="4354" max="4354" width="7" customWidth="1"/>
    <col min="4355" max="4355" width="17.75" customWidth="1"/>
    <col min="4356" max="4356" width="10.875" customWidth="1"/>
    <col min="4357" max="4357" width="11.25" customWidth="1"/>
    <col min="4358" max="4358" width="11.5" customWidth="1"/>
    <col min="4359" max="4359" width="11.625" customWidth="1"/>
    <col min="4360" max="4360" width="15.5" customWidth="1"/>
    <col min="4361" max="4361" width="18.75" customWidth="1"/>
    <col min="4362" max="4362" width="15.375" customWidth="1"/>
    <col min="4363" max="4363" width="15.125" customWidth="1"/>
    <col min="4365" max="4365" width="11" customWidth="1"/>
    <col min="4366" max="4366" width="10.625" customWidth="1"/>
    <col min="4367" max="4367" width="9.625" customWidth="1"/>
    <col min="4610" max="4610" width="7" customWidth="1"/>
    <col min="4611" max="4611" width="17.75" customWidth="1"/>
    <col min="4612" max="4612" width="10.875" customWidth="1"/>
    <col min="4613" max="4613" width="11.25" customWidth="1"/>
    <col min="4614" max="4614" width="11.5" customWidth="1"/>
    <col min="4615" max="4615" width="11.625" customWidth="1"/>
    <col min="4616" max="4616" width="15.5" customWidth="1"/>
    <col min="4617" max="4617" width="18.75" customWidth="1"/>
    <col min="4618" max="4618" width="15.375" customWidth="1"/>
    <col min="4619" max="4619" width="15.125" customWidth="1"/>
    <col min="4621" max="4621" width="11" customWidth="1"/>
    <col min="4622" max="4622" width="10.625" customWidth="1"/>
    <col min="4623" max="4623" width="9.625" customWidth="1"/>
    <col min="4866" max="4866" width="7" customWidth="1"/>
    <col min="4867" max="4867" width="17.75" customWidth="1"/>
    <col min="4868" max="4868" width="10.875" customWidth="1"/>
    <col min="4869" max="4869" width="11.25" customWidth="1"/>
    <col min="4870" max="4870" width="11.5" customWidth="1"/>
    <col min="4871" max="4871" width="11.625" customWidth="1"/>
    <col min="4872" max="4872" width="15.5" customWidth="1"/>
    <col min="4873" max="4873" width="18.75" customWidth="1"/>
    <col min="4874" max="4874" width="15.375" customWidth="1"/>
    <col min="4875" max="4875" width="15.125" customWidth="1"/>
    <col min="4877" max="4877" width="11" customWidth="1"/>
    <col min="4878" max="4878" width="10.625" customWidth="1"/>
    <col min="4879" max="4879" width="9.625" customWidth="1"/>
    <col min="5122" max="5122" width="7" customWidth="1"/>
    <col min="5123" max="5123" width="17.75" customWidth="1"/>
    <col min="5124" max="5124" width="10.875" customWidth="1"/>
    <col min="5125" max="5125" width="11.25" customWidth="1"/>
    <col min="5126" max="5126" width="11.5" customWidth="1"/>
    <col min="5127" max="5127" width="11.625" customWidth="1"/>
    <col min="5128" max="5128" width="15.5" customWidth="1"/>
    <col min="5129" max="5129" width="18.75" customWidth="1"/>
    <col min="5130" max="5130" width="15.375" customWidth="1"/>
    <col min="5131" max="5131" width="15.125" customWidth="1"/>
    <col min="5133" max="5133" width="11" customWidth="1"/>
    <col min="5134" max="5134" width="10.625" customWidth="1"/>
    <col min="5135" max="5135" width="9.625" customWidth="1"/>
    <col min="5378" max="5378" width="7" customWidth="1"/>
    <col min="5379" max="5379" width="17.75" customWidth="1"/>
    <col min="5380" max="5380" width="10.875" customWidth="1"/>
    <col min="5381" max="5381" width="11.25" customWidth="1"/>
    <col min="5382" max="5382" width="11.5" customWidth="1"/>
    <col min="5383" max="5383" width="11.625" customWidth="1"/>
    <col min="5384" max="5384" width="15.5" customWidth="1"/>
    <col min="5385" max="5385" width="18.75" customWidth="1"/>
    <col min="5386" max="5386" width="15.375" customWidth="1"/>
    <col min="5387" max="5387" width="15.125" customWidth="1"/>
    <col min="5389" max="5389" width="11" customWidth="1"/>
    <col min="5390" max="5390" width="10.625" customWidth="1"/>
    <col min="5391" max="5391" width="9.625" customWidth="1"/>
    <col min="5634" max="5634" width="7" customWidth="1"/>
    <col min="5635" max="5635" width="17.75" customWidth="1"/>
    <col min="5636" max="5636" width="10.875" customWidth="1"/>
    <col min="5637" max="5637" width="11.25" customWidth="1"/>
    <col min="5638" max="5638" width="11.5" customWidth="1"/>
    <col min="5639" max="5639" width="11.625" customWidth="1"/>
    <col min="5640" max="5640" width="15.5" customWidth="1"/>
    <col min="5641" max="5641" width="18.75" customWidth="1"/>
    <col min="5642" max="5642" width="15.375" customWidth="1"/>
    <col min="5643" max="5643" width="15.125" customWidth="1"/>
    <col min="5645" max="5645" width="11" customWidth="1"/>
    <col min="5646" max="5646" width="10.625" customWidth="1"/>
    <col min="5647" max="5647" width="9.625" customWidth="1"/>
    <col min="5890" max="5890" width="7" customWidth="1"/>
    <col min="5891" max="5891" width="17.75" customWidth="1"/>
    <col min="5892" max="5892" width="10.875" customWidth="1"/>
    <col min="5893" max="5893" width="11.25" customWidth="1"/>
    <col min="5894" max="5894" width="11.5" customWidth="1"/>
    <col min="5895" max="5895" width="11.625" customWidth="1"/>
    <col min="5896" max="5896" width="15.5" customWidth="1"/>
    <col min="5897" max="5897" width="18.75" customWidth="1"/>
    <col min="5898" max="5898" width="15.375" customWidth="1"/>
    <col min="5899" max="5899" width="15.125" customWidth="1"/>
    <col min="5901" max="5901" width="11" customWidth="1"/>
    <col min="5902" max="5902" width="10.625" customWidth="1"/>
    <col min="5903" max="5903" width="9.625" customWidth="1"/>
    <col min="6146" max="6146" width="7" customWidth="1"/>
    <col min="6147" max="6147" width="17.75" customWidth="1"/>
    <col min="6148" max="6148" width="10.875" customWidth="1"/>
    <col min="6149" max="6149" width="11.25" customWidth="1"/>
    <col min="6150" max="6150" width="11.5" customWidth="1"/>
    <col min="6151" max="6151" width="11.625" customWidth="1"/>
    <col min="6152" max="6152" width="15.5" customWidth="1"/>
    <col min="6153" max="6153" width="18.75" customWidth="1"/>
    <col min="6154" max="6154" width="15.375" customWidth="1"/>
    <col min="6155" max="6155" width="15.125" customWidth="1"/>
    <col min="6157" max="6157" width="11" customWidth="1"/>
    <col min="6158" max="6158" width="10.625" customWidth="1"/>
    <col min="6159" max="6159" width="9.625" customWidth="1"/>
    <col min="6402" max="6402" width="7" customWidth="1"/>
    <col min="6403" max="6403" width="17.75" customWidth="1"/>
    <col min="6404" max="6404" width="10.875" customWidth="1"/>
    <col min="6405" max="6405" width="11.25" customWidth="1"/>
    <col min="6406" max="6406" width="11.5" customWidth="1"/>
    <col min="6407" max="6407" width="11.625" customWidth="1"/>
    <col min="6408" max="6408" width="15.5" customWidth="1"/>
    <col min="6409" max="6409" width="18.75" customWidth="1"/>
    <col min="6410" max="6410" width="15.375" customWidth="1"/>
    <col min="6411" max="6411" width="15.125" customWidth="1"/>
    <col min="6413" max="6413" width="11" customWidth="1"/>
    <col min="6414" max="6414" width="10.625" customWidth="1"/>
    <col min="6415" max="6415" width="9.625" customWidth="1"/>
    <col min="6658" max="6658" width="7" customWidth="1"/>
    <col min="6659" max="6659" width="17.75" customWidth="1"/>
    <col min="6660" max="6660" width="10.875" customWidth="1"/>
    <col min="6661" max="6661" width="11.25" customWidth="1"/>
    <col min="6662" max="6662" width="11.5" customWidth="1"/>
    <col min="6663" max="6663" width="11.625" customWidth="1"/>
    <col min="6664" max="6664" width="15.5" customWidth="1"/>
    <col min="6665" max="6665" width="18.75" customWidth="1"/>
    <col min="6666" max="6666" width="15.375" customWidth="1"/>
    <col min="6667" max="6667" width="15.125" customWidth="1"/>
    <col min="6669" max="6669" width="11" customWidth="1"/>
    <col min="6670" max="6670" width="10.625" customWidth="1"/>
    <col min="6671" max="6671" width="9.625" customWidth="1"/>
    <col min="6914" max="6914" width="7" customWidth="1"/>
    <col min="6915" max="6915" width="17.75" customWidth="1"/>
    <col min="6916" max="6916" width="10.875" customWidth="1"/>
    <col min="6917" max="6917" width="11.25" customWidth="1"/>
    <col min="6918" max="6918" width="11.5" customWidth="1"/>
    <col min="6919" max="6919" width="11.625" customWidth="1"/>
    <col min="6920" max="6920" width="15.5" customWidth="1"/>
    <col min="6921" max="6921" width="18.75" customWidth="1"/>
    <col min="6922" max="6922" width="15.375" customWidth="1"/>
    <col min="6923" max="6923" width="15.125" customWidth="1"/>
    <col min="6925" max="6925" width="11" customWidth="1"/>
    <col min="6926" max="6926" width="10.625" customWidth="1"/>
    <col min="6927" max="6927" width="9.625" customWidth="1"/>
    <col min="7170" max="7170" width="7" customWidth="1"/>
    <col min="7171" max="7171" width="17.75" customWidth="1"/>
    <col min="7172" max="7172" width="10.875" customWidth="1"/>
    <col min="7173" max="7173" width="11.25" customWidth="1"/>
    <col min="7174" max="7174" width="11.5" customWidth="1"/>
    <col min="7175" max="7175" width="11.625" customWidth="1"/>
    <col min="7176" max="7176" width="15.5" customWidth="1"/>
    <col min="7177" max="7177" width="18.75" customWidth="1"/>
    <col min="7178" max="7178" width="15.375" customWidth="1"/>
    <col min="7179" max="7179" width="15.125" customWidth="1"/>
    <col min="7181" max="7181" width="11" customWidth="1"/>
    <col min="7182" max="7182" width="10.625" customWidth="1"/>
    <col min="7183" max="7183" width="9.625" customWidth="1"/>
    <col min="7426" max="7426" width="7" customWidth="1"/>
    <col min="7427" max="7427" width="17.75" customWidth="1"/>
    <col min="7428" max="7428" width="10.875" customWidth="1"/>
    <col min="7429" max="7429" width="11.25" customWidth="1"/>
    <col min="7430" max="7430" width="11.5" customWidth="1"/>
    <col min="7431" max="7431" width="11.625" customWidth="1"/>
    <col min="7432" max="7432" width="15.5" customWidth="1"/>
    <col min="7433" max="7433" width="18.75" customWidth="1"/>
    <col min="7434" max="7434" width="15.375" customWidth="1"/>
    <col min="7435" max="7435" width="15.125" customWidth="1"/>
    <col min="7437" max="7437" width="11" customWidth="1"/>
    <col min="7438" max="7438" width="10.625" customWidth="1"/>
    <col min="7439" max="7439" width="9.625" customWidth="1"/>
    <col min="7682" max="7682" width="7" customWidth="1"/>
    <col min="7683" max="7683" width="17.75" customWidth="1"/>
    <col min="7684" max="7684" width="10.875" customWidth="1"/>
    <col min="7685" max="7685" width="11.25" customWidth="1"/>
    <col min="7686" max="7686" width="11.5" customWidth="1"/>
    <col min="7687" max="7687" width="11.625" customWidth="1"/>
    <col min="7688" max="7688" width="15.5" customWidth="1"/>
    <col min="7689" max="7689" width="18.75" customWidth="1"/>
    <col min="7690" max="7690" width="15.375" customWidth="1"/>
    <col min="7691" max="7691" width="15.125" customWidth="1"/>
    <col min="7693" max="7693" width="11" customWidth="1"/>
    <col min="7694" max="7694" width="10.625" customWidth="1"/>
    <col min="7695" max="7695" width="9.625" customWidth="1"/>
    <col min="7938" max="7938" width="7" customWidth="1"/>
    <col min="7939" max="7939" width="17.75" customWidth="1"/>
    <col min="7940" max="7940" width="10.875" customWidth="1"/>
    <col min="7941" max="7941" width="11.25" customWidth="1"/>
    <col min="7942" max="7942" width="11.5" customWidth="1"/>
    <col min="7943" max="7943" width="11.625" customWidth="1"/>
    <col min="7944" max="7944" width="15.5" customWidth="1"/>
    <col min="7945" max="7945" width="18.75" customWidth="1"/>
    <col min="7946" max="7946" width="15.375" customWidth="1"/>
    <col min="7947" max="7947" width="15.125" customWidth="1"/>
    <col min="7949" max="7949" width="11" customWidth="1"/>
    <col min="7950" max="7950" width="10.625" customWidth="1"/>
    <col min="7951" max="7951" width="9.625" customWidth="1"/>
    <col min="8194" max="8194" width="7" customWidth="1"/>
    <col min="8195" max="8195" width="17.75" customWidth="1"/>
    <col min="8196" max="8196" width="10.875" customWidth="1"/>
    <col min="8197" max="8197" width="11.25" customWidth="1"/>
    <col min="8198" max="8198" width="11.5" customWidth="1"/>
    <col min="8199" max="8199" width="11.625" customWidth="1"/>
    <col min="8200" max="8200" width="15.5" customWidth="1"/>
    <col min="8201" max="8201" width="18.75" customWidth="1"/>
    <col min="8202" max="8202" width="15.375" customWidth="1"/>
    <col min="8203" max="8203" width="15.125" customWidth="1"/>
    <col min="8205" max="8205" width="11" customWidth="1"/>
    <col min="8206" max="8206" width="10.625" customWidth="1"/>
    <col min="8207" max="8207" width="9.625" customWidth="1"/>
    <col min="8450" max="8450" width="7" customWidth="1"/>
    <col min="8451" max="8451" width="17.75" customWidth="1"/>
    <col min="8452" max="8452" width="10.875" customWidth="1"/>
    <col min="8453" max="8453" width="11.25" customWidth="1"/>
    <col min="8454" max="8454" width="11.5" customWidth="1"/>
    <col min="8455" max="8455" width="11.625" customWidth="1"/>
    <col min="8456" max="8456" width="15.5" customWidth="1"/>
    <col min="8457" max="8457" width="18.75" customWidth="1"/>
    <col min="8458" max="8458" width="15.375" customWidth="1"/>
    <col min="8459" max="8459" width="15.125" customWidth="1"/>
    <col min="8461" max="8461" width="11" customWidth="1"/>
    <col min="8462" max="8462" width="10.625" customWidth="1"/>
    <col min="8463" max="8463" width="9.625" customWidth="1"/>
    <col min="8706" max="8706" width="7" customWidth="1"/>
    <col min="8707" max="8707" width="17.75" customWidth="1"/>
    <col min="8708" max="8708" width="10.875" customWidth="1"/>
    <col min="8709" max="8709" width="11.25" customWidth="1"/>
    <col min="8710" max="8710" width="11.5" customWidth="1"/>
    <col min="8711" max="8711" width="11.625" customWidth="1"/>
    <col min="8712" max="8712" width="15.5" customWidth="1"/>
    <col min="8713" max="8713" width="18.75" customWidth="1"/>
    <col min="8714" max="8714" width="15.375" customWidth="1"/>
    <col min="8715" max="8715" width="15.125" customWidth="1"/>
    <col min="8717" max="8717" width="11" customWidth="1"/>
    <col min="8718" max="8718" width="10.625" customWidth="1"/>
    <col min="8719" max="8719" width="9.625" customWidth="1"/>
    <col min="8962" max="8962" width="7" customWidth="1"/>
    <col min="8963" max="8963" width="17.75" customWidth="1"/>
    <col min="8964" max="8964" width="10.875" customWidth="1"/>
    <col min="8965" max="8965" width="11.25" customWidth="1"/>
    <col min="8966" max="8966" width="11.5" customWidth="1"/>
    <col min="8967" max="8967" width="11.625" customWidth="1"/>
    <col min="8968" max="8968" width="15.5" customWidth="1"/>
    <col min="8969" max="8969" width="18.75" customWidth="1"/>
    <col min="8970" max="8970" width="15.375" customWidth="1"/>
    <col min="8971" max="8971" width="15.125" customWidth="1"/>
    <col min="8973" max="8973" width="11" customWidth="1"/>
    <col min="8974" max="8974" width="10.625" customWidth="1"/>
    <col min="8975" max="8975" width="9.625" customWidth="1"/>
    <col min="9218" max="9218" width="7" customWidth="1"/>
    <col min="9219" max="9219" width="17.75" customWidth="1"/>
    <col min="9220" max="9220" width="10.875" customWidth="1"/>
    <col min="9221" max="9221" width="11.25" customWidth="1"/>
    <col min="9222" max="9222" width="11.5" customWidth="1"/>
    <col min="9223" max="9223" width="11.625" customWidth="1"/>
    <col min="9224" max="9224" width="15.5" customWidth="1"/>
    <col min="9225" max="9225" width="18.75" customWidth="1"/>
    <col min="9226" max="9226" width="15.375" customWidth="1"/>
    <col min="9227" max="9227" width="15.125" customWidth="1"/>
    <col min="9229" max="9229" width="11" customWidth="1"/>
    <col min="9230" max="9230" width="10.625" customWidth="1"/>
    <col min="9231" max="9231" width="9.625" customWidth="1"/>
    <col min="9474" max="9474" width="7" customWidth="1"/>
    <col min="9475" max="9475" width="17.75" customWidth="1"/>
    <col min="9476" max="9476" width="10.875" customWidth="1"/>
    <col min="9477" max="9477" width="11.25" customWidth="1"/>
    <col min="9478" max="9478" width="11.5" customWidth="1"/>
    <col min="9479" max="9479" width="11.625" customWidth="1"/>
    <col min="9480" max="9480" width="15.5" customWidth="1"/>
    <col min="9481" max="9481" width="18.75" customWidth="1"/>
    <col min="9482" max="9482" width="15.375" customWidth="1"/>
    <col min="9483" max="9483" width="15.125" customWidth="1"/>
    <col min="9485" max="9485" width="11" customWidth="1"/>
    <col min="9486" max="9486" width="10.625" customWidth="1"/>
    <col min="9487" max="9487" width="9.625" customWidth="1"/>
    <col min="9730" max="9730" width="7" customWidth="1"/>
    <col min="9731" max="9731" width="17.75" customWidth="1"/>
    <col min="9732" max="9732" width="10.875" customWidth="1"/>
    <col min="9733" max="9733" width="11.25" customWidth="1"/>
    <col min="9734" max="9734" width="11.5" customWidth="1"/>
    <col min="9735" max="9735" width="11.625" customWidth="1"/>
    <col min="9736" max="9736" width="15.5" customWidth="1"/>
    <col min="9737" max="9737" width="18.75" customWidth="1"/>
    <col min="9738" max="9738" width="15.375" customWidth="1"/>
    <col min="9739" max="9739" width="15.125" customWidth="1"/>
    <col min="9741" max="9741" width="11" customWidth="1"/>
    <col min="9742" max="9742" width="10.625" customWidth="1"/>
    <col min="9743" max="9743" width="9.625" customWidth="1"/>
    <col min="9986" max="9986" width="7" customWidth="1"/>
    <col min="9987" max="9987" width="17.75" customWidth="1"/>
    <col min="9988" max="9988" width="10.875" customWidth="1"/>
    <col min="9989" max="9989" width="11.25" customWidth="1"/>
    <col min="9990" max="9990" width="11.5" customWidth="1"/>
    <col min="9991" max="9991" width="11.625" customWidth="1"/>
    <col min="9992" max="9992" width="15.5" customWidth="1"/>
    <col min="9993" max="9993" width="18.75" customWidth="1"/>
    <col min="9994" max="9994" width="15.375" customWidth="1"/>
    <col min="9995" max="9995" width="15.125" customWidth="1"/>
    <col min="9997" max="9997" width="11" customWidth="1"/>
    <col min="9998" max="9998" width="10.625" customWidth="1"/>
    <col min="9999" max="9999" width="9.625" customWidth="1"/>
    <col min="10242" max="10242" width="7" customWidth="1"/>
    <col min="10243" max="10243" width="17.75" customWidth="1"/>
    <col min="10244" max="10244" width="10.875" customWidth="1"/>
    <col min="10245" max="10245" width="11.25" customWidth="1"/>
    <col min="10246" max="10246" width="11.5" customWidth="1"/>
    <col min="10247" max="10247" width="11.625" customWidth="1"/>
    <col min="10248" max="10248" width="15.5" customWidth="1"/>
    <col min="10249" max="10249" width="18.75" customWidth="1"/>
    <col min="10250" max="10250" width="15.375" customWidth="1"/>
    <col min="10251" max="10251" width="15.125" customWidth="1"/>
    <col min="10253" max="10253" width="11" customWidth="1"/>
    <col min="10254" max="10254" width="10.625" customWidth="1"/>
    <col min="10255" max="10255" width="9.625" customWidth="1"/>
    <col min="10498" max="10498" width="7" customWidth="1"/>
    <col min="10499" max="10499" width="17.75" customWidth="1"/>
    <col min="10500" max="10500" width="10.875" customWidth="1"/>
    <col min="10501" max="10501" width="11.25" customWidth="1"/>
    <col min="10502" max="10502" width="11.5" customWidth="1"/>
    <col min="10503" max="10503" width="11.625" customWidth="1"/>
    <col min="10504" max="10504" width="15.5" customWidth="1"/>
    <col min="10505" max="10505" width="18.75" customWidth="1"/>
    <col min="10506" max="10506" width="15.375" customWidth="1"/>
    <col min="10507" max="10507" width="15.125" customWidth="1"/>
    <col min="10509" max="10509" width="11" customWidth="1"/>
    <col min="10510" max="10510" width="10.625" customWidth="1"/>
    <col min="10511" max="10511" width="9.625" customWidth="1"/>
    <col min="10754" max="10754" width="7" customWidth="1"/>
    <col min="10755" max="10755" width="17.75" customWidth="1"/>
    <col min="10756" max="10756" width="10.875" customWidth="1"/>
    <col min="10757" max="10757" width="11.25" customWidth="1"/>
    <col min="10758" max="10758" width="11.5" customWidth="1"/>
    <col min="10759" max="10759" width="11.625" customWidth="1"/>
    <col min="10760" max="10760" width="15.5" customWidth="1"/>
    <col min="10761" max="10761" width="18.75" customWidth="1"/>
    <col min="10762" max="10762" width="15.375" customWidth="1"/>
    <col min="10763" max="10763" width="15.125" customWidth="1"/>
    <col min="10765" max="10765" width="11" customWidth="1"/>
    <col min="10766" max="10766" width="10.625" customWidth="1"/>
    <col min="10767" max="10767" width="9.625" customWidth="1"/>
    <col min="11010" max="11010" width="7" customWidth="1"/>
    <col min="11011" max="11011" width="17.75" customWidth="1"/>
    <col min="11012" max="11012" width="10.875" customWidth="1"/>
    <col min="11013" max="11013" width="11.25" customWidth="1"/>
    <col min="11014" max="11014" width="11.5" customWidth="1"/>
    <col min="11015" max="11015" width="11.625" customWidth="1"/>
    <col min="11016" max="11016" width="15.5" customWidth="1"/>
    <col min="11017" max="11017" width="18.75" customWidth="1"/>
    <col min="11018" max="11018" width="15.375" customWidth="1"/>
    <col min="11019" max="11019" width="15.125" customWidth="1"/>
    <col min="11021" max="11021" width="11" customWidth="1"/>
    <col min="11022" max="11022" width="10.625" customWidth="1"/>
    <col min="11023" max="11023" width="9.625" customWidth="1"/>
    <col min="11266" max="11266" width="7" customWidth="1"/>
    <col min="11267" max="11267" width="17.75" customWidth="1"/>
    <col min="11268" max="11268" width="10.875" customWidth="1"/>
    <col min="11269" max="11269" width="11.25" customWidth="1"/>
    <col min="11270" max="11270" width="11.5" customWidth="1"/>
    <col min="11271" max="11271" width="11.625" customWidth="1"/>
    <col min="11272" max="11272" width="15.5" customWidth="1"/>
    <col min="11273" max="11273" width="18.75" customWidth="1"/>
    <col min="11274" max="11274" width="15.375" customWidth="1"/>
    <col min="11275" max="11275" width="15.125" customWidth="1"/>
    <col min="11277" max="11277" width="11" customWidth="1"/>
    <col min="11278" max="11278" width="10.625" customWidth="1"/>
    <col min="11279" max="11279" width="9.625" customWidth="1"/>
    <col min="11522" max="11522" width="7" customWidth="1"/>
    <col min="11523" max="11523" width="17.75" customWidth="1"/>
    <col min="11524" max="11524" width="10.875" customWidth="1"/>
    <col min="11525" max="11525" width="11.25" customWidth="1"/>
    <col min="11526" max="11526" width="11.5" customWidth="1"/>
    <col min="11527" max="11527" width="11.625" customWidth="1"/>
    <col min="11528" max="11528" width="15.5" customWidth="1"/>
    <col min="11529" max="11529" width="18.75" customWidth="1"/>
    <col min="11530" max="11530" width="15.375" customWidth="1"/>
    <col min="11531" max="11531" width="15.125" customWidth="1"/>
    <col min="11533" max="11533" width="11" customWidth="1"/>
    <col min="11534" max="11534" width="10.625" customWidth="1"/>
    <col min="11535" max="11535" width="9.625" customWidth="1"/>
    <col min="11778" max="11778" width="7" customWidth="1"/>
    <col min="11779" max="11779" width="17.75" customWidth="1"/>
    <col min="11780" max="11780" width="10.875" customWidth="1"/>
    <col min="11781" max="11781" width="11.25" customWidth="1"/>
    <col min="11782" max="11782" width="11.5" customWidth="1"/>
    <col min="11783" max="11783" width="11.625" customWidth="1"/>
    <col min="11784" max="11784" width="15.5" customWidth="1"/>
    <col min="11785" max="11785" width="18.75" customWidth="1"/>
    <col min="11786" max="11786" width="15.375" customWidth="1"/>
    <col min="11787" max="11787" width="15.125" customWidth="1"/>
    <col min="11789" max="11789" width="11" customWidth="1"/>
    <col min="11790" max="11790" width="10.625" customWidth="1"/>
    <col min="11791" max="11791" width="9.625" customWidth="1"/>
    <col min="12034" max="12034" width="7" customWidth="1"/>
    <col min="12035" max="12035" width="17.75" customWidth="1"/>
    <col min="12036" max="12036" width="10.875" customWidth="1"/>
    <col min="12037" max="12037" width="11.25" customWidth="1"/>
    <col min="12038" max="12038" width="11.5" customWidth="1"/>
    <col min="12039" max="12039" width="11.625" customWidth="1"/>
    <col min="12040" max="12040" width="15.5" customWidth="1"/>
    <col min="12041" max="12041" width="18.75" customWidth="1"/>
    <col min="12042" max="12042" width="15.375" customWidth="1"/>
    <col min="12043" max="12043" width="15.125" customWidth="1"/>
    <col min="12045" max="12045" width="11" customWidth="1"/>
    <col min="12046" max="12046" width="10.625" customWidth="1"/>
    <col min="12047" max="12047" width="9.625" customWidth="1"/>
    <col min="12290" max="12290" width="7" customWidth="1"/>
    <col min="12291" max="12291" width="17.75" customWidth="1"/>
    <col min="12292" max="12292" width="10.875" customWidth="1"/>
    <col min="12293" max="12293" width="11.25" customWidth="1"/>
    <col min="12294" max="12294" width="11.5" customWidth="1"/>
    <col min="12295" max="12295" width="11.625" customWidth="1"/>
    <col min="12296" max="12296" width="15.5" customWidth="1"/>
    <col min="12297" max="12297" width="18.75" customWidth="1"/>
    <col min="12298" max="12298" width="15.375" customWidth="1"/>
    <col min="12299" max="12299" width="15.125" customWidth="1"/>
    <col min="12301" max="12301" width="11" customWidth="1"/>
    <col min="12302" max="12302" width="10.625" customWidth="1"/>
    <col min="12303" max="12303" width="9.625" customWidth="1"/>
    <col min="12546" max="12546" width="7" customWidth="1"/>
    <col min="12547" max="12547" width="17.75" customWidth="1"/>
    <col min="12548" max="12548" width="10.875" customWidth="1"/>
    <col min="12549" max="12549" width="11.25" customWidth="1"/>
    <col min="12550" max="12550" width="11.5" customWidth="1"/>
    <col min="12551" max="12551" width="11.625" customWidth="1"/>
    <col min="12552" max="12552" width="15.5" customWidth="1"/>
    <col min="12553" max="12553" width="18.75" customWidth="1"/>
    <col min="12554" max="12554" width="15.375" customWidth="1"/>
    <col min="12555" max="12555" width="15.125" customWidth="1"/>
    <col min="12557" max="12557" width="11" customWidth="1"/>
    <col min="12558" max="12558" width="10.625" customWidth="1"/>
    <col min="12559" max="12559" width="9.625" customWidth="1"/>
    <col min="12802" max="12802" width="7" customWidth="1"/>
    <col min="12803" max="12803" width="17.75" customWidth="1"/>
    <col min="12804" max="12804" width="10.875" customWidth="1"/>
    <col min="12805" max="12805" width="11.25" customWidth="1"/>
    <col min="12806" max="12806" width="11.5" customWidth="1"/>
    <col min="12807" max="12807" width="11.625" customWidth="1"/>
    <col min="12808" max="12808" width="15.5" customWidth="1"/>
    <col min="12809" max="12809" width="18.75" customWidth="1"/>
    <col min="12810" max="12810" width="15.375" customWidth="1"/>
    <col min="12811" max="12811" width="15.125" customWidth="1"/>
    <col min="12813" max="12813" width="11" customWidth="1"/>
    <col min="12814" max="12814" width="10.625" customWidth="1"/>
    <col min="12815" max="12815" width="9.625" customWidth="1"/>
    <col min="13058" max="13058" width="7" customWidth="1"/>
    <col min="13059" max="13059" width="17.75" customWidth="1"/>
    <col min="13060" max="13060" width="10.875" customWidth="1"/>
    <col min="13061" max="13061" width="11.25" customWidth="1"/>
    <col min="13062" max="13062" width="11.5" customWidth="1"/>
    <col min="13063" max="13063" width="11.625" customWidth="1"/>
    <col min="13064" max="13064" width="15.5" customWidth="1"/>
    <col min="13065" max="13065" width="18.75" customWidth="1"/>
    <col min="13066" max="13066" width="15.375" customWidth="1"/>
    <col min="13067" max="13067" width="15.125" customWidth="1"/>
    <col min="13069" max="13069" width="11" customWidth="1"/>
    <col min="13070" max="13070" width="10.625" customWidth="1"/>
    <col min="13071" max="13071" width="9.625" customWidth="1"/>
    <col min="13314" max="13314" width="7" customWidth="1"/>
    <col min="13315" max="13315" width="17.75" customWidth="1"/>
    <col min="13316" max="13316" width="10.875" customWidth="1"/>
    <col min="13317" max="13317" width="11.25" customWidth="1"/>
    <col min="13318" max="13318" width="11.5" customWidth="1"/>
    <col min="13319" max="13319" width="11.625" customWidth="1"/>
    <col min="13320" max="13320" width="15.5" customWidth="1"/>
    <col min="13321" max="13321" width="18.75" customWidth="1"/>
    <col min="13322" max="13322" width="15.375" customWidth="1"/>
    <col min="13323" max="13323" width="15.125" customWidth="1"/>
    <col min="13325" max="13325" width="11" customWidth="1"/>
    <col min="13326" max="13326" width="10.625" customWidth="1"/>
    <col min="13327" max="13327" width="9.625" customWidth="1"/>
    <col min="13570" max="13570" width="7" customWidth="1"/>
    <col min="13571" max="13571" width="17.75" customWidth="1"/>
    <col min="13572" max="13572" width="10.875" customWidth="1"/>
    <col min="13573" max="13573" width="11.25" customWidth="1"/>
    <col min="13574" max="13574" width="11.5" customWidth="1"/>
    <col min="13575" max="13575" width="11.625" customWidth="1"/>
    <col min="13576" max="13576" width="15.5" customWidth="1"/>
    <col min="13577" max="13577" width="18.75" customWidth="1"/>
    <col min="13578" max="13578" width="15.375" customWidth="1"/>
    <col min="13579" max="13579" width="15.125" customWidth="1"/>
    <col min="13581" max="13581" width="11" customWidth="1"/>
    <col min="13582" max="13582" width="10.625" customWidth="1"/>
    <col min="13583" max="13583" width="9.625" customWidth="1"/>
    <col min="13826" max="13826" width="7" customWidth="1"/>
    <col min="13827" max="13827" width="17.75" customWidth="1"/>
    <col min="13828" max="13828" width="10.875" customWidth="1"/>
    <col min="13829" max="13829" width="11.25" customWidth="1"/>
    <col min="13830" max="13830" width="11.5" customWidth="1"/>
    <col min="13831" max="13831" width="11.625" customWidth="1"/>
    <col min="13832" max="13832" width="15.5" customWidth="1"/>
    <col min="13833" max="13833" width="18.75" customWidth="1"/>
    <col min="13834" max="13834" width="15.375" customWidth="1"/>
    <col min="13835" max="13835" width="15.125" customWidth="1"/>
    <col min="13837" max="13837" width="11" customWidth="1"/>
    <col min="13838" max="13838" width="10.625" customWidth="1"/>
    <col min="13839" max="13839" width="9.625" customWidth="1"/>
    <col min="14082" max="14082" width="7" customWidth="1"/>
    <col min="14083" max="14083" width="17.75" customWidth="1"/>
    <col min="14084" max="14084" width="10.875" customWidth="1"/>
    <col min="14085" max="14085" width="11.25" customWidth="1"/>
    <col min="14086" max="14086" width="11.5" customWidth="1"/>
    <col min="14087" max="14087" width="11.625" customWidth="1"/>
    <col min="14088" max="14088" width="15.5" customWidth="1"/>
    <col min="14089" max="14089" width="18.75" customWidth="1"/>
    <col min="14090" max="14090" width="15.375" customWidth="1"/>
    <col min="14091" max="14091" width="15.125" customWidth="1"/>
    <col min="14093" max="14093" width="11" customWidth="1"/>
    <col min="14094" max="14094" width="10.625" customWidth="1"/>
    <col min="14095" max="14095" width="9.625" customWidth="1"/>
    <col min="14338" max="14338" width="7" customWidth="1"/>
    <col min="14339" max="14339" width="17.75" customWidth="1"/>
    <col min="14340" max="14340" width="10.875" customWidth="1"/>
    <col min="14341" max="14341" width="11.25" customWidth="1"/>
    <col min="14342" max="14342" width="11.5" customWidth="1"/>
    <col min="14343" max="14343" width="11.625" customWidth="1"/>
    <col min="14344" max="14344" width="15.5" customWidth="1"/>
    <col min="14345" max="14345" width="18.75" customWidth="1"/>
    <col min="14346" max="14346" width="15.375" customWidth="1"/>
    <col min="14347" max="14347" width="15.125" customWidth="1"/>
    <col min="14349" max="14349" width="11" customWidth="1"/>
    <col min="14350" max="14350" width="10.625" customWidth="1"/>
    <col min="14351" max="14351" width="9.625" customWidth="1"/>
    <col min="14594" max="14594" width="7" customWidth="1"/>
    <col min="14595" max="14595" width="17.75" customWidth="1"/>
    <col min="14596" max="14596" width="10.875" customWidth="1"/>
    <col min="14597" max="14597" width="11.25" customWidth="1"/>
    <col min="14598" max="14598" width="11.5" customWidth="1"/>
    <col min="14599" max="14599" width="11.625" customWidth="1"/>
    <col min="14600" max="14600" width="15.5" customWidth="1"/>
    <col min="14601" max="14601" width="18.75" customWidth="1"/>
    <col min="14602" max="14602" width="15.375" customWidth="1"/>
    <col min="14603" max="14603" width="15.125" customWidth="1"/>
    <col min="14605" max="14605" width="11" customWidth="1"/>
    <col min="14606" max="14606" width="10.625" customWidth="1"/>
    <col min="14607" max="14607" width="9.625" customWidth="1"/>
    <col min="14850" max="14850" width="7" customWidth="1"/>
    <col min="14851" max="14851" width="17.75" customWidth="1"/>
    <col min="14852" max="14852" width="10.875" customWidth="1"/>
    <col min="14853" max="14853" width="11.25" customWidth="1"/>
    <col min="14854" max="14854" width="11.5" customWidth="1"/>
    <col min="14855" max="14855" width="11.625" customWidth="1"/>
    <col min="14856" max="14856" width="15.5" customWidth="1"/>
    <col min="14857" max="14857" width="18.75" customWidth="1"/>
    <col min="14858" max="14858" width="15.375" customWidth="1"/>
    <col min="14859" max="14859" width="15.125" customWidth="1"/>
    <col min="14861" max="14861" width="11" customWidth="1"/>
    <col min="14862" max="14862" width="10.625" customWidth="1"/>
    <col min="14863" max="14863" width="9.625" customWidth="1"/>
    <col min="15106" max="15106" width="7" customWidth="1"/>
    <col min="15107" max="15107" width="17.75" customWidth="1"/>
    <col min="15108" max="15108" width="10.875" customWidth="1"/>
    <col min="15109" max="15109" width="11.25" customWidth="1"/>
    <col min="15110" max="15110" width="11.5" customWidth="1"/>
    <col min="15111" max="15111" width="11.625" customWidth="1"/>
    <col min="15112" max="15112" width="15.5" customWidth="1"/>
    <col min="15113" max="15113" width="18.75" customWidth="1"/>
    <col min="15114" max="15114" width="15.375" customWidth="1"/>
    <col min="15115" max="15115" width="15.125" customWidth="1"/>
    <col min="15117" max="15117" width="11" customWidth="1"/>
    <col min="15118" max="15118" width="10.625" customWidth="1"/>
    <col min="15119" max="15119" width="9.625" customWidth="1"/>
    <col min="15362" max="15362" width="7" customWidth="1"/>
    <col min="15363" max="15363" width="17.75" customWidth="1"/>
    <col min="15364" max="15364" width="10.875" customWidth="1"/>
    <col min="15365" max="15365" width="11.25" customWidth="1"/>
    <col min="15366" max="15366" width="11.5" customWidth="1"/>
    <col min="15367" max="15367" width="11.625" customWidth="1"/>
    <col min="15368" max="15368" width="15.5" customWidth="1"/>
    <col min="15369" max="15369" width="18.75" customWidth="1"/>
    <col min="15370" max="15370" width="15.375" customWidth="1"/>
    <col min="15371" max="15371" width="15.125" customWidth="1"/>
    <col min="15373" max="15373" width="11" customWidth="1"/>
    <col min="15374" max="15374" width="10.625" customWidth="1"/>
    <col min="15375" max="15375" width="9.625" customWidth="1"/>
    <col min="15618" max="15618" width="7" customWidth="1"/>
    <col min="15619" max="15619" width="17.75" customWidth="1"/>
    <col min="15620" max="15620" width="10.875" customWidth="1"/>
    <col min="15621" max="15621" width="11.25" customWidth="1"/>
    <col min="15622" max="15622" width="11.5" customWidth="1"/>
    <col min="15623" max="15623" width="11.625" customWidth="1"/>
    <col min="15624" max="15624" width="15.5" customWidth="1"/>
    <col min="15625" max="15625" width="18.75" customWidth="1"/>
    <col min="15626" max="15626" width="15.375" customWidth="1"/>
    <col min="15627" max="15627" width="15.125" customWidth="1"/>
    <col min="15629" max="15629" width="11" customWidth="1"/>
    <col min="15630" max="15630" width="10.625" customWidth="1"/>
    <col min="15631" max="15631" width="9.625" customWidth="1"/>
    <col min="15874" max="15874" width="7" customWidth="1"/>
    <col min="15875" max="15875" width="17.75" customWidth="1"/>
    <col min="15876" max="15876" width="10.875" customWidth="1"/>
    <col min="15877" max="15877" width="11.25" customWidth="1"/>
    <col min="15878" max="15878" width="11.5" customWidth="1"/>
    <col min="15879" max="15879" width="11.625" customWidth="1"/>
    <col min="15880" max="15880" width="15.5" customWidth="1"/>
    <col min="15881" max="15881" width="18.75" customWidth="1"/>
    <col min="15882" max="15882" width="15.375" customWidth="1"/>
    <col min="15883" max="15883" width="15.125" customWidth="1"/>
    <col min="15885" max="15885" width="11" customWidth="1"/>
    <col min="15886" max="15886" width="10.625" customWidth="1"/>
    <col min="15887" max="15887" width="9.625" customWidth="1"/>
    <col min="16130" max="16130" width="7" customWidth="1"/>
    <col min="16131" max="16131" width="17.75" customWidth="1"/>
    <col min="16132" max="16132" width="10.875" customWidth="1"/>
    <col min="16133" max="16133" width="11.25" customWidth="1"/>
    <col min="16134" max="16134" width="11.5" customWidth="1"/>
    <col min="16135" max="16135" width="11.625" customWidth="1"/>
    <col min="16136" max="16136" width="15.5" customWidth="1"/>
    <col min="16137" max="16137" width="18.75" customWidth="1"/>
    <col min="16138" max="16138" width="15.375" customWidth="1"/>
    <col min="16139" max="16139" width="15.125" customWidth="1"/>
    <col min="16141" max="16141" width="11" customWidth="1"/>
    <col min="16142" max="16142" width="10.625" customWidth="1"/>
    <col min="16143" max="16143" width="9.625" customWidth="1"/>
  </cols>
  <sheetData>
    <row r="1" spans="1:25" ht="18.75" x14ac:dyDescent="0.3">
      <c r="G1" s="1" t="s">
        <v>0</v>
      </c>
      <c r="N1" t="s">
        <v>1</v>
      </c>
    </row>
    <row r="2" spans="1:25" ht="18.75" x14ac:dyDescent="0.3">
      <c r="G2" s="1"/>
    </row>
    <row r="3" spans="1:25" ht="18.75" x14ac:dyDescent="0.3">
      <c r="A3" s="545" t="s">
        <v>2</v>
      </c>
      <c r="B3" s="545"/>
      <c r="C3" t="s">
        <v>38</v>
      </c>
      <c r="G3" s="1"/>
    </row>
    <row r="4" spans="1:25" ht="18.75" x14ac:dyDescent="0.3">
      <c r="A4" s="545" t="s">
        <v>3</v>
      </c>
      <c r="B4" s="545"/>
      <c r="C4" t="s">
        <v>40</v>
      </c>
      <c r="G4" s="1"/>
    </row>
    <row r="5" spans="1:25" ht="18.75" x14ac:dyDescent="0.3">
      <c r="A5" s="545" t="s">
        <v>4</v>
      </c>
      <c r="B5" s="545"/>
      <c r="C5" t="s">
        <v>41</v>
      </c>
      <c r="G5" s="1"/>
      <c r="H5" s="29"/>
    </row>
    <row r="6" spans="1:25" ht="18.75" x14ac:dyDescent="0.3">
      <c r="A6" s="545" t="s">
        <v>5</v>
      </c>
      <c r="B6" s="545"/>
      <c r="C6" s="13" t="s">
        <v>513</v>
      </c>
      <c r="G6" s="1"/>
    </row>
    <row r="7" spans="1:25" x14ac:dyDescent="0.25">
      <c r="A7" s="108"/>
      <c r="B7" s="108"/>
    </row>
    <row r="8" spans="1:25" x14ac:dyDescent="0.25">
      <c r="A8" s="108" t="s">
        <v>6</v>
      </c>
      <c r="B8" s="108"/>
    </row>
    <row r="9" spans="1:25" ht="24.75" customHeight="1" x14ac:dyDescent="0.25">
      <c r="A9" s="168" t="s">
        <v>7</v>
      </c>
      <c r="B9" s="538" t="s">
        <v>8</v>
      </c>
      <c r="C9" s="538"/>
      <c r="D9" s="168" t="s">
        <v>9</v>
      </c>
      <c r="E9" s="168" t="s">
        <v>10</v>
      </c>
      <c r="F9" s="541" t="s">
        <v>11</v>
      </c>
      <c r="G9" s="541" t="s">
        <v>12</v>
      </c>
      <c r="H9" s="168" t="s">
        <v>13</v>
      </c>
      <c r="I9" s="168"/>
      <c r="J9" s="168" t="s">
        <v>15</v>
      </c>
      <c r="K9" s="168" t="s">
        <v>16</v>
      </c>
      <c r="L9" s="544" t="s">
        <v>17</v>
      </c>
      <c r="M9" s="544"/>
      <c r="N9" s="544"/>
      <c r="O9" s="168" t="s">
        <v>18</v>
      </c>
      <c r="P9" s="214"/>
      <c r="Q9" s="538" t="s">
        <v>8</v>
      </c>
      <c r="R9" s="538"/>
      <c r="S9" s="210" t="s">
        <v>13</v>
      </c>
      <c r="T9" s="210" t="s">
        <v>15</v>
      </c>
      <c r="U9" s="210" t="s">
        <v>24</v>
      </c>
      <c r="V9" s="210" t="s">
        <v>13</v>
      </c>
    </row>
    <row r="10" spans="1:25" ht="18" x14ac:dyDescent="0.25">
      <c r="A10" s="542" t="s">
        <v>19</v>
      </c>
      <c r="B10" s="546" t="s">
        <v>20</v>
      </c>
      <c r="C10" s="547"/>
      <c r="D10" s="542" t="s">
        <v>21</v>
      </c>
      <c r="E10" s="542" t="s">
        <v>22</v>
      </c>
      <c r="F10" s="542"/>
      <c r="G10" s="542"/>
      <c r="H10" s="104" t="s">
        <v>23</v>
      </c>
      <c r="I10" s="104" t="s">
        <v>14</v>
      </c>
      <c r="J10" s="104" t="s">
        <v>24</v>
      </c>
      <c r="K10" s="104" t="s">
        <v>25</v>
      </c>
      <c r="L10" s="104" t="s">
        <v>26</v>
      </c>
      <c r="M10" s="104" t="s">
        <v>27</v>
      </c>
      <c r="N10" s="104" t="s">
        <v>28</v>
      </c>
      <c r="O10" s="539" t="s">
        <v>29</v>
      </c>
      <c r="P10" s="214"/>
      <c r="Q10" s="546" t="s">
        <v>20</v>
      </c>
      <c r="R10" s="547"/>
      <c r="S10" s="104" t="s">
        <v>23</v>
      </c>
      <c r="T10" s="104" t="s">
        <v>24</v>
      </c>
      <c r="U10" s="104" t="s">
        <v>536</v>
      </c>
      <c r="V10" s="104" t="s">
        <v>23</v>
      </c>
    </row>
    <row r="11" spans="1:25" ht="18" x14ac:dyDescent="0.25">
      <c r="A11" s="543"/>
      <c r="B11" s="548"/>
      <c r="C11" s="549"/>
      <c r="D11" s="543"/>
      <c r="E11" s="543"/>
      <c r="F11" s="543"/>
      <c r="G11" s="543"/>
      <c r="H11" s="105" t="s">
        <v>30</v>
      </c>
      <c r="I11" s="105"/>
      <c r="J11" s="105" t="s">
        <v>31</v>
      </c>
      <c r="K11" s="105" t="s">
        <v>32</v>
      </c>
      <c r="L11" s="105" t="s">
        <v>33</v>
      </c>
      <c r="M11" s="105" t="s">
        <v>34</v>
      </c>
      <c r="N11" s="105" t="s">
        <v>35</v>
      </c>
      <c r="O11" s="540"/>
      <c r="P11" s="214"/>
      <c r="Q11" s="548"/>
      <c r="R11" s="549"/>
      <c r="S11" s="105" t="s">
        <v>30</v>
      </c>
      <c r="T11" s="105" t="s">
        <v>31</v>
      </c>
      <c r="U11" s="105" t="s">
        <v>436</v>
      </c>
      <c r="V11" s="105" t="s">
        <v>30</v>
      </c>
    </row>
    <row r="12" spans="1:25" ht="18" x14ac:dyDescent="0.25">
      <c r="A12" s="47">
        <v>1</v>
      </c>
      <c r="B12" s="536">
        <v>2</v>
      </c>
      <c r="C12" s="537"/>
      <c r="D12" s="166">
        <v>3</v>
      </c>
      <c r="E12" s="166">
        <v>4</v>
      </c>
      <c r="F12" s="167">
        <v>5</v>
      </c>
      <c r="G12" s="167">
        <v>6</v>
      </c>
      <c r="H12" s="104">
        <v>7</v>
      </c>
      <c r="I12" s="104">
        <v>8</v>
      </c>
      <c r="J12" s="104">
        <v>9</v>
      </c>
      <c r="K12" s="104">
        <v>10</v>
      </c>
      <c r="L12" s="104">
        <v>11</v>
      </c>
      <c r="M12" s="104">
        <v>12</v>
      </c>
      <c r="N12" s="104">
        <v>13</v>
      </c>
      <c r="O12" s="166">
        <v>14</v>
      </c>
      <c r="P12" s="214"/>
      <c r="Q12" s="213"/>
      <c r="R12" s="213"/>
      <c r="S12" s="213"/>
      <c r="T12" s="213"/>
      <c r="U12" s="213"/>
      <c r="V12" s="214"/>
    </row>
    <row r="13" spans="1:25" ht="31.5" x14ac:dyDescent="0.25">
      <c r="A13" s="47">
        <v>1</v>
      </c>
      <c r="B13" s="443" t="s">
        <v>99</v>
      </c>
      <c r="C13" s="444"/>
      <c r="D13" s="26" t="s">
        <v>233</v>
      </c>
      <c r="E13" s="32"/>
      <c r="F13" s="32"/>
      <c r="G13" s="9" t="s">
        <v>56</v>
      </c>
      <c r="H13" s="9">
        <v>1992</v>
      </c>
      <c r="I13" s="9" t="s">
        <v>101</v>
      </c>
      <c r="J13" s="11" t="s">
        <v>43</v>
      </c>
      <c r="K13" s="20">
        <v>1225000</v>
      </c>
      <c r="L13" s="9" t="s">
        <v>26</v>
      </c>
      <c r="M13" s="26" t="s">
        <v>234</v>
      </c>
      <c r="N13" s="32"/>
      <c r="O13" s="32" t="s">
        <v>522</v>
      </c>
      <c r="P13" s="214"/>
      <c r="Q13" s="217" t="str">
        <f>B13</f>
        <v>Lemari Besi</v>
      </c>
      <c r="R13" s="217"/>
      <c r="S13" s="218">
        <f>H13</f>
        <v>1992</v>
      </c>
      <c r="T13" s="218" t="str">
        <f>J13</f>
        <v>0001</v>
      </c>
      <c r="U13" s="220" t="s">
        <v>537</v>
      </c>
      <c r="V13" s="217" t="s">
        <v>538</v>
      </c>
      <c r="W13" s="217"/>
      <c r="X13" s="13"/>
      <c r="Y13" s="13"/>
    </row>
    <row r="14" spans="1:25" ht="31.5" x14ac:dyDescent="0.25">
      <c r="A14" s="47">
        <f>A13+1</f>
        <v>2</v>
      </c>
      <c r="B14" s="443" t="s">
        <v>99</v>
      </c>
      <c r="C14" s="444"/>
      <c r="D14" s="26" t="s">
        <v>205</v>
      </c>
      <c r="E14" s="32"/>
      <c r="F14" s="32"/>
      <c r="G14" s="9" t="s">
        <v>56</v>
      </c>
      <c r="H14" s="9">
        <v>1992</v>
      </c>
      <c r="I14" s="9" t="s">
        <v>101</v>
      </c>
      <c r="J14" s="11" t="s">
        <v>54</v>
      </c>
      <c r="K14" s="20">
        <v>1225000</v>
      </c>
      <c r="L14" s="9" t="s">
        <v>26</v>
      </c>
      <c r="M14" s="26" t="s">
        <v>234</v>
      </c>
      <c r="N14" s="32"/>
      <c r="O14" s="32" t="s">
        <v>522</v>
      </c>
      <c r="P14" s="214"/>
      <c r="Q14" s="217" t="str">
        <f t="shared" ref="Q14:Q78" si="0">B14</f>
        <v>Lemari Besi</v>
      </c>
      <c r="R14" s="217"/>
      <c r="S14" s="218">
        <f t="shared" ref="S14:S78" si="1">H14</f>
        <v>1992</v>
      </c>
      <c r="T14" s="218" t="str">
        <f t="shared" ref="T14:T78" si="2">J14</f>
        <v>0002</v>
      </c>
      <c r="U14" s="220" t="s">
        <v>537</v>
      </c>
      <c r="V14" s="218"/>
      <c r="W14" s="222"/>
      <c r="X14" s="13"/>
      <c r="Y14" s="13"/>
    </row>
    <row r="15" spans="1:25" ht="31.5" x14ac:dyDescent="0.25">
      <c r="A15" s="47">
        <f t="shared" ref="A15:A112" si="3">A14+1</f>
        <v>3</v>
      </c>
      <c r="B15" s="443" t="s">
        <v>99</v>
      </c>
      <c r="C15" s="444"/>
      <c r="D15" s="26" t="s">
        <v>205</v>
      </c>
      <c r="E15" s="32"/>
      <c r="F15" s="32"/>
      <c r="G15" s="9" t="s">
        <v>56</v>
      </c>
      <c r="H15" s="9">
        <v>1994</v>
      </c>
      <c r="I15" s="9" t="s">
        <v>101</v>
      </c>
      <c r="J15" s="11" t="s">
        <v>125</v>
      </c>
      <c r="K15" s="20">
        <v>1225000</v>
      </c>
      <c r="L15" s="9" t="s">
        <v>26</v>
      </c>
      <c r="M15" s="26" t="s">
        <v>234</v>
      </c>
      <c r="N15" s="32"/>
      <c r="O15" s="32" t="s">
        <v>522</v>
      </c>
      <c r="P15" s="214"/>
      <c r="Q15" s="217" t="str">
        <f t="shared" si="0"/>
        <v>Lemari Besi</v>
      </c>
      <c r="R15" s="217"/>
      <c r="S15" s="218">
        <f t="shared" si="1"/>
        <v>1994</v>
      </c>
      <c r="T15" s="218" t="str">
        <f t="shared" si="2"/>
        <v>0004</v>
      </c>
      <c r="U15" s="220" t="s">
        <v>537</v>
      </c>
      <c r="V15" s="218"/>
      <c r="W15" s="222"/>
      <c r="X15" s="13"/>
      <c r="Y15" s="13"/>
    </row>
    <row r="16" spans="1:25" ht="31.5" x14ac:dyDescent="0.25">
      <c r="A16" s="47">
        <f t="shared" si="3"/>
        <v>4</v>
      </c>
      <c r="B16" s="443" t="s">
        <v>99</v>
      </c>
      <c r="C16" s="444"/>
      <c r="D16" s="26" t="s">
        <v>295</v>
      </c>
      <c r="E16" s="32"/>
      <c r="F16" s="32"/>
      <c r="G16" s="9" t="s">
        <v>56</v>
      </c>
      <c r="H16" s="9">
        <v>2000</v>
      </c>
      <c r="I16" s="9" t="s">
        <v>156</v>
      </c>
      <c r="J16" s="11" t="s">
        <v>74</v>
      </c>
      <c r="K16" s="89">
        <v>5190000</v>
      </c>
      <c r="L16" s="9" t="s">
        <v>26</v>
      </c>
      <c r="M16" s="32"/>
      <c r="N16" s="32"/>
      <c r="O16" s="26" t="s">
        <v>526</v>
      </c>
      <c r="P16" s="214"/>
      <c r="Q16" s="217" t="str">
        <f t="shared" si="0"/>
        <v>Lemari Besi</v>
      </c>
      <c r="R16" s="217"/>
      <c r="S16" s="218">
        <f t="shared" si="1"/>
        <v>2000</v>
      </c>
      <c r="T16" s="218" t="str">
        <f t="shared" si="2"/>
        <v>0006</v>
      </c>
      <c r="U16" s="220" t="s">
        <v>537</v>
      </c>
      <c r="V16" s="218"/>
      <c r="W16" s="222"/>
      <c r="X16" s="13"/>
      <c r="Y16" s="13"/>
    </row>
    <row r="17" spans="1:25" ht="31.5" x14ac:dyDescent="0.25">
      <c r="A17" s="47">
        <f t="shared" si="3"/>
        <v>5</v>
      </c>
      <c r="B17" s="443" t="s">
        <v>99</v>
      </c>
      <c r="C17" s="444"/>
      <c r="D17" s="26" t="s">
        <v>205</v>
      </c>
      <c r="E17" s="12"/>
      <c r="F17" s="12"/>
      <c r="G17" s="9" t="s">
        <v>56</v>
      </c>
      <c r="H17" s="9">
        <v>2008</v>
      </c>
      <c r="I17" s="9" t="s">
        <v>101</v>
      </c>
      <c r="J17" s="11" t="s">
        <v>58</v>
      </c>
      <c r="K17" s="172">
        <v>1730000</v>
      </c>
      <c r="L17" s="9" t="s">
        <v>26</v>
      </c>
      <c r="M17" s="12"/>
      <c r="N17" s="12"/>
      <c r="O17" s="10" t="s">
        <v>515</v>
      </c>
      <c r="P17" s="214"/>
      <c r="Q17" s="217" t="str">
        <f t="shared" si="0"/>
        <v>Lemari Besi</v>
      </c>
      <c r="R17" s="217"/>
      <c r="S17" s="218">
        <f t="shared" si="1"/>
        <v>2008</v>
      </c>
      <c r="T17" s="218" t="str">
        <f t="shared" si="2"/>
        <v>0007</v>
      </c>
      <c r="U17" s="220" t="s">
        <v>166</v>
      </c>
      <c r="V17" s="218"/>
      <c r="W17" s="222"/>
      <c r="X17" s="13"/>
      <c r="Y17" s="13"/>
    </row>
    <row r="18" spans="1:25" ht="31.5" x14ac:dyDescent="0.25">
      <c r="A18" s="47">
        <f t="shared" si="3"/>
        <v>6</v>
      </c>
      <c r="B18" s="443" t="s">
        <v>99</v>
      </c>
      <c r="C18" s="444"/>
      <c r="D18" s="26" t="s">
        <v>100</v>
      </c>
      <c r="E18" s="32"/>
      <c r="F18" s="32"/>
      <c r="G18" s="9" t="s">
        <v>56</v>
      </c>
      <c r="H18" s="9">
        <v>2008</v>
      </c>
      <c r="I18" s="9" t="s">
        <v>101</v>
      </c>
      <c r="J18" s="11" t="s">
        <v>97</v>
      </c>
      <c r="K18" s="20">
        <v>1730000</v>
      </c>
      <c r="L18" s="9" t="s">
        <v>26</v>
      </c>
      <c r="M18" s="32"/>
      <c r="N18" s="32"/>
      <c r="O18" s="26" t="s">
        <v>240</v>
      </c>
      <c r="P18" s="214"/>
      <c r="Q18" s="217" t="str">
        <f t="shared" si="0"/>
        <v>Lemari Besi</v>
      </c>
      <c r="R18" s="217"/>
      <c r="S18" s="218">
        <f t="shared" si="1"/>
        <v>2008</v>
      </c>
      <c r="T18" s="218" t="str">
        <f t="shared" si="2"/>
        <v>0008</v>
      </c>
      <c r="U18" s="220"/>
      <c r="V18" s="218"/>
      <c r="W18" s="222"/>
      <c r="X18" s="13"/>
      <c r="Y18" s="13"/>
    </row>
    <row r="19" spans="1:25" ht="18" x14ac:dyDescent="0.25">
      <c r="A19" s="47">
        <f t="shared" si="3"/>
        <v>7</v>
      </c>
      <c r="B19" s="443" t="s">
        <v>99</v>
      </c>
      <c r="C19" s="444"/>
      <c r="D19" s="26" t="s">
        <v>235</v>
      </c>
      <c r="E19" s="32"/>
      <c r="F19" s="32"/>
      <c r="G19" s="9" t="s">
        <v>56</v>
      </c>
      <c r="H19" s="9">
        <v>2009</v>
      </c>
      <c r="I19" s="9" t="s">
        <v>101</v>
      </c>
      <c r="J19" s="11" t="s">
        <v>110</v>
      </c>
      <c r="K19" s="20">
        <v>2500000</v>
      </c>
      <c r="L19" s="9" t="s">
        <v>26</v>
      </c>
      <c r="M19" s="32"/>
      <c r="N19" s="32"/>
      <c r="O19" s="32" t="s">
        <v>522</v>
      </c>
      <c r="P19" s="214"/>
      <c r="Q19" s="217" t="str">
        <f t="shared" si="0"/>
        <v>Lemari Besi</v>
      </c>
      <c r="R19" s="217"/>
      <c r="S19" s="218">
        <f t="shared" si="1"/>
        <v>2009</v>
      </c>
      <c r="T19" s="218" t="str">
        <f t="shared" si="2"/>
        <v>0010</v>
      </c>
      <c r="U19" s="220" t="s">
        <v>537</v>
      </c>
      <c r="V19" s="218"/>
      <c r="W19" s="222"/>
      <c r="X19" s="13"/>
      <c r="Y19" s="13"/>
    </row>
    <row r="20" spans="1:25" ht="47.25" x14ac:dyDescent="0.25">
      <c r="A20" s="47">
        <f t="shared" si="3"/>
        <v>8</v>
      </c>
      <c r="B20" s="443" t="s">
        <v>99</v>
      </c>
      <c r="C20" s="444"/>
      <c r="D20" s="26" t="s">
        <v>170</v>
      </c>
      <c r="E20" s="32"/>
      <c r="F20" s="32"/>
      <c r="G20" s="9" t="s">
        <v>56</v>
      </c>
      <c r="H20" s="9">
        <v>2012</v>
      </c>
      <c r="I20" s="9" t="s">
        <v>101</v>
      </c>
      <c r="J20" s="11" t="s">
        <v>149</v>
      </c>
      <c r="K20" s="89">
        <v>3400000</v>
      </c>
      <c r="L20" s="9" t="s">
        <v>26</v>
      </c>
      <c r="M20" s="32"/>
      <c r="N20" s="32"/>
      <c r="O20" s="26" t="s">
        <v>525</v>
      </c>
      <c r="P20" s="214"/>
      <c r="Q20" s="217" t="str">
        <f t="shared" si="0"/>
        <v>Lemari Besi</v>
      </c>
      <c r="R20" s="217"/>
      <c r="S20" s="218">
        <f t="shared" si="1"/>
        <v>2012</v>
      </c>
      <c r="T20" s="218" t="str">
        <f t="shared" si="2"/>
        <v>0011</v>
      </c>
      <c r="U20" s="220" t="s">
        <v>537</v>
      </c>
      <c r="V20" s="218"/>
      <c r="W20" s="222"/>
      <c r="X20" s="13"/>
      <c r="Y20" s="13"/>
    </row>
    <row r="21" spans="1:25" ht="47.25" x14ac:dyDescent="0.25">
      <c r="A21" s="47">
        <f t="shared" si="3"/>
        <v>9</v>
      </c>
      <c r="B21" s="443" t="s">
        <v>99</v>
      </c>
      <c r="C21" s="444"/>
      <c r="D21" s="10" t="s">
        <v>224</v>
      </c>
      <c r="E21" s="12"/>
      <c r="F21" s="12"/>
      <c r="G21" s="9" t="s">
        <v>56</v>
      </c>
      <c r="H21" s="9">
        <v>2012</v>
      </c>
      <c r="I21" s="9" t="s">
        <v>101</v>
      </c>
      <c r="J21" s="11" t="s">
        <v>137</v>
      </c>
      <c r="K21" s="172">
        <v>3400000</v>
      </c>
      <c r="L21" s="9" t="s">
        <v>26</v>
      </c>
      <c r="M21" s="12"/>
      <c r="N21" s="12"/>
      <c r="O21" s="26" t="s">
        <v>219</v>
      </c>
      <c r="P21" s="214"/>
      <c r="Q21" s="217" t="str">
        <f t="shared" si="0"/>
        <v>Lemari Besi</v>
      </c>
      <c r="R21" s="217"/>
      <c r="S21" s="218">
        <f t="shared" si="1"/>
        <v>2012</v>
      </c>
      <c r="T21" s="218" t="str">
        <f t="shared" si="2"/>
        <v>0012</v>
      </c>
      <c r="U21" s="217"/>
      <c r="V21" s="218"/>
      <c r="W21" s="222"/>
      <c r="X21" s="13"/>
      <c r="Y21" s="13"/>
    </row>
    <row r="22" spans="1:25" ht="31.5" x14ac:dyDescent="0.25">
      <c r="A22" s="47">
        <f t="shared" si="3"/>
        <v>10</v>
      </c>
      <c r="B22" s="534" t="s">
        <v>99</v>
      </c>
      <c r="C22" s="535"/>
      <c r="D22" s="48" t="s">
        <v>102</v>
      </c>
      <c r="E22" s="41"/>
      <c r="F22" s="41"/>
      <c r="G22" s="43" t="s">
        <v>56</v>
      </c>
      <c r="H22" s="43">
        <v>2013</v>
      </c>
      <c r="I22" s="43" t="s">
        <v>101</v>
      </c>
      <c r="J22" s="44" t="s">
        <v>111</v>
      </c>
      <c r="K22" s="173">
        <v>2820699</v>
      </c>
      <c r="L22" s="43" t="s">
        <v>26</v>
      </c>
      <c r="M22" s="41"/>
      <c r="N22" s="41"/>
      <c r="O22" s="48" t="s">
        <v>514</v>
      </c>
      <c r="P22" s="214"/>
      <c r="Q22" s="217" t="str">
        <f t="shared" si="0"/>
        <v>Lemari Besi</v>
      </c>
      <c r="R22" s="217"/>
      <c r="S22" s="218">
        <f t="shared" si="1"/>
        <v>2013</v>
      </c>
      <c r="T22" s="218" t="str">
        <f t="shared" si="2"/>
        <v>0013</v>
      </c>
      <c r="U22" s="220" t="s">
        <v>537</v>
      </c>
      <c r="V22" s="218"/>
      <c r="W22" s="222"/>
      <c r="X22" s="13"/>
      <c r="Y22" s="13"/>
    </row>
    <row r="23" spans="1:25" ht="31.5" x14ac:dyDescent="0.25">
      <c r="A23" s="47">
        <f t="shared" si="3"/>
        <v>11</v>
      </c>
      <c r="B23" s="443" t="s">
        <v>99</v>
      </c>
      <c r="C23" s="444"/>
      <c r="D23" s="26" t="s">
        <v>102</v>
      </c>
      <c r="E23" s="32"/>
      <c r="F23" s="32"/>
      <c r="G23" s="9" t="s">
        <v>56</v>
      </c>
      <c r="H23" s="9">
        <v>2013</v>
      </c>
      <c r="I23" s="9" t="s">
        <v>101</v>
      </c>
      <c r="J23" s="11" t="s">
        <v>60</v>
      </c>
      <c r="K23" s="20">
        <v>2820699</v>
      </c>
      <c r="L23" s="9" t="s">
        <v>26</v>
      </c>
      <c r="M23" s="32"/>
      <c r="N23" s="32"/>
      <c r="O23" s="26" t="s">
        <v>240</v>
      </c>
      <c r="P23" s="214"/>
      <c r="Q23" s="217" t="str">
        <f t="shared" si="0"/>
        <v>Lemari Besi</v>
      </c>
      <c r="R23" s="217"/>
      <c r="S23" s="218">
        <f t="shared" si="1"/>
        <v>2013</v>
      </c>
      <c r="T23" s="218" t="str">
        <f t="shared" si="2"/>
        <v>0014</v>
      </c>
      <c r="U23" s="217"/>
      <c r="V23" s="218"/>
      <c r="W23" s="222"/>
      <c r="X23" s="13"/>
      <c r="Y23" s="13"/>
    </row>
    <row r="24" spans="1:25" ht="31.5" x14ac:dyDescent="0.25">
      <c r="A24" s="47">
        <f t="shared" si="3"/>
        <v>12</v>
      </c>
      <c r="B24" s="443" t="s">
        <v>99</v>
      </c>
      <c r="C24" s="444"/>
      <c r="D24" s="26" t="s">
        <v>216</v>
      </c>
      <c r="E24" s="32"/>
      <c r="F24" s="32"/>
      <c r="G24" s="9" t="s">
        <v>56</v>
      </c>
      <c r="H24" s="9">
        <v>2014</v>
      </c>
      <c r="I24" s="9" t="s">
        <v>101</v>
      </c>
      <c r="J24" s="11" t="s">
        <v>83</v>
      </c>
      <c r="K24" s="20">
        <v>3669674</v>
      </c>
      <c r="L24" s="9" t="s">
        <v>26</v>
      </c>
      <c r="M24" s="32"/>
      <c r="N24" s="32"/>
      <c r="O24" s="32" t="s">
        <v>522</v>
      </c>
      <c r="P24" s="214"/>
      <c r="Q24" s="217" t="str">
        <f t="shared" si="0"/>
        <v>Lemari Besi</v>
      </c>
      <c r="R24" s="217"/>
      <c r="S24" s="218">
        <f t="shared" si="1"/>
        <v>2014</v>
      </c>
      <c r="T24" s="218" t="str">
        <f t="shared" si="2"/>
        <v>0015</v>
      </c>
      <c r="V24" s="218"/>
      <c r="W24" s="222"/>
      <c r="X24" s="13"/>
      <c r="Y24" s="13"/>
    </row>
    <row r="25" spans="1:25" ht="31.5" x14ac:dyDescent="0.25">
      <c r="A25" s="47">
        <f t="shared" si="3"/>
        <v>13</v>
      </c>
      <c r="B25" s="443" t="s">
        <v>99</v>
      </c>
      <c r="C25" s="444"/>
      <c r="D25" s="26" t="s">
        <v>103</v>
      </c>
      <c r="E25" s="32"/>
      <c r="F25" s="32"/>
      <c r="G25" s="9" t="s">
        <v>56</v>
      </c>
      <c r="H25" s="9">
        <v>2014</v>
      </c>
      <c r="I25" s="9" t="s">
        <v>101</v>
      </c>
      <c r="J25" s="11" t="s">
        <v>89</v>
      </c>
      <c r="K25" s="20">
        <v>3669674</v>
      </c>
      <c r="L25" s="9" t="s">
        <v>26</v>
      </c>
      <c r="M25" s="32"/>
      <c r="N25" s="32"/>
      <c r="O25" s="26" t="s">
        <v>240</v>
      </c>
      <c r="P25" s="214"/>
      <c r="Q25" s="217" t="str">
        <f t="shared" si="0"/>
        <v>Lemari Besi</v>
      </c>
      <c r="R25" s="217"/>
      <c r="S25" s="218">
        <f t="shared" si="1"/>
        <v>2014</v>
      </c>
      <c r="T25" s="218" t="str">
        <f t="shared" si="2"/>
        <v>0016</v>
      </c>
      <c r="U25" s="217"/>
      <c r="V25" s="218"/>
      <c r="W25" s="222"/>
      <c r="X25" s="13"/>
      <c r="Y25" s="13"/>
    </row>
    <row r="26" spans="1:25" ht="47.25" x14ac:dyDescent="0.25">
      <c r="A26" s="47">
        <f t="shared" si="3"/>
        <v>14</v>
      </c>
      <c r="B26" s="534" t="s">
        <v>99</v>
      </c>
      <c r="C26" s="535"/>
      <c r="D26" s="48" t="s">
        <v>216</v>
      </c>
      <c r="E26" s="41"/>
      <c r="F26" s="41"/>
      <c r="G26" s="43" t="s">
        <v>56</v>
      </c>
      <c r="H26" s="43">
        <v>2014</v>
      </c>
      <c r="I26" s="43" t="s">
        <v>101</v>
      </c>
      <c r="J26" s="44" t="s">
        <v>200</v>
      </c>
      <c r="K26" s="63">
        <v>3669674</v>
      </c>
      <c r="L26" s="43" t="s">
        <v>26</v>
      </c>
      <c r="M26" s="41"/>
      <c r="N26" s="41"/>
      <c r="O26" s="40" t="s">
        <v>378</v>
      </c>
      <c r="P26" s="214"/>
      <c r="Q26" s="217" t="str">
        <f t="shared" si="0"/>
        <v>Lemari Besi</v>
      </c>
      <c r="R26" s="217"/>
      <c r="S26" s="218">
        <f t="shared" si="1"/>
        <v>2014</v>
      </c>
      <c r="T26" s="218" t="str">
        <f t="shared" si="2"/>
        <v>0017</v>
      </c>
      <c r="U26" s="217"/>
      <c r="V26" s="218"/>
      <c r="W26" s="222"/>
      <c r="X26" s="13"/>
      <c r="Y26" s="13"/>
    </row>
    <row r="27" spans="1:25" ht="31.5" x14ac:dyDescent="0.25">
      <c r="A27" s="47">
        <f t="shared" si="3"/>
        <v>15</v>
      </c>
      <c r="B27" s="534" t="s">
        <v>104</v>
      </c>
      <c r="C27" s="535"/>
      <c r="D27" s="40" t="s">
        <v>100</v>
      </c>
      <c r="E27" s="41"/>
      <c r="F27" s="41"/>
      <c r="G27" s="42" t="s">
        <v>56</v>
      </c>
      <c r="H27" s="43">
        <v>2006</v>
      </c>
      <c r="I27" s="43" t="s">
        <v>105</v>
      </c>
      <c r="J27" s="44" t="s">
        <v>43</v>
      </c>
      <c r="K27" s="63">
        <v>1220000</v>
      </c>
      <c r="L27" s="43" t="s">
        <v>26</v>
      </c>
      <c r="M27" s="41"/>
      <c r="N27" s="41"/>
      <c r="O27" s="40" t="s">
        <v>488</v>
      </c>
      <c r="P27" s="214"/>
      <c r="Q27" s="217" t="str">
        <f t="shared" si="0"/>
        <v>Filling Besi / Metal</v>
      </c>
      <c r="R27" s="217"/>
      <c r="S27" s="218">
        <f t="shared" si="1"/>
        <v>2006</v>
      </c>
      <c r="T27" s="218" t="str">
        <f t="shared" si="2"/>
        <v>0001</v>
      </c>
      <c r="U27" s="220" t="s">
        <v>537</v>
      </c>
      <c r="V27" s="218"/>
      <c r="W27" s="222"/>
      <c r="X27" s="13"/>
      <c r="Y27" s="13"/>
    </row>
    <row r="28" spans="1:25" ht="31.5" x14ac:dyDescent="0.25">
      <c r="A28" s="47">
        <f t="shared" si="3"/>
        <v>16</v>
      </c>
      <c r="B28" s="443" t="s">
        <v>104</v>
      </c>
      <c r="C28" s="444"/>
      <c r="D28" s="26" t="s">
        <v>100</v>
      </c>
      <c r="E28" s="32"/>
      <c r="F28" s="32"/>
      <c r="G28" s="30" t="s">
        <v>56</v>
      </c>
      <c r="H28" s="9">
        <v>2006</v>
      </c>
      <c r="I28" s="9" t="s">
        <v>105</v>
      </c>
      <c r="J28" s="11" t="s">
        <v>54</v>
      </c>
      <c r="K28" s="20">
        <v>1220000</v>
      </c>
      <c r="L28" s="9" t="s">
        <v>26</v>
      </c>
      <c r="M28" s="31" t="s">
        <v>106</v>
      </c>
      <c r="N28" s="32"/>
      <c r="O28" s="26" t="s">
        <v>240</v>
      </c>
      <c r="P28" s="214"/>
      <c r="Q28" s="217" t="str">
        <f t="shared" si="0"/>
        <v>Filling Besi / Metal</v>
      </c>
      <c r="R28" s="217"/>
      <c r="S28" s="218">
        <f t="shared" si="1"/>
        <v>2006</v>
      </c>
      <c r="T28" s="218" t="str">
        <f t="shared" si="2"/>
        <v>0002</v>
      </c>
      <c r="U28" s="217"/>
      <c r="V28" s="218"/>
      <c r="W28" s="222"/>
      <c r="X28" s="13"/>
      <c r="Y28" s="13"/>
    </row>
    <row r="29" spans="1:25" ht="47.25" x14ac:dyDescent="0.25">
      <c r="A29" s="47">
        <f t="shared" si="3"/>
        <v>17</v>
      </c>
      <c r="B29" s="534" t="s">
        <v>104</v>
      </c>
      <c r="C29" s="535"/>
      <c r="D29" s="40" t="s">
        <v>100</v>
      </c>
      <c r="E29" s="41"/>
      <c r="F29" s="41"/>
      <c r="G29" s="42" t="s">
        <v>56</v>
      </c>
      <c r="H29" s="43">
        <v>2006</v>
      </c>
      <c r="I29" s="43" t="s">
        <v>105</v>
      </c>
      <c r="J29" s="44" t="s">
        <v>74</v>
      </c>
      <c r="K29" s="63">
        <v>1220000</v>
      </c>
      <c r="L29" s="43" t="s">
        <v>26</v>
      </c>
      <c r="M29" s="41"/>
      <c r="N29" s="41"/>
      <c r="O29" s="40" t="s">
        <v>489</v>
      </c>
      <c r="P29" s="214"/>
      <c r="Q29" s="217" t="str">
        <f t="shared" si="0"/>
        <v>Filling Besi / Metal</v>
      </c>
      <c r="R29" s="217"/>
      <c r="S29" s="218">
        <f t="shared" si="1"/>
        <v>2006</v>
      </c>
      <c r="T29" s="218" t="str">
        <f t="shared" si="2"/>
        <v>0006</v>
      </c>
      <c r="U29" s="217"/>
      <c r="V29" s="218"/>
      <c r="W29" s="222"/>
      <c r="X29" s="13"/>
      <c r="Y29" s="13"/>
    </row>
    <row r="30" spans="1:25" ht="31.5" x14ac:dyDescent="0.25">
      <c r="A30" s="47">
        <f t="shared" si="3"/>
        <v>18</v>
      </c>
      <c r="B30" s="443" t="s">
        <v>104</v>
      </c>
      <c r="C30" s="444"/>
      <c r="D30" s="26" t="s">
        <v>100</v>
      </c>
      <c r="E30" s="32"/>
      <c r="F30" s="32"/>
      <c r="G30" s="30" t="s">
        <v>56</v>
      </c>
      <c r="H30" s="9">
        <v>2008</v>
      </c>
      <c r="I30" s="9" t="s">
        <v>105</v>
      </c>
      <c r="J30" s="11" t="s">
        <v>107</v>
      </c>
      <c r="K30" s="20">
        <v>1220000</v>
      </c>
      <c r="L30" s="9" t="s">
        <v>26</v>
      </c>
      <c r="M30" s="32"/>
      <c r="N30" s="32"/>
      <c r="O30" s="26" t="s">
        <v>240</v>
      </c>
      <c r="P30" s="214"/>
      <c r="Q30" s="217" t="str">
        <f t="shared" si="0"/>
        <v>Filling Besi / Metal</v>
      </c>
      <c r="R30" s="217"/>
      <c r="S30" s="218">
        <f t="shared" si="1"/>
        <v>2008</v>
      </c>
      <c r="T30" s="218" t="str">
        <f t="shared" si="2"/>
        <v>0003</v>
      </c>
      <c r="U30" s="219" t="s">
        <v>125</v>
      </c>
      <c r="V30" s="218"/>
      <c r="W30" s="222"/>
      <c r="X30" s="13"/>
      <c r="Y30" s="13"/>
    </row>
    <row r="31" spans="1:25" ht="18" x14ac:dyDescent="0.25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231">
        <f>SUM(K13:K30)</f>
        <v>43155420</v>
      </c>
      <c r="L31" s="75"/>
      <c r="M31" s="75"/>
      <c r="N31" s="75"/>
      <c r="O31" s="75"/>
      <c r="P31" s="214"/>
      <c r="Q31" s="217" t="str">
        <f>B43</f>
        <v>Filling Besi / Metal</v>
      </c>
      <c r="R31" s="217"/>
      <c r="S31" s="218">
        <f>H43</f>
        <v>2013</v>
      </c>
      <c r="T31" s="218" t="str">
        <f>J43</f>
        <v>0007</v>
      </c>
      <c r="U31" s="220" t="s">
        <v>537</v>
      </c>
      <c r="V31" s="218"/>
      <c r="W31" s="222"/>
      <c r="X31" s="13"/>
      <c r="Y31" s="13"/>
    </row>
    <row r="32" spans="1:25" ht="18" x14ac:dyDescent="0.25">
      <c r="A32" s="157"/>
      <c r="B32" s="67"/>
      <c r="C32" s="67"/>
      <c r="D32" s="68"/>
      <c r="E32" s="69"/>
      <c r="F32" s="69"/>
      <c r="G32" s="80"/>
      <c r="H32" s="70"/>
      <c r="I32" s="70"/>
      <c r="J32" s="71"/>
      <c r="K32" s="72"/>
      <c r="L32" s="70"/>
      <c r="M32" s="69"/>
      <c r="N32" s="69"/>
      <c r="O32" s="68"/>
      <c r="P32" s="214"/>
      <c r="Q32" s="217"/>
      <c r="R32" s="217"/>
      <c r="S32" s="218"/>
      <c r="T32" s="218"/>
      <c r="U32" s="217"/>
      <c r="V32" s="218"/>
      <c r="W32" s="222"/>
      <c r="X32" s="13"/>
      <c r="Y32" s="13"/>
    </row>
    <row r="33" spans="1:25" ht="18" x14ac:dyDescent="0.25">
      <c r="A33" s="157"/>
      <c r="B33" s="67"/>
      <c r="C33" s="67"/>
      <c r="D33" s="68"/>
      <c r="E33" s="69"/>
      <c r="F33" s="69"/>
      <c r="G33" s="80"/>
      <c r="H33" s="70"/>
      <c r="I33" s="70"/>
      <c r="J33" s="71"/>
      <c r="K33" s="72"/>
      <c r="L33" s="70"/>
      <c r="M33" s="69"/>
      <c r="N33" s="69"/>
      <c r="O33" s="68"/>
      <c r="P33" s="214"/>
      <c r="Q33" s="217"/>
      <c r="R33" s="217"/>
      <c r="S33" s="218"/>
      <c r="T33" s="218"/>
      <c r="U33" s="217"/>
      <c r="V33" s="218"/>
      <c r="W33" s="222"/>
      <c r="X33" s="13"/>
      <c r="Y33" s="13"/>
    </row>
    <row r="34" spans="1:25" ht="18" x14ac:dyDescent="0.25">
      <c r="A34" s="157"/>
      <c r="B34" s="67"/>
      <c r="C34" s="67"/>
      <c r="D34" s="68"/>
      <c r="E34" s="69"/>
      <c r="F34" s="69"/>
      <c r="G34" s="80"/>
      <c r="H34" s="70"/>
      <c r="I34" s="70"/>
      <c r="J34" s="71"/>
      <c r="K34" s="72"/>
      <c r="L34" s="70"/>
      <c r="M34" s="69"/>
      <c r="N34" s="69"/>
      <c r="O34" s="68"/>
      <c r="P34" s="214"/>
      <c r="Q34" s="217"/>
      <c r="R34" s="217"/>
      <c r="S34" s="218"/>
      <c r="T34" s="218"/>
      <c r="U34" s="217"/>
      <c r="V34" s="218"/>
      <c r="W34" s="222"/>
      <c r="X34" s="13"/>
      <c r="Y34" s="13"/>
    </row>
    <row r="35" spans="1:25" ht="18" x14ac:dyDescent="0.25">
      <c r="A35" s="157"/>
      <c r="B35" s="67"/>
      <c r="C35" s="67"/>
      <c r="D35" s="68"/>
      <c r="E35" s="69"/>
      <c r="F35" s="69"/>
      <c r="G35" s="80"/>
      <c r="H35" s="70"/>
      <c r="I35" s="70"/>
      <c r="J35" s="71"/>
      <c r="K35" s="72"/>
      <c r="L35" s="70"/>
      <c r="M35" s="69"/>
      <c r="N35" s="69"/>
      <c r="O35" s="68"/>
      <c r="P35" s="214"/>
      <c r="Q35" s="217"/>
      <c r="R35" s="217"/>
      <c r="S35" s="218"/>
      <c r="T35" s="218"/>
      <c r="U35" s="217"/>
      <c r="V35" s="218"/>
      <c r="W35" s="222"/>
      <c r="X35" s="13"/>
      <c r="Y35" s="13"/>
    </row>
    <row r="36" spans="1:25" ht="18" x14ac:dyDescent="0.25">
      <c r="A36" s="157"/>
      <c r="B36" s="67"/>
      <c r="C36" s="67"/>
      <c r="D36" s="68"/>
      <c r="E36" s="69"/>
      <c r="F36" s="69"/>
      <c r="G36" s="80"/>
      <c r="H36" s="70"/>
      <c r="I36" s="70"/>
      <c r="J36" s="71"/>
      <c r="K36" s="72"/>
      <c r="L36" s="70"/>
      <c r="M36" s="69"/>
      <c r="N36" s="69"/>
      <c r="O36" s="68"/>
      <c r="P36" s="214"/>
      <c r="Q36" s="217"/>
      <c r="R36" s="217"/>
      <c r="S36" s="218"/>
      <c r="T36" s="218"/>
      <c r="U36" s="217"/>
      <c r="V36" s="218"/>
      <c r="W36" s="222"/>
      <c r="X36" s="13"/>
      <c r="Y36" s="13"/>
    </row>
    <row r="37" spans="1:25" ht="18" x14ac:dyDescent="0.25">
      <c r="A37" s="157"/>
      <c r="B37" s="67"/>
      <c r="C37" s="67"/>
      <c r="D37" s="68"/>
      <c r="E37" s="69"/>
      <c r="F37" s="69"/>
      <c r="G37" s="80"/>
      <c r="H37" s="70"/>
      <c r="I37" s="70"/>
      <c r="J37" s="71"/>
      <c r="K37" s="72"/>
      <c r="L37" s="70"/>
      <c r="M37" s="69"/>
      <c r="N37" s="69"/>
      <c r="O37" s="68"/>
      <c r="P37" s="214"/>
      <c r="Q37" s="217"/>
      <c r="R37" s="217"/>
      <c r="S37" s="218"/>
      <c r="T37" s="218"/>
      <c r="U37" s="217"/>
      <c r="V37" s="218"/>
      <c r="W37" s="222"/>
      <c r="X37" s="13"/>
      <c r="Y37" s="13"/>
    </row>
    <row r="38" spans="1:25" ht="18" x14ac:dyDescent="0.25">
      <c r="A38" s="186"/>
      <c r="B38" s="82"/>
      <c r="C38" s="82"/>
      <c r="D38" s="83"/>
      <c r="E38" s="111"/>
      <c r="F38" s="111"/>
      <c r="G38" s="85"/>
      <c r="H38" s="86"/>
      <c r="I38" s="86"/>
      <c r="J38" s="87"/>
      <c r="K38" s="114"/>
      <c r="L38" s="86"/>
      <c r="M38" s="111"/>
      <c r="N38" s="111"/>
      <c r="O38" s="83"/>
      <c r="P38" s="214"/>
      <c r="Q38" s="217"/>
      <c r="R38" s="217"/>
      <c r="S38" s="218"/>
      <c r="T38" s="218"/>
      <c r="U38" s="217"/>
      <c r="V38" s="218"/>
      <c r="W38" s="222"/>
      <c r="X38" s="13"/>
      <c r="Y38" s="13"/>
    </row>
    <row r="39" spans="1:25" ht="18" x14ac:dyDescent="0.25">
      <c r="A39" s="168" t="s">
        <v>7</v>
      </c>
      <c r="B39" s="538" t="s">
        <v>8</v>
      </c>
      <c r="C39" s="538"/>
      <c r="D39" s="168" t="s">
        <v>9</v>
      </c>
      <c r="E39" s="168" t="s">
        <v>10</v>
      </c>
      <c r="F39" s="541" t="s">
        <v>11</v>
      </c>
      <c r="G39" s="541" t="s">
        <v>12</v>
      </c>
      <c r="H39" s="168" t="s">
        <v>13</v>
      </c>
      <c r="I39" s="168"/>
      <c r="J39" s="168" t="s">
        <v>15</v>
      </c>
      <c r="K39" s="168" t="s">
        <v>16</v>
      </c>
      <c r="L39" s="544" t="s">
        <v>17</v>
      </c>
      <c r="M39" s="544"/>
      <c r="N39" s="544"/>
      <c r="O39" s="168" t="s">
        <v>18</v>
      </c>
      <c r="P39" s="214"/>
      <c r="Q39" s="217" t="str">
        <f t="shared" si="0"/>
        <v>Nama Barang</v>
      </c>
      <c r="R39" s="217"/>
      <c r="S39" s="218" t="str">
        <f t="shared" si="1"/>
        <v xml:space="preserve">Tahun </v>
      </c>
      <c r="T39" s="218" t="str">
        <f t="shared" si="2"/>
        <v xml:space="preserve">Jumlah </v>
      </c>
      <c r="U39" s="217"/>
      <c r="V39" s="218"/>
      <c r="W39" s="222"/>
      <c r="X39" s="13"/>
      <c r="Y39" s="13"/>
    </row>
    <row r="40" spans="1:25" ht="18" x14ac:dyDescent="0.25">
      <c r="A40" s="542" t="s">
        <v>19</v>
      </c>
      <c r="B40" s="546" t="s">
        <v>20</v>
      </c>
      <c r="C40" s="547"/>
      <c r="D40" s="542" t="s">
        <v>21</v>
      </c>
      <c r="E40" s="542" t="s">
        <v>22</v>
      </c>
      <c r="F40" s="542"/>
      <c r="G40" s="542"/>
      <c r="H40" s="104" t="s">
        <v>23</v>
      </c>
      <c r="I40" s="104" t="s">
        <v>14</v>
      </c>
      <c r="J40" s="104" t="s">
        <v>24</v>
      </c>
      <c r="K40" s="104" t="s">
        <v>25</v>
      </c>
      <c r="L40" s="104" t="s">
        <v>26</v>
      </c>
      <c r="M40" s="104" t="s">
        <v>27</v>
      </c>
      <c r="N40" s="104" t="s">
        <v>28</v>
      </c>
      <c r="O40" s="539" t="s">
        <v>29</v>
      </c>
      <c r="P40" s="214"/>
      <c r="Q40" s="217" t="str">
        <f t="shared" si="0"/>
        <v>Jenis Barang</v>
      </c>
      <c r="R40" s="217"/>
      <c r="S40" s="218" t="str">
        <f t="shared" si="1"/>
        <v>Pembuatan</v>
      </c>
      <c r="T40" s="218" t="str">
        <f t="shared" si="2"/>
        <v>Barang</v>
      </c>
      <c r="U40" s="217"/>
      <c r="V40" s="218"/>
      <c r="W40" s="222"/>
      <c r="X40" s="13"/>
      <c r="Y40" s="13"/>
    </row>
    <row r="41" spans="1:25" ht="18" x14ac:dyDescent="0.25">
      <c r="A41" s="543"/>
      <c r="B41" s="548"/>
      <c r="C41" s="549"/>
      <c r="D41" s="543"/>
      <c r="E41" s="543"/>
      <c r="F41" s="543"/>
      <c r="G41" s="543"/>
      <c r="H41" s="105" t="s">
        <v>30</v>
      </c>
      <c r="I41" s="105"/>
      <c r="J41" s="105" t="s">
        <v>31</v>
      </c>
      <c r="K41" s="105" t="s">
        <v>32</v>
      </c>
      <c r="L41" s="105" t="s">
        <v>33</v>
      </c>
      <c r="M41" s="105" t="s">
        <v>34</v>
      </c>
      <c r="N41" s="105" t="s">
        <v>35</v>
      </c>
      <c r="O41" s="540"/>
      <c r="P41" s="214"/>
      <c r="Q41" s="217"/>
      <c r="R41" s="217"/>
      <c r="S41" s="218" t="str">
        <f t="shared" si="1"/>
        <v>Atau Pembelian</v>
      </c>
      <c r="T41" s="218" t="str">
        <f t="shared" si="2"/>
        <v>Register x)</v>
      </c>
      <c r="U41" s="217"/>
      <c r="V41" s="218"/>
      <c r="W41" s="222"/>
      <c r="X41" s="13"/>
      <c r="Y41" s="13"/>
    </row>
    <row r="42" spans="1:25" ht="18" x14ac:dyDescent="0.25">
      <c r="A42" s="47">
        <v>1</v>
      </c>
      <c r="B42" s="536">
        <v>2</v>
      </c>
      <c r="C42" s="537"/>
      <c r="D42" s="166">
        <v>3</v>
      </c>
      <c r="E42" s="166">
        <v>4</v>
      </c>
      <c r="F42" s="167">
        <v>5</v>
      </c>
      <c r="G42" s="167">
        <v>6</v>
      </c>
      <c r="H42" s="104">
        <v>7</v>
      </c>
      <c r="I42" s="104">
        <v>8</v>
      </c>
      <c r="J42" s="104">
        <v>9</v>
      </c>
      <c r="K42" s="104">
        <v>10</v>
      </c>
      <c r="L42" s="104">
        <v>11</v>
      </c>
      <c r="M42" s="104">
        <v>12</v>
      </c>
      <c r="N42" s="104">
        <v>13</v>
      </c>
      <c r="O42" s="166">
        <v>14</v>
      </c>
      <c r="P42" s="214"/>
      <c r="Q42" s="217"/>
      <c r="R42" s="217"/>
      <c r="S42" s="218"/>
      <c r="T42" s="218"/>
      <c r="U42" s="217"/>
      <c r="V42" s="218"/>
      <c r="W42" s="222"/>
      <c r="X42" s="13"/>
      <c r="Y42" s="13"/>
    </row>
    <row r="43" spans="1:25" ht="31.5" x14ac:dyDescent="0.25">
      <c r="A43" s="47">
        <f>A30+1</f>
        <v>19</v>
      </c>
      <c r="B43" s="443" t="s">
        <v>104</v>
      </c>
      <c r="C43" s="444"/>
      <c r="D43" s="26" t="s">
        <v>108</v>
      </c>
      <c r="E43" s="32"/>
      <c r="F43" s="32"/>
      <c r="G43" s="30" t="s">
        <v>56</v>
      </c>
      <c r="H43" s="9">
        <v>2013</v>
      </c>
      <c r="I43" s="9" t="s">
        <v>105</v>
      </c>
      <c r="J43" s="11" t="s">
        <v>58</v>
      </c>
      <c r="K43" s="20">
        <v>2880334</v>
      </c>
      <c r="L43" s="9" t="s">
        <v>26</v>
      </c>
      <c r="M43" s="32"/>
      <c r="N43" s="32"/>
      <c r="O43" s="26" t="s">
        <v>240</v>
      </c>
      <c r="P43" s="214"/>
      <c r="Q43" s="217"/>
      <c r="R43" s="217"/>
      <c r="S43" s="218"/>
      <c r="T43" s="218"/>
      <c r="U43" s="217"/>
      <c r="V43" s="218"/>
      <c r="W43" s="222"/>
      <c r="X43" s="13"/>
      <c r="Y43" s="13"/>
    </row>
    <row r="44" spans="1:25" ht="31.5" x14ac:dyDescent="0.25">
      <c r="A44" s="47">
        <f>A43+1</f>
        <v>20</v>
      </c>
      <c r="B44" s="443" t="s">
        <v>104</v>
      </c>
      <c r="C44" s="444"/>
      <c r="D44" s="26" t="s">
        <v>165</v>
      </c>
      <c r="E44" s="12"/>
      <c r="F44" s="12"/>
      <c r="G44" s="34" t="s">
        <v>56</v>
      </c>
      <c r="H44" s="9">
        <v>2013</v>
      </c>
      <c r="I44" s="9" t="s">
        <v>105</v>
      </c>
      <c r="J44" s="11" t="s">
        <v>97</v>
      </c>
      <c r="K44" s="89">
        <v>2880334</v>
      </c>
      <c r="L44" s="9" t="s">
        <v>26</v>
      </c>
      <c r="M44" s="12"/>
      <c r="N44" s="35"/>
      <c r="O44" s="183" t="s">
        <v>524</v>
      </c>
      <c r="P44" s="214"/>
      <c r="Q44" s="217" t="str">
        <f t="shared" si="0"/>
        <v>Filling Besi / Metal</v>
      </c>
      <c r="R44" s="217"/>
      <c r="S44" s="218">
        <f t="shared" si="1"/>
        <v>2013</v>
      </c>
      <c r="T44" s="218" t="str">
        <f t="shared" si="2"/>
        <v>0008</v>
      </c>
      <c r="U44" s="220" t="s">
        <v>537</v>
      </c>
      <c r="V44" s="218"/>
      <c r="W44" s="222"/>
      <c r="X44" s="13"/>
      <c r="Y44" s="13"/>
    </row>
    <row r="45" spans="1:25" ht="31.5" x14ac:dyDescent="0.25">
      <c r="A45" s="47">
        <f t="shared" si="3"/>
        <v>21</v>
      </c>
      <c r="B45" s="443" t="s">
        <v>104</v>
      </c>
      <c r="C45" s="444"/>
      <c r="D45" s="26" t="s">
        <v>165</v>
      </c>
      <c r="E45" s="32"/>
      <c r="F45" s="32"/>
      <c r="G45" s="30" t="s">
        <v>56</v>
      </c>
      <c r="H45" s="9">
        <v>2013</v>
      </c>
      <c r="I45" s="9" t="s">
        <v>105</v>
      </c>
      <c r="J45" s="11" t="s">
        <v>166</v>
      </c>
      <c r="K45" s="89">
        <v>2880334</v>
      </c>
      <c r="L45" s="9" t="s">
        <v>26</v>
      </c>
      <c r="M45" s="32"/>
      <c r="N45" s="51"/>
      <c r="O45" s="50" t="s">
        <v>525</v>
      </c>
      <c r="P45" s="214"/>
      <c r="Q45" s="217" t="str">
        <f t="shared" si="0"/>
        <v>Filling Besi / Metal</v>
      </c>
      <c r="R45" s="217"/>
      <c r="S45" s="218">
        <f t="shared" si="1"/>
        <v>2013</v>
      </c>
      <c r="T45" s="218" t="str">
        <f t="shared" si="2"/>
        <v>0009</v>
      </c>
      <c r="U45" s="220" t="s">
        <v>537</v>
      </c>
      <c r="V45" s="218"/>
      <c r="W45" s="222"/>
      <c r="X45" s="13"/>
      <c r="Y45" s="13"/>
    </row>
    <row r="46" spans="1:25" ht="31.5" x14ac:dyDescent="0.25">
      <c r="A46" s="47">
        <f t="shared" si="3"/>
        <v>22</v>
      </c>
      <c r="B46" s="443" t="s">
        <v>104</v>
      </c>
      <c r="C46" s="444"/>
      <c r="D46" s="26" t="s">
        <v>109</v>
      </c>
      <c r="E46" s="32"/>
      <c r="F46" s="32"/>
      <c r="G46" s="30" t="s">
        <v>56</v>
      </c>
      <c r="H46" s="9">
        <v>2014</v>
      </c>
      <c r="I46" s="9" t="s">
        <v>105</v>
      </c>
      <c r="J46" s="11" t="s">
        <v>110</v>
      </c>
      <c r="K46" s="20">
        <v>3292653</v>
      </c>
      <c r="L46" s="9" t="s">
        <v>26</v>
      </c>
      <c r="M46" s="32"/>
      <c r="N46" s="32"/>
      <c r="O46" s="26" t="s">
        <v>240</v>
      </c>
      <c r="P46" s="214"/>
      <c r="Q46" s="217" t="str">
        <f t="shared" si="0"/>
        <v>Filling Besi / Metal</v>
      </c>
      <c r="R46" s="217"/>
      <c r="S46" s="218">
        <f t="shared" si="1"/>
        <v>2014</v>
      </c>
      <c r="T46" s="218" t="str">
        <f t="shared" si="2"/>
        <v>0010</v>
      </c>
      <c r="U46" s="220" t="s">
        <v>537</v>
      </c>
      <c r="V46" s="218"/>
      <c r="W46" s="222"/>
      <c r="X46" s="13"/>
      <c r="Y46" s="13"/>
    </row>
    <row r="47" spans="1:25" ht="31.5" x14ac:dyDescent="0.25">
      <c r="A47" s="47">
        <f t="shared" si="3"/>
        <v>23</v>
      </c>
      <c r="B47" s="443" t="s">
        <v>104</v>
      </c>
      <c r="C47" s="444"/>
      <c r="D47" s="26" t="s">
        <v>167</v>
      </c>
      <c r="E47" s="32"/>
      <c r="F47" s="32"/>
      <c r="G47" s="30" t="s">
        <v>56</v>
      </c>
      <c r="H47" s="9">
        <v>2014</v>
      </c>
      <c r="I47" s="9" t="s">
        <v>105</v>
      </c>
      <c r="J47" s="11" t="s">
        <v>149</v>
      </c>
      <c r="K47" s="89">
        <v>3292653</v>
      </c>
      <c r="L47" s="9" t="s">
        <v>26</v>
      </c>
      <c r="M47" s="32"/>
      <c r="N47" s="32"/>
      <c r="O47" s="50" t="s">
        <v>525</v>
      </c>
      <c r="P47" s="214"/>
      <c r="Q47" s="217" t="str">
        <f t="shared" si="0"/>
        <v>Filling Besi / Metal</v>
      </c>
      <c r="R47" s="217"/>
      <c r="S47" s="218">
        <f t="shared" si="1"/>
        <v>2014</v>
      </c>
      <c r="T47" s="218" t="str">
        <f t="shared" si="2"/>
        <v>0011</v>
      </c>
      <c r="U47" s="220" t="s">
        <v>537</v>
      </c>
      <c r="V47" s="218"/>
      <c r="W47" s="222"/>
      <c r="X47" s="13"/>
      <c r="Y47" s="13"/>
    </row>
    <row r="48" spans="1:25" ht="31.5" x14ac:dyDescent="0.25">
      <c r="A48" s="47">
        <f t="shared" si="3"/>
        <v>24</v>
      </c>
      <c r="B48" s="443" t="s">
        <v>104</v>
      </c>
      <c r="C48" s="444"/>
      <c r="D48" s="26" t="s">
        <v>109</v>
      </c>
      <c r="E48" s="12"/>
      <c r="F48" s="12"/>
      <c r="G48" s="30" t="s">
        <v>56</v>
      </c>
      <c r="H48" s="9">
        <v>2014</v>
      </c>
      <c r="I48" s="9" t="s">
        <v>105</v>
      </c>
      <c r="J48" s="11" t="s">
        <v>137</v>
      </c>
      <c r="K48" s="172">
        <v>3292653</v>
      </c>
      <c r="L48" s="9" t="s">
        <v>26</v>
      </c>
      <c r="M48" s="12"/>
      <c r="N48" s="12"/>
      <c r="O48" s="26" t="s">
        <v>219</v>
      </c>
      <c r="P48" s="214"/>
      <c r="Q48" s="217" t="str">
        <f t="shared" si="0"/>
        <v>Filling Besi / Metal</v>
      </c>
      <c r="R48" s="217"/>
      <c r="S48" s="218">
        <f t="shared" si="1"/>
        <v>2014</v>
      </c>
      <c r="T48" s="218" t="str">
        <f t="shared" si="2"/>
        <v>0012</v>
      </c>
      <c r="U48" s="220" t="s">
        <v>537</v>
      </c>
      <c r="V48" s="218"/>
      <c r="W48" s="222"/>
      <c r="X48" s="13"/>
      <c r="Y48" s="13"/>
    </row>
    <row r="49" spans="1:25" ht="31.5" x14ac:dyDescent="0.25">
      <c r="A49" s="47">
        <f t="shared" si="3"/>
        <v>25</v>
      </c>
      <c r="B49" s="443" t="s">
        <v>104</v>
      </c>
      <c r="C49" s="444"/>
      <c r="D49" s="26" t="s">
        <v>109</v>
      </c>
      <c r="E49" s="32"/>
      <c r="F49" s="32"/>
      <c r="G49" s="30" t="s">
        <v>56</v>
      </c>
      <c r="H49" s="9">
        <v>2014</v>
      </c>
      <c r="I49" s="9" t="s">
        <v>105</v>
      </c>
      <c r="J49" s="11" t="s">
        <v>111</v>
      </c>
      <c r="K49" s="20">
        <v>3292652</v>
      </c>
      <c r="L49" s="9" t="s">
        <v>26</v>
      </c>
      <c r="M49" s="32"/>
      <c r="N49" s="32"/>
      <c r="O49" s="26" t="s">
        <v>240</v>
      </c>
      <c r="P49" s="214"/>
      <c r="Q49" s="217" t="str">
        <f t="shared" si="0"/>
        <v>Filling Besi / Metal</v>
      </c>
      <c r="R49" s="217"/>
      <c r="S49" s="218">
        <f t="shared" si="1"/>
        <v>2014</v>
      </c>
      <c r="T49" s="218" t="str">
        <f t="shared" si="2"/>
        <v>0013</v>
      </c>
      <c r="U49" s="220" t="s">
        <v>537</v>
      </c>
      <c r="V49" s="218"/>
      <c r="W49" s="222"/>
      <c r="X49" s="13"/>
      <c r="Y49" s="13"/>
    </row>
    <row r="50" spans="1:25" ht="47.25" x14ac:dyDescent="0.25">
      <c r="A50" s="47">
        <f t="shared" si="3"/>
        <v>26</v>
      </c>
      <c r="B50" s="534" t="s">
        <v>104</v>
      </c>
      <c r="C50" s="535"/>
      <c r="D50" s="40" t="s">
        <v>109</v>
      </c>
      <c r="E50" s="41"/>
      <c r="F50" s="41"/>
      <c r="G50" s="42" t="s">
        <v>56</v>
      </c>
      <c r="H50" s="43">
        <v>2014</v>
      </c>
      <c r="I50" s="43" t="s">
        <v>105</v>
      </c>
      <c r="J50" s="44" t="s">
        <v>60</v>
      </c>
      <c r="K50" s="63">
        <v>3292652</v>
      </c>
      <c r="L50" s="43" t="s">
        <v>26</v>
      </c>
      <c r="M50" s="41"/>
      <c r="N50" s="45"/>
      <c r="O50" s="40" t="s">
        <v>378</v>
      </c>
      <c r="P50" s="214"/>
      <c r="Q50" s="217" t="str">
        <f t="shared" si="0"/>
        <v>Filling Besi / Metal</v>
      </c>
      <c r="R50" s="217"/>
      <c r="S50" s="218">
        <f t="shared" si="1"/>
        <v>2014</v>
      </c>
      <c r="T50" s="218" t="str">
        <f t="shared" si="2"/>
        <v>0014</v>
      </c>
      <c r="U50" s="220" t="s">
        <v>537</v>
      </c>
      <c r="V50" s="218"/>
      <c r="W50" s="222"/>
      <c r="X50" s="13"/>
      <c r="Y50" s="13"/>
    </row>
    <row r="51" spans="1:25" ht="31.5" x14ac:dyDescent="0.25">
      <c r="A51" s="47">
        <f t="shared" si="3"/>
        <v>27</v>
      </c>
      <c r="B51" s="534" t="s">
        <v>104</v>
      </c>
      <c r="C51" s="535"/>
      <c r="D51" s="40" t="s">
        <v>231</v>
      </c>
      <c r="E51" s="41"/>
      <c r="F51" s="41"/>
      <c r="G51" s="42" t="s">
        <v>56</v>
      </c>
      <c r="H51" s="43">
        <v>2017</v>
      </c>
      <c r="I51" s="43" t="s">
        <v>105</v>
      </c>
      <c r="J51" s="44" t="s">
        <v>83</v>
      </c>
      <c r="K51" s="173">
        <v>2081257</v>
      </c>
      <c r="L51" s="43" t="s">
        <v>26</v>
      </c>
      <c r="M51" s="41"/>
      <c r="N51" s="41"/>
      <c r="O51" s="48" t="s">
        <v>514</v>
      </c>
      <c r="P51" s="214"/>
      <c r="Q51" s="217" t="str">
        <f t="shared" si="0"/>
        <v>Filling Besi / Metal</v>
      </c>
      <c r="R51" s="217"/>
      <c r="S51" s="218">
        <f t="shared" si="1"/>
        <v>2017</v>
      </c>
      <c r="T51" s="218" t="str">
        <f t="shared" si="2"/>
        <v>0015</v>
      </c>
      <c r="U51" s="217"/>
      <c r="V51" s="218"/>
      <c r="W51" s="222"/>
      <c r="X51" s="13"/>
      <c r="Y51" s="13"/>
    </row>
    <row r="52" spans="1:25" ht="31.5" x14ac:dyDescent="0.25">
      <c r="A52" s="47">
        <f t="shared" si="3"/>
        <v>28</v>
      </c>
      <c r="B52" s="534" t="s">
        <v>104</v>
      </c>
      <c r="C52" s="535"/>
      <c r="D52" s="40" t="s">
        <v>231</v>
      </c>
      <c r="E52" s="41"/>
      <c r="F52" s="41"/>
      <c r="G52" s="42"/>
      <c r="H52" s="43">
        <v>2018</v>
      </c>
      <c r="I52" s="43" t="s">
        <v>105</v>
      </c>
      <c r="J52" s="44" t="s">
        <v>200</v>
      </c>
      <c r="K52" s="173">
        <v>2095323</v>
      </c>
      <c r="L52" s="43" t="s">
        <v>26</v>
      </c>
      <c r="M52" s="41"/>
      <c r="N52" s="41"/>
      <c r="O52" s="48" t="s">
        <v>514</v>
      </c>
      <c r="P52" s="214"/>
      <c r="Q52" s="217" t="str">
        <f t="shared" si="0"/>
        <v>Filling Besi / Metal</v>
      </c>
      <c r="R52" s="217"/>
      <c r="S52" s="218">
        <f t="shared" si="1"/>
        <v>2018</v>
      </c>
      <c r="T52" s="218" t="str">
        <f t="shared" si="2"/>
        <v>0017</v>
      </c>
      <c r="U52" s="220" t="s">
        <v>89</v>
      </c>
      <c r="V52" s="218"/>
      <c r="W52" s="222"/>
      <c r="X52" s="13"/>
      <c r="Y52" s="13"/>
    </row>
    <row r="53" spans="1:25" ht="31.5" x14ac:dyDescent="0.25">
      <c r="A53" s="47">
        <f t="shared" si="3"/>
        <v>29</v>
      </c>
      <c r="B53" s="443" t="s">
        <v>150</v>
      </c>
      <c r="C53" s="444"/>
      <c r="D53" s="26" t="s">
        <v>151</v>
      </c>
      <c r="E53" s="32"/>
      <c r="F53" s="32"/>
      <c r="G53" s="9" t="s">
        <v>152</v>
      </c>
      <c r="H53" s="9">
        <v>2006</v>
      </c>
      <c r="I53" s="9" t="s">
        <v>153</v>
      </c>
      <c r="J53" s="11" t="s">
        <v>43</v>
      </c>
      <c r="K53" s="89">
        <v>1820000</v>
      </c>
      <c r="L53" s="9" t="s">
        <v>26</v>
      </c>
      <c r="M53" s="32"/>
      <c r="N53" s="32"/>
      <c r="O53" s="26" t="s">
        <v>526</v>
      </c>
      <c r="P53" s="214"/>
      <c r="Q53" s="217" t="str">
        <f t="shared" si="0"/>
        <v>Lemari Kaca</v>
      </c>
      <c r="R53" s="217"/>
      <c r="S53" s="218">
        <f t="shared" si="1"/>
        <v>2006</v>
      </c>
      <c r="T53" s="218" t="str">
        <f t="shared" si="2"/>
        <v>0001</v>
      </c>
      <c r="U53" s="217"/>
      <c r="V53" s="218"/>
      <c r="W53" s="222"/>
      <c r="X53" s="13"/>
      <c r="Y53" s="13"/>
    </row>
    <row r="54" spans="1:25" ht="47.25" x14ac:dyDescent="0.25">
      <c r="A54" s="47">
        <f t="shared" si="3"/>
        <v>30</v>
      </c>
      <c r="B54" s="443" t="s">
        <v>150</v>
      </c>
      <c r="C54" s="444"/>
      <c r="D54" s="10" t="s">
        <v>180</v>
      </c>
      <c r="E54" s="12"/>
      <c r="F54" s="12"/>
      <c r="G54" s="9" t="s">
        <v>152</v>
      </c>
      <c r="H54" s="9">
        <v>2014</v>
      </c>
      <c r="I54" s="9" t="s">
        <v>153</v>
      </c>
      <c r="J54" s="11" t="s">
        <v>54</v>
      </c>
      <c r="K54" s="89">
        <v>3050000</v>
      </c>
      <c r="L54" s="9" t="s">
        <v>26</v>
      </c>
      <c r="M54" s="12"/>
      <c r="N54" s="12"/>
      <c r="O54" s="50" t="s">
        <v>524</v>
      </c>
      <c r="P54" s="214"/>
      <c r="Q54" s="217" t="str">
        <f t="shared" si="0"/>
        <v>Lemari Kaca</v>
      </c>
      <c r="R54" s="217"/>
      <c r="S54" s="218">
        <f t="shared" si="1"/>
        <v>2014</v>
      </c>
      <c r="T54" s="218" t="str">
        <f t="shared" si="2"/>
        <v>0002</v>
      </c>
      <c r="U54" s="217"/>
      <c r="V54" s="218"/>
      <c r="W54" s="222"/>
      <c r="X54" s="13"/>
      <c r="Y54" s="13"/>
    </row>
    <row r="55" spans="1:25" ht="63" x14ac:dyDescent="0.25">
      <c r="A55" s="47">
        <f t="shared" si="3"/>
        <v>31</v>
      </c>
      <c r="B55" s="443" t="s">
        <v>511</v>
      </c>
      <c r="C55" s="444"/>
      <c r="D55" s="26" t="s">
        <v>512</v>
      </c>
      <c r="E55" s="12"/>
      <c r="F55" s="12"/>
      <c r="G55" s="30" t="s">
        <v>218</v>
      </c>
      <c r="H55" s="9">
        <v>2000</v>
      </c>
      <c r="I55" s="9" t="s">
        <v>155</v>
      </c>
      <c r="J55" s="11" t="s">
        <v>137</v>
      </c>
      <c r="K55" s="20">
        <v>350000</v>
      </c>
      <c r="L55" s="9" t="s">
        <v>26</v>
      </c>
      <c r="M55" s="12"/>
      <c r="N55" s="12"/>
      <c r="O55" s="10" t="s">
        <v>518</v>
      </c>
      <c r="P55" s="214"/>
      <c r="Q55" s="217" t="str">
        <f t="shared" si="0"/>
        <v xml:space="preserve">Lemari Kayu </v>
      </c>
      <c r="R55" s="217"/>
      <c r="S55" s="218">
        <f t="shared" si="1"/>
        <v>2000</v>
      </c>
      <c r="T55" s="218" t="str">
        <f t="shared" si="2"/>
        <v>0012</v>
      </c>
      <c r="U55" s="218" t="s">
        <v>540</v>
      </c>
      <c r="V55" s="218"/>
      <c r="W55" s="222"/>
      <c r="X55" s="13"/>
      <c r="Y55" s="13"/>
    </row>
    <row r="56" spans="1:25" ht="31.5" x14ac:dyDescent="0.25">
      <c r="A56" s="47">
        <f t="shared" si="3"/>
        <v>32</v>
      </c>
      <c r="B56" s="443" t="s">
        <v>154</v>
      </c>
      <c r="C56" s="444"/>
      <c r="D56" s="26" t="s">
        <v>294</v>
      </c>
      <c r="E56" s="32"/>
      <c r="F56" s="32"/>
      <c r="G56" s="9" t="s">
        <v>42</v>
      </c>
      <c r="H56" s="9">
        <v>2006</v>
      </c>
      <c r="I56" s="9" t="s">
        <v>155</v>
      </c>
      <c r="J56" s="11" t="s">
        <v>43</v>
      </c>
      <c r="K56" s="89">
        <v>250000</v>
      </c>
      <c r="L56" s="9" t="s">
        <v>26</v>
      </c>
      <c r="M56" s="32"/>
      <c r="N56" s="32"/>
      <c r="O56" s="26" t="s">
        <v>526</v>
      </c>
      <c r="P56" s="214"/>
      <c r="Q56" s="217" t="str">
        <f t="shared" si="0"/>
        <v>Lemari Kayu</v>
      </c>
      <c r="R56" s="217"/>
      <c r="S56" s="218">
        <f t="shared" si="1"/>
        <v>2006</v>
      </c>
      <c r="T56" s="218" t="str">
        <f t="shared" si="2"/>
        <v>0001</v>
      </c>
      <c r="U56" s="220" t="s">
        <v>110</v>
      </c>
      <c r="V56" s="218">
        <v>2000</v>
      </c>
      <c r="W56" s="222"/>
      <c r="X56" s="13"/>
      <c r="Y56" s="13"/>
    </row>
    <row r="57" spans="1:25" ht="31.5" x14ac:dyDescent="0.25">
      <c r="A57" s="47">
        <f t="shared" si="3"/>
        <v>33</v>
      </c>
      <c r="B57" s="443" t="s">
        <v>154</v>
      </c>
      <c r="C57" s="444"/>
      <c r="D57" s="26" t="s">
        <v>293</v>
      </c>
      <c r="E57" s="32"/>
      <c r="F57" s="32"/>
      <c r="G57" s="9" t="s">
        <v>42</v>
      </c>
      <c r="H57" s="9">
        <v>2010</v>
      </c>
      <c r="I57" s="9" t="s">
        <v>155</v>
      </c>
      <c r="J57" s="11" t="s">
        <v>54</v>
      </c>
      <c r="K57" s="89">
        <v>396000</v>
      </c>
      <c r="L57" s="9" t="s">
        <v>26</v>
      </c>
      <c r="M57" s="32"/>
      <c r="N57" s="27"/>
      <c r="O57" s="50" t="s">
        <v>525</v>
      </c>
      <c r="P57" s="214"/>
      <c r="Q57" s="217" t="str">
        <f t="shared" si="0"/>
        <v>Lemari Kayu</v>
      </c>
      <c r="R57" s="217"/>
      <c r="S57" s="218">
        <f t="shared" si="1"/>
        <v>2010</v>
      </c>
      <c r="T57" s="218" t="str">
        <f t="shared" si="2"/>
        <v>0002</v>
      </c>
      <c r="U57" s="220" t="s">
        <v>111</v>
      </c>
      <c r="V57" s="218">
        <v>2005</v>
      </c>
      <c r="W57" s="222"/>
      <c r="X57" s="13"/>
      <c r="Y57" s="13"/>
    </row>
    <row r="58" spans="1:25" ht="47.25" x14ac:dyDescent="0.25">
      <c r="A58" s="47">
        <f t="shared" si="3"/>
        <v>34</v>
      </c>
      <c r="B58" s="443" t="s">
        <v>154</v>
      </c>
      <c r="C58" s="444"/>
      <c r="D58" s="26" t="s">
        <v>298</v>
      </c>
      <c r="E58" s="32"/>
      <c r="F58" s="32"/>
      <c r="G58" s="9" t="s">
        <v>218</v>
      </c>
      <c r="H58" s="9">
        <v>2010</v>
      </c>
      <c r="I58" s="9" t="s">
        <v>155</v>
      </c>
      <c r="J58" s="11" t="s">
        <v>125</v>
      </c>
      <c r="K58" s="20">
        <v>900000</v>
      </c>
      <c r="L58" s="9" t="s">
        <v>26</v>
      </c>
      <c r="M58" s="32"/>
      <c r="N58" s="32"/>
      <c r="O58" s="32" t="s">
        <v>522</v>
      </c>
      <c r="P58" s="214"/>
      <c r="Q58" s="217" t="str">
        <f t="shared" si="0"/>
        <v>Lemari Kayu</v>
      </c>
      <c r="R58" s="217"/>
      <c r="S58" s="218">
        <f t="shared" si="1"/>
        <v>2010</v>
      </c>
      <c r="T58" s="218" t="str">
        <f t="shared" si="2"/>
        <v>0004</v>
      </c>
      <c r="U58" s="219" t="s">
        <v>539</v>
      </c>
      <c r="V58" s="218">
        <v>2010</v>
      </c>
      <c r="W58" s="222"/>
      <c r="X58" s="13"/>
      <c r="Y58" s="13"/>
    </row>
    <row r="59" spans="1:25" ht="47.25" x14ac:dyDescent="0.25">
      <c r="A59" s="47">
        <f t="shared" si="3"/>
        <v>35</v>
      </c>
      <c r="B59" s="443" t="s">
        <v>154</v>
      </c>
      <c r="C59" s="444"/>
      <c r="D59" s="26" t="s">
        <v>330</v>
      </c>
      <c r="E59" s="32"/>
      <c r="F59" s="32"/>
      <c r="G59" s="9" t="s">
        <v>42</v>
      </c>
      <c r="H59" s="9">
        <v>2011</v>
      </c>
      <c r="I59" s="9" t="s">
        <v>155</v>
      </c>
      <c r="J59" s="11" t="s">
        <v>74</v>
      </c>
      <c r="K59" s="20">
        <v>892500</v>
      </c>
      <c r="L59" s="9" t="s">
        <v>26</v>
      </c>
      <c r="M59" s="32"/>
      <c r="N59" s="32"/>
      <c r="O59" s="32" t="s">
        <v>522</v>
      </c>
      <c r="P59" s="214"/>
      <c r="Q59" s="217" t="str">
        <f t="shared" si="0"/>
        <v>Lemari Kayu</v>
      </c>
      <c r="R59" s="217"/>
      <c r="S59" s="218">
        <f t="shared" si="1"/>
        <v>2011</v>
      </c>
      <c r="T59" s="218" t="str">
        <f t="shared" si="2"/>
        <v>0006</v>
      </c>
      <c r="U59" s="220" t="s">
        <v>58</v>
      </c>
      <c r="V59" s="218"/>
      <c r="W59" s="222"/>
      <c r="X59" s="13"/>
      <c r="Y59" s="13"/>
    </row>
    <row r="60" spans="1:25" ht="63" x14ac:dyDescent="0.25">
      <c r="A60" s="47">
        <f t="shared" si="3"/>
        <v>36</v>
      </c>
      <c r="B60" s="534" t="s">
        <v>450</v>
      </c>
      <c r="C60" s="535"/>
      <c r="D60" s="40" t="s">
        <v>451</v>
      </c>
      <c r="E60" s="41"/>
      <c r="F60" s="41"/>
      <c r="G60" s="42" t="s">
        <v>452</v>
      </c>
      <c r="H60" s="43">
        <v>2010</v>
      </c>
      <c r="I60" s="43" t="s">
        <v>449</v>
      </c>
      <c r="J60" s="44" t="s">
        <v>54</v>
      </c>
      <c r="K60" s="63">
        <v>1350000</v>
      </c>
      <c r="L60" s="43" t="s">
        <v>26</v>
      </c>
      <c r="M60" s="43"/>
      <c r="N60" s="41"/>
      <c r="O60" s="40" t="s">
        <v>238</v>
      </c>
      <c r="P60" s="214"/>
      <c r="Q60" s="217" t="str">
        <f t="shared" si="0"/>
        <v>Papan Tulis</v>
      </c>
      <c r="R60" s="217"/>
      <c r="S60" s="218">
        <f t="shared" si="1"/>
        <v>2010</v>
      </c>
      <c r="T60" s="218" t="str">
        <f t="shared" si="2"/>
        <v>0002</v>
      </c>
      <c r="U60" s="217" t="s">
        <v>541</v>
      </c>
      <c r="V60" s="218"/>
      <c r="W60" s="222"/>
      <c r="X60" s="13"/>
      <c r="Y60" s="13"/>
    </row>
    <row r="61" spans="1:25" ht="31.5" x14ac:dyDescent="0.25">
      <c r="A61" s="122">
        <f t="shared" si="3"/>
        <v>37</v>
      </c>
      <c r="B61" s="550" t="s">
        <v>455</v>
      </c>
      <c r="C61" s="551"/>
      <c r="D61" s="223" t="s">
        <v>477</v>
      </c>
      <c r="E61" s="224"/>
      <c r="F61" s="224"/>
      <c r="G61" s="225" t="s">
        <v>50</v>
      </c>
      <c r="H61" s="226">
        <v>2019</v>
      </c>
      <c r="I61" s="226" t="s">
        <v>456</v>
      </c>
      <c r="J61" s="227" t="s">
        <v>54</v>
      </c>
      <c r="K61" s="228">
        <v>4630687</v>
      </c>
      <c r="L61" s="226" t="s">
        <v>26</v>
      </c>
      <c r="M61" s="156"/>
      <c r="N61" s="156"/>
      <c r="O61" s="229" t="s">
        <v>522</v>
      </c>
      <c r="P61" s="214"/>
      <c r="Q61" s="217" t="str">
        <f t="shared" si="0"/>
        <v>Mesin Absensi</v>
      </c>
      <c r="R61" s="217"/>
      <c r="S61" s="218">
        <f t="shared" si="1"/>
        <v>2019</v>
      </c>
      <c r="T61" s="218" t="str">
        <f t="shared" si="2"/>
        <v>0002</v>
      </c>
      <c r="U61" s="217" t="s">
        <v>542</v>
      </c>
      <c r="V61" s="218">
        <v>2012</v>
      </c>
      <c r="W61" s="222"/>
      <c r="X61" s="13"/>
      <c r="Y61" s="13"/>
    </row>
    <row r="62" spans="1:25" ht="18" x14ac:dyDescent="0.25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231">
        <f>SUM(K43:K61)</f>
        <v>42920032</v>
      </c>
      <c r="L62" s="75"/>
      <c r="M62" s="75"/>
      <c r="N62" s="75"/>
      <c r="O62" s="75"/>
      <c r="P62" s="214"/>
      <c r="Q62" s="217" t="str">
        <f>B73</f>
        <v>Lemari Kayu</v>
      </c>
      <c r="R62" s="217"/>
      <c r="S62" s="218">
        <f>H73</f>
        <v>2020</v>
      </c>
      <c r="T62" s="218" t="str">
        <f>J73</f>
        <v>0001</v>
      </c>
      <c r="U62" s="217"/>
      <c r="V62" s="218"/>
      <c r="W62" s="222"/>
      <c r="X62" s="13"/>
      <c r="Y62" s="13"/>
    </row>
    <row r="63" spans="1:25" ht="18" x14ac:dyDescent="0.25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214"/>
      <c r="Q63" s="217" t="str">
        <f>B74</f>
        <v>Lemari Kayu</v>
      </c>
      <c r="R63" s="217"/>
      <c r="S63" s="218">
        <f>H74</f>
        <v>2020</v>
      </c>
      <c r="T63" s="218" t="str">
        <f>J74</f>
        <v>0002</v>
      </c>
      <c r="U63" s="217"/>
      <c r="V63" s="218"/>
      <c r="W63" s="222"/>
      <c r="X63" s="13"/>
      <c r="Y63" s="13"/>
    </row>
    <row r="64" spans="1:25" ht="18" x14ac:dyDescent="0.25">
      <c r="A64" s="157"/>
      <c r="B64" s="67"/>
      <c r="C64" s="67"/>
      <c r="D64" s="68"/>
      <c r="E64" s="88"/>
      <c r="F64" s="88"/>
      <c r="G64" s="80"/>
      <c r="H64" s="70"/>
      <c r="I64" s="70"/>
      <c r="J64" s="71"/>
      <c r="K64" s="72"/>
      <c r="L64" s="70"/>
      <c r="M64" s="88"/>
      <c r="N64" s="88"/>
      <c r="O64" s="97"/>
      <c r="P64" s="214"/>
      <c r="Q64" s="217"/>
      <c r="R64" s="217"/>
      <c r="S64" s="218"/>
      <c r="T64" s="218"/>
      <c r="U64" s="217"/>
      <c r="V64" s="218"/>
      <c r="W64" s="222"/>
      <c r="X64" s="13"/>
      <c r="Y64" s="13"/>
    </row>
    <row r="65" spans="1:25" ht="18" x14ac:dyDescent="0.25">
      <c r="A65" s="157"/>
      <c r="B65" s="67"/>
      <c r="C65" s="67"/>
      <c r="D65" s="68"/>
      <c r="E65" s="88"/>
      <c r="F65" s="88"/>
      <c r="G65" s="80"/>
      <c r="H65" s="70"/>
      <c r="I65" s="70"/>
      <c r="J65" s="71"/>
      <c r="K65" s="72"/>
      <c r="L65" s="70"/>
      <c r="M65" s="88"/>
      <c r="N65" s="88"/>
      <c r="O65" s="97"/>
      <c r="P65" s="214"/>
      <c r="Q65" s="217"/>
      <c r="R65" s="217"/>
      <c r="S65" s="218"/>
      <c r="T65" s="218"/>
      <c r="U65" s="217"/>
      <c r="V65" s="218"/>
      <c r="W65" s="222"/>
      <c r="X65" s="13"/>
      <c r="Y65" s="13"/>
    </row>
    <row r="66" spans="1:25" ht="18" x14ac:dyDescent="0.25">
      <c r="A66" s="157"/>
      <c r="B66" s="67"/>
      <c r="C66" s="67"/>
      <c r="D66" s="68"/>
      <c r="E66" s="88"/>
      <c r="F66" s="88"/>
      <c r="G66" s="80"/>
      <c r="H66" s="70"/>
      <c r="I66" s="70"/>
      <c r="J66" s="71"/>
      <c r="K66" s="72"/>
      <c r="L66" s="70"/>
      <c r="M66" s="88"/>
      <c r="N66" s="88"/>
      <c r="O66" s="97"/>
      <c r="P66" s="214"/>
      <c r="Q66" s="217"/>
      <c r="R66" s="217"/>
      <c r="S66" s="218"/>
      <c r="T66" s="218"/>
      <c r="U66" s="217"/>
      <c r="V66" s="218"/>
      <c r="W66" s="222"/>
      <c r="X66" s="13"/>
      <c r="Y66" s="13"/>
    </row>
    <row r="67" spans="1:25" ht="18" x14ac:dyDescent="0.25">
      <c r="A67" s="157"/>
      <c r="B67" s="67"/>
      <c r="C67" s="67"/>
      <c r="D67" s="68"/>
      <c r="E67" s="88"/>
      <c r="F67" s="88"/>
      <c r="G67" s="80"/>
      <c r="H67" s="70"/>
      <c r="I67" s="70"/>
      <c r="J67" s="71"/>
      <c r="K67" s="72"/>
      <c r="L67" s="70"/>
      <c r="M67" s="88"/>
      <c r="N67" s="88"/>
      <c r="O67" s="97"/>
      <c r="P67" s="214"/>
      <c r="Q67" s="217"/>
      <c r="R67" s="217"/>
      <c r="S67" s="218"/>
      <c r="T67" s="218"/>
      <c r="U67" s="217"/>
      <c r="V67" s="218"/>
      <c r="W67" s="222"/>
      <c r="X67" s="13"/>
      <c r="Y67" s="13"/>
    </row>
    <row r="68" spans="1:25" ht="18" x14ac:dyDescent="0.25">
      <c r="A68" s="186"/>
      <c r="B68" s="82"/>
      <c r="C68" s="82"/>
      <c r="D68" s="83"/>
      <c r="E68" s="113"/>
      <c r="F68" s="113"/>
      <c r="G68" s="85"/>
      <c r="H68" s="86"/>
      <c r="I68" s="86"/>
      <c r="J68" s="87"/>
      <c r="K68" s="114"/>
      <c r="L68" s="86"/>
      <c r="M68" s="113"/>
      <c r="N68" s="113"/>
      <c r="O68" s="187"/>
      <c r="P68" s="214"/>
      <c r="Q68" s="217"/>
      <c r="R68" s="217"/>
      <c r="S68" s="218"/>
      <c r="T68" s="218"/>
      <c r="U68" s="217"/>
      <c r="V68" s="218"/>
      <c r="W68" s="222"/>
      <c r="X68" s="13"/>
      <c r="Y68" s="13"/>
    </row>
    <row r="69" spans="1:25" ht="18" x14ac:dyDescent="0.25">
      <c r="A69" s="168" t="s">
        <v>7</v>
      </c>
      <c r="B69" s="538" t="s">
        <v>8</v>
      </c>
      <c r="C69" s="538"/>
      <c r="D69" s="168" t="s">
        <v>9</v>
      </c>
      <c r="E69" s="168" t="s">
        <v>10</v>
      </c>
      <c r="F69" s="541" t="s">
        <v>11</v>
      </c>
      <c r="G69" s="541" t="s">
        <v>12</v>
      </c>
      <c r="H69" s="168" t="s">
        <v>13</v>
      </c>
      <c r="I69" s="168"/>
      <c r="J69" s="168" t="s">
        <v>15</v>
      </c>
      <c r="K69" s="168" t="s">
        <v>16</v>
      </c>
      <c r="L69" s="544" t="s">
        <v>17</v>
      </c>
      <c r="M69" s="544"/>
      <c r="N69" s="544"/>
      <c r="O69" s="168" t="s">
        <v>18</v>
      </c>
      <c r="P69" s="214"/>
      <c r="Q69" s="217" t="str">
        <f t="shared" si="0"/>
        <v>Nama Barang</v>
      </c>
      <c r="R69" s="217"/>
      <c r="S69" s="218" t="str">
        <f t="shared" si="1"/>
        <v xml:space="preserve">Tahun </v>
      </c>
      <c r="T69" s="218" t="str">
        <f t="shared" si="2"/>
        <v xml:space="preserve">Jumlah </v>
      </c>
      <c r="U69" s="217"/>
      <c r="V69" s="218"/>
      <c r="W69" s="222"/>
      <c r="X69" s="13"/>
      <c r="Y69" s="13"/>
    </row>
    <row r="70" spans="1:25" ht="18" x14ac:dyDescent="0.25">
      <c r="A70" s="542" t="s">
        <v>19</v>
      </c>
      <c r="B70" s="546" t="s">
        <v>20</v>
      </c>
      <c r="C70" s="547"/>
      <c r="D70" s="542" t="s">
        <v>21</v>
      </c>
      <c r="E70" s="542" t="s">
        <v>22</v>
      </c>
      <c r="F70" s="542"/>
      <c r="G70" s="542"/>
      <c r="H70" s="104" t="s">
        <v>23</v>
      </c>
      <c r="I70" s="104" t="s">
        <v>14</v>
      </c>
      <c r="J70" s="104" t="s">
        <v>24</v>
      </c>
      <c r="K70" s="104" t="s">
        <v>25</v>
      </c>
      <c r="L70" s="104" t="s">
        <v>26</v>
      </c>
      <c r="M70" s="104" t="s">
        <v>27</v>
      </c>
      <c r="N70" s="104" t="s">
        <v>28</v>
      </c>
      <c r="O70" s="539" t="s">
        <v>29</v>
      </c>
      <c r="P70" s="214"/>
      <c r="Q70" s="217" t="str">
        <f t="shared" si="0"/>
        <v>Jenis Barang</v>
      </c>
      <c r="R70" s="217"/>
      <c r="S70" s="218" t="str">
        <f t="shared" si="1"/>
        <v>Pembuatan</v>
      </c>
      <c r="T70" s="218" t="str">
        <f t="shared" si="2"/>
        <v>Barang</v>
      </c>
      <c r="U70" s="217"/>
      <c r="V70" s="218"/>
      <c r="W70" s="222"/>
      <c r="X70" s="13"/>
      <c r="Y70" s="13"/>
    </row>
    <row r="71" spans="1:25" ht="18" x14ac:dyDescent="0.25">
      <c r="A71" s="543"/>
      <c r="B71" s="548"/>
      <c r="C71" s="549"/>
      <c r="D71" s="543"/>
      <c r="E71" s="543"/>
      <c r="F71" s="543"/>
      <c r="G71" s="543"/>
      <c r="H71" s="105" t="s">
        <v>30</v>
      </c>
      <c r="I71" s="105"/>
      <c r="J71" s="105" t="s">
        <v>31</v>
      </c>
      <c r="K71" s="105" t="s">
        <v>32</v>
      </c>
      <c r="L71" s="105" t="s">
        <v>33</v>
      </c>
      <c r="M71" s="105" t="s">
        <v>34</v>
      </c>
      <c r="N71" s="105" t="s">
        <v>35</v>
      </c>
      <c r="O71" s="540"/>
      <c r="P71" s="214"/>
      <c r="Q71" s="217"/>
      <c r="R71" s="217"/>
      <c r="S71" s="218" t="str">
        <f t="shared" si="1"/>
        <v>Atau Pembelian</v>
      </c>
      <c r="T71" s="218" t="str">
        <f t="shared" si="2"/>
        <v>Register x)</v>
      </c>
      <c r="U71" s="217"/>
      <c r="V71" s="218"/>
      <c r="W71" s="222"/>
      <c r="X71" s="13"/>
      <c r="Y71" s="13"/>
    </row>
    <row r="72" spans="1:25" ht="18" x14ac:dyDescent="0.25">
      <c r="A72" s="47">
        <v>1</v>
      </c>
      <c r="B72" s="536">
        <v>2</v>
      </c>
      <c r="C72" s="537"/>
      <c r="D72" s="166">
        <v>3</v>
      </c>
      <c r="E72" s="166">
        <v>4</v>
      </c>
      <c r="F72" s="167">
        <v>5</v>
      </c>
      <c r="G72" s="167">
        <v>6</v>
      </c>
      <c r="H72" s="104">
        <v>7</v>
      </c>
      <c r="I72" s="104">
        <v>8</v>
      </c>
      <c r="J72" s="104">
        <v>9</v>
      </c>
      <c r="K72" s="104">
        <v>10</v>
      </c>
      <c r="L72" s="104">
        <v>11</v>
      </c>
      <c r="M72" s="104">
        <v>12</v>
      </c>
      <c r="N72" s="104">
        <v>13</v>
      </c>
      <c r="O72" s="166">
        <v>14</v>
      </c>
      <c r="P72" s="214"/>
      <c r="Q72" s="217"/>
      <c r="R72" s="217"/>
      <c r="S72" s="218"/>
      <c r="T72" s="218"/>
      <c r="U72" s="217"/>
      <c r="V72" s="218"/>
      <c r="W72" s="222"/>
      <c r="X72" s="13"/>
      <c r="Y72" s="13"/>
    </row>
    <row r="73" spans="1:25" ht="31.5" x14ac:dyDescent="0.25">
      <c r="A73" s="47">
        <f>A61+1</f>
        <v>38</v>
      </c>
      <c r="B73" s="443" t="s">
        <v>154</v>
      </c>
      <c r="C73" s="444"/>
      <c r="D73" s="26" t="s">
        <v>284</v>
      </c>
      <c r="E73" s="12"/>
      <c r="F73" s="12"/>
      <c r="G73" s="30" t="s">
        <v>285</v>
      </c>
      <c r="H73" s="9">
        <v>2020</v>
      </c>
      <c r="I73" s="9" t="s">
        <v>286</v>
      </c>
      <c r="J73" s="11" t="s">
        <v>43</v>
      </c>
      <c r="K73" s="20">
        <v>84403000</v>
      </c>
      <c r="L73" s="9" t="s">
        <v>26</v>
      </c>
      <c r="M73" s="12"/>
      <c r="N73" s="12"/>
      <c r="O73" s="26" t="s">
        <v>520</v>
      </c>
      <c r="P73" s="214"/>
      <c r="Q73" s="217"/>
      <c r="R73" s="217"/>
      <c r="S73" s="218"/>
      <c r="T73" s="218"/>
      <c r="U73" s="217"/>
      <c r="V73" s="218"/>
      <c r="W73" s="222"/>
      <c r="X73" s="13"/>
      <c r="Y73" s="13"/>
    </row>
    <row r="74" spans="1:25" ht="31.5" x14ac:dyDescent="0.25">
      <c r="A74" s="47">
        <f>A73+1</f>
        <v>39</v>
      </c>
      <c r="B74" s="443" t="s">
        <v>154</v>
      </c>
      <c r="C74" s="444"/>
      <c r="D74" s="26" t="s">
        <v>284</v>
      </c>
      <c r="E74" s="12"/>
      <c r="F74" s="12"/>
      <c r="G74" s="30" t="s">
        <v>285</v>
      </c>
      <c r="H74" s="9">
        <v>2020</v>
      </c>
      <c r="I74" s="9" t="s">
        <v>286</v>
      </c>
      <c r="J74" s="11" t="s">
        <v>54</v>
      </c>
      <c r="K74" s="20">
        <v>3959900</v>
      </c>
      <c r="L74" s="9" t="s">
        <v>26</v>
      </c>
      <c r="M74" s="12"/>
      <c r="N74" s="12"/>
      <c r="O74" s="10" t="s">
        <v>516</v>
      </c>
      <c r="P74" s="214"/>
      <c r="Q74" s="217"/>
      <c r="R74" s="217"/>
      <c r="S74" s="218"/>
      <c r="T74" s="218"/>
      <c r="U74" s="217"/>
      <c r="V74" s="218"/>
      <c r="W74" s="222"/>
      <c r="X74" s="13"/>
      <c r="Y74" s="13"/>
    </row>
    <row r="75" spans="1:25" ht="31.5" x14ac:dyDescent="0.25">
      <c r="A75" s="47">
        <f>A74+1</f>
        <v>40</v>
      </c>
      <c r="B75" s="443" t="s">
        <v>208</v>
      </c>
      <c r="C75" s="444"/>
      <c r="D75" s="121" t="s">
        <v>223</v>
      </c>
      <c r="E75" s="12"/>
      <c r="F75" s="12"/>
      <c r="G75" s="30" t="s">
        <v>433</v>
      </c>
      <c r="H75" s="9">
        <v>1997</v>
      </c>
      <c r="I75" s="9" t="s">
        <v>210</v>
      </c>
      <c r="J75" s="11" t="s">
        <v>43</v>
      </c>
      <c r="K75" s="20">
        <v>148648.5</v>
      </c>
      <c r="L75" s="30"/>
      <c r="M75" s="30" t="s">
        <v>27</v>
      </c>
      <c r="N75" s="4"/>
      <c r="O75" s="10" t="s">
        <v>516</v>
      </c>
      <c r="P75" s="214"/>
      <c r="Q75" s="217" t="str">
        <f t="shared" si="0"/>
        <v>Kursi Besi / Metal</v>
      </c>
      <c r="R75" s="217"/>
      <c r="S75" s="218">
        <f t="shared" si="1"/>
        <v>1997</v>
      </c>
      <c r="T75" s="218" t="str">
        <f t="shared" si="2"/>
        <v>0001</v>
      </c>
      <c r="U75" s="217"/>
      <c r="V75" s="218"/>
      <c r="W75" s="222"/>
      <c r="X75" s="13"/>
      <c r="Y75" s="13"/>
    </row>
    <row r="76" spans="1:25" ht="31.5" x14ac:dyDescent="0.25">
      <c r="A76" s="47">
        <f t="shared" si="3"/>
        <v>41</v>
      </c>
      <c r="B76" s="443" t="s">
        <v>222</v>
      </c>
      <c r="C76" s="444"/>
      <c r="D76" s="38" t="s">
        <v>223</v>
      </c>
      <c r="E76" s="12"/>
      <c r="F76" s="12"/>
      <c r="G76" s="47" t="s">
        <v>56</v>
      </c>
      <c r="H76" s="9">
        <v>1997</v>
      </c>
      <c r="I76" s="9" t="s">
        <v>210</v>
      </c>
      <c r="J76" s="11" t="s">
        <v>54</v>
      </c>
      <c r="K76" s="172" t="s">
        <v>211</v>
      </c>
      <c r="L76" s="9"/>
      <c r="M76" s="32" t="s">
        <v>27</v>
      </c>
      <c r="N76" s="12"/>
      <c r="O76" s="32" t="s">
        <v>490</v>
      </c>
      <c r="P76" s="214"/>
      <c r="Q76" s="217" t="str">
        <f t="shared" si="0"/>
        <v>Kursi Besi/Metal</v>
      </c>
      <c r="R76" s="217"/>
      <c r="S76" s="218">
        <f t="shared" si="1"/>
        <v>1997</v>
      </c>
      <c r="T76" s="218" t="str">
        <f t="shared" si="2"/>
        <v>0002</v>
      </c>
      <c r="U76" s="217"/>
      <c r="V76" s="218"/>
      <c r="W76" s="222"/>
      <c r="X76" s="13"/>
      <c r="Y76" s="13"/>
    </row>
    <row r="77" spans="1:25" ht="31.5" x14ac:dyDescent="0.25">
      <c r="A77" s="47">
        <f t="shared" si="3"/>
        <v>42</v>
      </c>
      <c r="B77" s="443" t="s">
        <v>222</v>
      </c>
      <c r="C77" s="444"/>
      <c r="D77" s="38" t="s">
        <v>223</v>
      </c>
      <c r="E77" s="12"/>
      <c r="F77" s="12"/>
      <c r="G77" s="47" t="s">
        <v>56</v>
      </c>
      <c r="H77" s="9">
        <v>1997</v>
      </c>
      <c r="I77" s="9" t="s">
        <v>210</v>
      </c>
      <c r="J77" s="11" t="s">
        <v>107</v>
      </c>
      <c r="K77" s="172" t="s">
        <v>211</v>
      </c>
      <c r="L77" s="9"/>
      <c r="M77" s="32" t="s">
        <v>27</v>
      </c>
      <c r="N77" s="12"/>
      <c r="O77" s="26" t="s">
        <v>219</v>
      </c>
      <c r="P77" s="214"/>
      <c r="Q77" s="217" t="str">
        <f t="shared" si="0"/>
        <v>Kursi Besi/Metal</v>
      </c>
      <c r="R77" s="217"/>
      <c r="S77" s="218">
        <f t="shared" si="1"/>
        <v>1997</v>
      </c>
      <c r="T77" s="218" t="str">
        <f t="shared" si="2"/>
        <v>0003</v>
      </c>
      <c r="U77" s="217"/>
      <c r="V77" s="218"/>
      <c r="W77" s="222"/>
      <c r="X77" s="13"/>
      <c r="Y77" s="13"/>
    </row>
    <row r="78" spans="1:25" ht="31.5" x14ac:dyDescent="0.25">
      <c r="A78" s="47">
        <f t="shared" si="3"/>
        <v>43</v>
      </c>
      <c r="B78" s="443" t="s">
        <v>208</v>
      </c>
      <c r="C78" s="444"/>
      <c r="D78" s="121" t="s">
        <v>209</v>
      </c>
      <c r="E78" s="12"/>
      <c r="F78" s="12"/>
      <c r="G78" s="9" t="s">
        <v>56</v>
      </c>
      <c r="H78" s="9">
        <v>1997</v>
      </c>
      <c r="I78" s="9" t="s">
        <v>210</v>
      </c>
      <c r="J78" s="11" t="s">
        <v>67</v>
      </c>
      <c r="K78" s="172" t="s">
        <v>211</v>
      </c>
      <c r="L78" s="9"/>
      <c r="M78" s="32" t="s">
        <v>27</v>
      </c>
      <c r="N78" s="12"/>
      <c r="O78" s="10" t="s">
        <v>515</v>
      </c>
      <c r="P78" s="214"/>
      <c r="Q78" s="217" t="str">
        <f t="shared" si="0"/>
        <v>Kursi Besi / Metal</v>
      </c>
      <c r="R78" s="217"/>
      <c r="S78" s="218">
        <f t="shared" si="1"/>
        <v>1997</v>
      </c>
      <c r="T78" s="218" t="str">
        <f t="shared" si="2"/>
        <v>0005</v>
      </c>
      <c r="U78" s="217"/>
      <c r="V78" s="218"/>
      <c r="W78" s="222"/>
      <c r="X78" s="13"/>
      <c r="Y78" s="13"/>
    </row>
    <row r="79" spans="1:25" ht="31.5" x14ac:dyDescent="0.25">
      <c r="A79" s="47">
        <f t="shared" si="3"/>
        <v>44</v>
      </c>
      <c r="B79" s="443" t="s">
        <v>222</v>
      </c>
      <c r="C79" s="444"/>
      <c r="D79" s="38" t="s">
        <v>223</v>
      </c>
      <c r="E79" s="12"/>
      <c r="F79" s="12"/>
      <c r="G79" s="47" t="s">
        <v>56</v>
      </c>
      <c r="H79" s="9">
        <v>1997</v>
      </c>
      <c r="I79" s="9" t="s">
        <v>210</v>
      </c>
      <c r="J79" s="11" t="s">
        <v>74</v>
      </c>
      <c r="K79" s="172" t="s">
        <v>211</v>
      </c>
      <c r="L79" s="9"/>
      <c r="M79" s="32" t="s">
        <v>27</v>
      </c>
      <c r="N79" s="12"/>
      <c r="O79" s="26" t="s">
        <v>219</v>
      </c>
      <c r="P79" s="214"/>
      <c r="Q79" s="217" t="str">
        <f t="shared" ref="Q79:Q142" si="4">B79</f>
        <v>Kursi Besi/Metal</v>
      </c>
      <c r="R79" s="217"/>
      <c r="S79" s="218">
        <f t="shared" ref="S79:S142" si="5">H79</f>
        <v>1997</v>
      </c>
      <c r="T79" s="218" t="str">
        <f t="shared" ref="T79:T142" si="6">J79</f>
        <v>0006</v>
      </c>
      <c r="U79" s="217"/>
      <c r="V79" s="218"/>
      <c r="W79" s="222"/>
      <c r="X79" s="13"/>
      <c r="Y79" s="13"/>
    </row>
    <row r="80" spans="1:25" ht="31.5" x14ac:dyDescent="0.25">
      <c r="A80" s="47">
        <f t="shared" si="3"/>
        <v>45</v>
      </c>
      <c r="B80" s="164" t="s">
        <v>424</v>
      </c>
      <c r="C80" s="165"/>
      <c r="D80" s="121" t="s">
        <v>223</v>
      </c>
      <c r="E80" s="32"/>
      <c r="F80" s="32"/>
      <c r="G80" s="9" t="s">
        <v>56</v>
      </c>
      <c r="H80" s="9">
        <v>1997</v>
      </c>
      <c r="I80" s="9" t="s">
        <v>423</v>
      </c>
      <c r="J80" s="11" t="s">
        <v>58</v>
      </c>
      <c r="K80" s="20">
        <v>148648.5</v>
      </c>
      <c r="L80" s="9"/>
      <c r="M80" s="32" t="s">
        <v>27</v>
      </c>
      <c r="N80" s="32"/>
      <c r="O80" s="26" t="s">
        <v>519</v>
      </c>
      <c r="P80" s="214"/>
      <c r="Q80" s="217" t="str">
        <f t="shared" si="4"/>
        <v>Kursi Besi/ Metal</v>
      </c>
      <c r="R80" s="217"/>
      <c r="S80" s="218">
        <f t="shared" si="5"/>
        <v>1997</v>
      </c>
      <c r="T80" s="218" t="str">
        <f t="shared" si="6"/>
        <v>0007</v>
      </c>
      <c r="U80" s="217"/>
      <c r="V80" s="218"/>
      <c r="W80" s="222"/>
      <c r="X80" s="13"/>
      <c r="Y80" s="13"/>
    </row>
    <row r="81" spans="1:25" ht="31.5" x14ac:dyDescent="0.25">
      <c r="A81" s="47">
        <f t="shared" si="3"/>
        <v>46</v>
      </c>
      <c r="B81" s="443" t="s">
        <v>208</v>
      </c>
      <c r="C81" s="444"/>
      <c r="D81" s="121" t="s">
        <v>223</v>
      </c>
      <c r="E81" s="12"/>
      <c r="F81" s="12"/>
      <c r="G81" s="30" t="s">
        <v>433</v>
      </c>
      <c r="H81" s="9">
        <v>1997</v>
      </c>
      <c r="I81" s="9" t="s">
        <v>210</v>
      </c>
      <c r="J81" s="11" t="s">
        <v>97</v>
      </c>
      <c r="K81" s="20">
        <v>148648.5</v>
      </c>
      <c r="L81" s="30"/>
      <c r="M81" s="32" t="s">
        <v>27</v>
      </c>
      <c r="N81" s="4"/>
      <c r="O81" s="48" t="s">
        <v>514</v>
      </c>
      <c r="P81" s="214"/>
      <c r="Q81" s="217" t="str">
        <f t="shared" si="4"/>
        <v>Kursi Besi / Metal</v>
      </c>
      <c r="R81" s="217"/>
      <c r="S81" s="218">
        <f t="shared" si="5"/>
        <v>1997</v>
      </c>
      <c r="T81" s="218" t="str">
        <f t="shared" si="6"/>
        <v>0008</v>
      </c>
      <c r="U81" s="217"/>
      <c r="V81" s="218"/>
      <c r="W81" s="222"/>
      <c r="X81" s="13"/>
      <c r="Y81" s="13"/>
    </row>
    <row r="82" spans="1:25" ht="31.5" x14ac:dyDescent="0.25">
      <c r="A82" s="47">
        <f t="shared" si="3"/>
        <v>47</v>
      </c>
      <c r="B82" s="443" t="s">
        <v>208</v>
      </c>
      <c r="C82" s="444"/>
      <c r="D82" s="121" t="s">
        <v>223</v>
      </c>
      <c r="E82" s="12"/>
      <c r="F82" s="12"/>
      <c r="G82" s="30" t="s">
        <v>433</v>
      </c>
      <c r="H82" s="9">
        <v>1997</v>
      </c>
      <c r="I82" s="9" t="s">
        <v>210</v>
      </c>
      <c r="J82" s="11" t="s">
        <v>166</v>
      </c>
      <c r="K82" s="20">
        <v>148648.5</v>
      </c>
      <c r="L82" s="30"/>
      <c r="M82" s="30" t="s">
        <v>27</v>
      </c>
      <c r="N82" s="4"/>
      <c r="O82" s="10" t="s">
        <v>516</v>
      </c>
      <c r="P82" s="214"/>
      <c r="Q82" s="217" t="str">
        <f t="shared" si="4"/>
        <v>Kursi Besi / Metal</v>
      </c>
      <c r="R82" s="217"/>
      <c r="S82" s="218">
        <f t="shared" si="5"/>
        <v>1997</v>
      </c>
      <c r="T82" s="218" t="str">
        <f t="shared" si="6"/>
        <v>0009</v>
      </c>
      <c r="U82" s="217"/>
      <c r="V82" s="218"/>
      <c r="W82" s="222"/>
      <c r="X82" s="13"/>
      <c r="Y82" s="13"/>
    </row>
    <row r="83" spans="1:25" ht="31.5" x14ac:dyDescent="0.25">
      <c r="A83" s="47">
        <f t="shared" si="3"/>
        <v>48</v>
      </c>
      <c r="B83" s="443" t="s">
        <v>208</v>
      </c>
      <c r="C83" s="444"/>
      <c r="D83" s="121" t="s">
        <v>223</v>
      </c>
      <c r="E83" s="12"/>
      <c r="F83" s="12"/>
      <c r="G83" s="30" t="s">
        <v>433</v>
      </c>
      <c r="H83" s="9">
        <v>1997</v>
      </c>
      <c r="I83" s="9" t="s">
        <v>210</v>
      </c>
      <c r="J83" s="11" t="s">
        <v>137</v>
      </c>
      <c r="K83" s="20">
        <v>148648.5</v>
      </c>
      <c r="L83" s="30"/>
      <c r="M83" s="30" t="s">
        <v>27</v>
      </c>
      <c r="N83" s="4"/>
      <c r="O83" s="10" t="s">
        <v>516</v>
      </c>
      <c r="P83" s="214"/>
      <c r="Q83" s="217" t="str">
        <f t="shared" si="4"/>
        <v>Kursi Besi / Metal</v>
      </c>
      <c r="R83" s="217"/>
      <c r="S83" s="218">
        <f t="shared" si="5"/>
        <v>1997</v>
      </c>
      <c r="T83" s="218" t="str">
        <f t="shared" si="6"/>
        <v>0012</v>
      </c>
      <c r="U83" s="217"/>
      <c r="V83" s="218"/>
      <c r="W83" s="222"/>
      <c r="X83" s="13"/>
      <c r="Y83" s="13"/>
    </row>
    <row r="84" spans="1:25" ht="31.5" x14ac:dyDescent="0.25">
      <c r="A84" s="47">
        <f t="shared" si="3"/>
        <v>49</v>
      </c>
      <c r="B84" s="443" t="s">
        <v>208</v>
      </c>
      <c r="C84" s="444"/>
      <c r="D84" s="121" t="s">
        <v>209</v>
      </c>
      <c r="E84" s="12"/>
      <c r="F84" s="12"/>
      <c r="G84" s="9" t="s">
        <v>56</v>
      </c>
      <c r="H84" s="9">
        <v>1997</v>
      </c>
      <c r="I84" s="9" t="s">
        <v>210</v>
      </c>
      <c r="J84" s="11" t="s">
        <v>111</v>
      </c>
      <c r="K84" s="172" t="s">
        <v>211</v>
      </c>
      <c r="L84" s="9"/>
      <c r="M84" s="32" t="s">
        <v>27</v>
      </c>
      <c r="N84" s="4"/>
      <c r="O84" s="10" t="s">
        <v>515</v>
      </c>
      <c r="P84" s="214"/>
      <c r="Q84" s="217" t="str">
        <f t="shared" si="4"/>
        <v>Kursi Besi / Metal</v>
      </c>
      <c r="R84" s="217"/>
      <c r="S84" s="218">
        <f t="shared" si="5"/>
        <v>1997</v>
      </c>
      <c r="T84" s="218" t="str">
        <f t="shared" si="6"/>
        <v>0013</v>
      </c>
      <c r="U84" s="217"/>
      <c r="V84" s="218"/>
      <c r="W84" s="222"/>
      <c r="X84" s="13"/>
      <c r="Y84" s="13"/>
    </row>
    <row r="85" spans="1:25" ht="31.5" x14ac:dyDescent="0.25">
      <c r="A85" s="47">
        <f t="shared" si="3"/>
        <v>50</v>
      </c>
      <c r="B85" s="443" t="s">
        <v>208</v>
      </c>
      <c r="C85" s="444"/>
      <c r="D85" s="121" t="s">
        <v>223</v>
      </c>
      <c r="E85" s="12"/>
      <c r="F85" s="12"/>
      <c r="G85" s="30" t="s">
        <v>433</v>
      </c>
      <c r="H85" s="9">
        <v>1997</v>
      </c>
      <c r="I85" s="9" t="s">
        <v>210</v>
      </c>
      <c r="J85" s="11" t="s">
        <v>89</v>
      </c>
      <c r="K85" s="20">
        <v>148648.5</v>
      </c>
      <c r="L85" s="30"/>
      <c r="M85" s="30" t="s">
        <v>27</v>
      </c>
      <c r="N85" s="4"/>
      <c r="O85" s="10" t="s">
        <v>517</v>
      </c>
      <c r="P85" s="214"/>
      <c r="Q85" s="217" t="str">
        <f t="shared" si="4"/>
        <v>Kursi Besi / Metal</v>
      </c>
      <c r="R85" s="217"/>
      <c r="S85" s="218">
        <f t="shared" si="5"/>
        <v>1997</v>
      </c>
      <c r="T85" s="218" t="str">
        <f t="shared" si="6"/>
        <v>0016</v>
      </c>
      <c r="U85" s="217"/>
      <c r="V85" s="218"/>
      <c r="W85" s="222"/>
      <c r="X85" s="13"/>
      <c r="Y85" s="13"/>
    </row>
    <row r="86" spans="1:25" ht="31.5" x14ac:dyDescent="0.25">
      <c r="A86" s="47">
        <f t="shared" si="3"/>
        <v>51</v>
      </c>
      <c r="B86" s="443" t="s">
        <v>208</v>
      </c>
      <c r="C86" s="444"/>
      <c r="D86" s="121" t="s">
        <v>223</v>
      </c>
      <c r="E86" s="12"/>
      <c r="F86" s="12"/>
      <c r="G86" s="30" t="s">
        <v>433</v>
      </c>
      <c r="H86" s="9">
        <v>1997</v>
      </c>
      <c r="I86" s="9" t="s">
        <v>210</v>
      </c>
      <c r="J86" s="11"/>
      <c r="K86" s="20">
        <v>148648.5</v>
      </c>
      <c r="L86" s="30"/>
      <c r="M86" s="30" t="s">
        <v>27</v>
      </c>
      <c r="N86" s="4"/>
      <c r="O86" s="10" t="s">
        <v>516</v>
      </c>
      <c r="P86" s="214"/>
      <c r="Q86" s="217" t="str">
        <f t="shared" si="4"/>
        <v>Kursi Besi / Metal</v>
      </c>
      <c r="R86" s="217"/>
      <c r="S86" s="218">
        <f t="shared" si="5"/>
        <v>1997</v>
      </c>
      <c r="T86" s="218">
        <f t="shared" si="6"/>
        <v>0</v>
      </c>
      <c r="U86" s="217"/>
      <c r="V86" s="218"/>
      <c r="W86" s="222"/>
      <c r="X86" s="13"/>
      <c r="Y86" s="13"/>
    </row>
    <row r="87" spans="1:25" ht="31.5" x14ac:dyDescent="0.25">
      <c r="A87" s="47">
        <f t="shared" si="3"/>
        <v>52</v>
      </c>
      <c r="B87" s="559" t="s">
        <v>70</v>
      </c>
      <c r="C87" s="560"/>
      <c r="D87" s="26" t="s">
        <v>71</v>
      </c>
      <c r="E87" s="27"/>
      <c r="F87" s="27"/>
      <c r="G87" s="9" t="s">
        <v>72</v>
      </c>
      <c r="H87" s="7">
        <v>2020</v>
      </c>
      <c r="I87" s="9" t="s">
        <v>272</v>
      </c>
      <c r="J87" s="11" t="s">
        <v>43</v>
      </c>
      <c r="K87" s="19">
        <v>5860000</v>
      </c>
      <c r="L87" s="7" t="s">
        <v>26</v>
      </c>
      <c r="M87" s="27"/>
      <c r="N87" s="27"/>
      <c r="O87" s="26" t="s">
        <v>519</v>
      </c>
      <c r="P87" s="214"/>
      <c r="Q87" s="217" t="str">
        <f t="shared" si="4"/>
        <v>Meja Panjang</v>
      </c>
      <c r="R87" s="217"/>
      <c r="S87" s="218">
        <f t="shared" si="5"/>
        <v>2020</v>
      </c>
      <c r="T87" s="218" t="str">
        <f t="shared" si="6"/>
        <v>0001</v>
      </c>
      <c r="U87" s="217"/>
      <c r="V87" s="218"/>
      <c r="W87" s="222"/>
      <c r="X87" s="13"/>
      <c r="Y87" s="13"/>
    </row>
    <row r="88" spans="1:25" ht="31.5" x14ac:dyDescent="0.25">
      <c r="A88" s="47">
        <f t="shared" si="3"/>
        <v>53</v>
      </c>
      <c r="B88" s="443" t="s">
        <v>197</v>
      </c>
      <c r="C88" s="444"/>
      <c r="D88" s="26" t="s">
        <v>71</v>
      </c>
      <c r="E88" s="12"/>
      <c r="F88" s="12"/>
      <c r="G88" s="30" t="s">
        <v>198</v>
      </c>
      <c r="H88" s="9">
        <v>2020</v>
      </c>
      <c r="I88" s="9" t="s">
        <v>199</v>
      </c>
      <c r="J88" s="11" t="s">
        <v>43</v>
      </c>
      <c r="K88" s="20">
        <v>24337500</v>
      </c>
      <c r="L88" s="9" t="s">
        <v>26</v>
      </c>
      <c r="M88" s="12"/>
      <c r="N88" s="12"/>
      <c r="O88" s="26" t="s">
        <v>519</v>
      </c>
      <c r="P88" s="214"/>
      <c r="Q88" s="217" t="str">
        <f t="shared" si="4"/>
        <v>Meja Reception</v>
      </c>
      <c r="R88" s="217"/>
      <c r="S88" s="218">
        <f t="shared" si="5"/>
        <v>2020</v>
      </c>
      <c r="T88" s="218" t="str">
        <f t="shared" si="6"/>
        <v>0001</v>
      </c>
      <c r="U88" s="217"/>
      <c r="V88" s="218"/>
      <c r="W88" s="222"/>
      <c r="X88" s="13"/>
      <c r="Y88" s="13"/>
    </row>
    <row r="89" spans="1:25" ht="31.5" x14ac:dyDescent="0.25">
      <c r="A89" s="47">
        <f t="shared" si="3"/>
        <v>54</v>
      </c>
      <c r="B89" s="443" t="s">
        <v>282</v>
      </c>
      <c r="C89" s="444"/>
      <c r="D89" s="26" t="s">
        <v>71</v>
      </c>
      <c r="E89" s="12"/>
      <c r="F89" s="12"/>
      <c r="G89" s="30" t="s">
        <v>72</v>
      </c>
      <c r="H89" s="9">
        <v>2020</v>
      </c>
      <c r="I89" s="9" t="s">
        <v>283</v>
      </c>
      <c r="J89" s="11" t="s">
        <v>107</v>
      </c>
      <c r="K89" s="20">
        <v>15628800</v>
      </c>
      <c r="L89" s="9" t="s">
        <v>26</v>
      </c>
      <c r="M89" s="12"/>
      <c r="N89" s="12"/>
      <c r="O89" s="26" t="s">
        <v>519</v>
      </c>
      <c r="P89" s="214"/>
      <c r="Q89" s="217" t="str">
        <f t="shared" si="4"/>
        <v>Kursi Tamu</v>
      </c>
      <c r="R89" s="217"/>
      <c r="S89" s="218">
        <f t="shared" si="5"/>
        <v>2020</v>
      </c>
      <c r="T89" s="218" t="str">
        <f t="shared" si="6"/>
        <v>0003</v>
      </c>
      <c r="U89" s="217"/>
      <c r="V89" s="218"/>
      <c r="W89" s="222"/>
      <c r="X89" s="13"/>
      <c r="Y89" s="13"/>
    </row>
    <row r="90" spans="1:25" ht="31.5" x14ac:dyDescent="0.25">
      <c r="A90" s="47">
        <f t="shared" si="3"/>
        <v>55</v>
      </c>
      <c r="B90" s="443" t="s">
        <v>122</v>
      </c>
      <c r="C90" s="444"/>
      <c r="D90" s="26" t="s">
        <v>123</v>
      </c>
      <c r="E90" s="12"/>
      <c r="F90" s="12"/>
      <c r="G90" s="30" t="s">
        <v>56</v>
      </c>
      <c r="H90" s="9">
        <v>2009</v>
      </c>
      <c r="I90" s="9" t="s">
        <v>124</v>
      </c>
      <c r="J90" s="11" t="s">
        <v>43</v>
      </c>
      <c r="K90" s="20">
        <v>350000</v>
      </c>
      <c r="L90" s="9" t="s">
        <v>26</v>
      </c>
      <c r="M90" s="12"/>
      <c r="N90" s="4"/>
      <c r="O90" s="32" t="s">
        <v>491</v>
      </c>
      <c r="P90" s="214"/>
      <c r="Q90" s="217" t="str">
        <f t="shared" si="4"/>
        <v>Kursi Rapat</v>
      </c>
      <c r="R90" s="217"/>
      <c r="S90" s="218">
        <f t="shared" si="5"/>
        <v>2009</v>
      </c>
      <c r="T90" s="218" t="str">
        <f t="shared" si="6"/>
        <v>0001</v>
      </c>
      <c r="U90" s="217"/>
      <c r="V90" s="218"/>
      <c r="W90" s="222"/>
      <c r="X90" s="13"/>
      <c r="Y90" s="13"/>
    </row>
    <row r="91" spans="1:25" ht="47.25" x14ac:dyDescent="0.25">
      <c r="A91" s="47">
        <f t="shared" si="3"/>
        <v>56</v>
      </c>
      <c r="B91" s="443" t="s">
        <v>122</v>
      </c>
      <c r="C91" s="444"/>
      <c r="D91" s="26" t="s">
        <v>123</v>
      </c>
      <c r="E91" s="32"/>
      <c r="F91" s="32"/>
      <c r="G91" s="30" t="s">
        <v>56</v>
      </c>
      <c r="H91" s="9">
        <v>2009</v>
      </c>
      <c r="I91" s="9" t="s">
        <v>124</v>
      </c>
      <c r="J91" s="11" t="s">
        <v>54</v>
      </c>
      <c r="K91" s="20">
        <v>350000</v>
      </c>
      <c r="L91" s="9" t="s">
        <v>26</v>
      </c>
      <c r="M91" s="32"/>
      <c r="N91" s="27"/>
      <c r="O91" s="50" t="s">
        <v>532</v>
      </c>
      <c r="P91" s="214"/>
      <c r="Q91" s="217" t="str">
        <f t="shared" si="4"/>
        <v>Kursi Rapat</v>
      </c>
      <c r="R91" s="217"/>
      <c r="S91" s="218">
        <f t="shared" si="5"/>
        <v>2009</v>
      </c>
      <c r="T91" s="218" t="str">
        <f t="shared" si="6"/>
        <v>0002</v>
      </c>
      <c r="U91" s="217"/>
      <c r="V91" s="218"/>
      <c r="W91" s="222"/>
      <c r="X91" s="13"/>
      <c r="Y91" s="13"/>
    </row>
    <row r="92" spans="1:25" ht="47.25" x14ac:dyDescent="0.25">
      <c r="A92" s="47">
        <f t="shared" si="3"/>
        <v>57</v>
      </c>
      <c r="B92" s="443" t="s">
        <v>122</v>
      </c>
      <c r="C92" s="444"/>
      <c r="D92" s="26" t="s">
        <v>123</v>
      </c>
      <c r="E92" s="32"/>
      <c r="F92" s="32"/>
      <c r="G92" s="30" t="s">
        <v>56</v>
      </c>
      <c r="H92" s="9">
        <v>2009</v>
      </c>
      <c r="I92" s="9" t="s">
        <v>124</v>
      </c>
      <c r="J92" s="11" t="s">
        <v>125</v>
      </c>
      <c r="K92" s="20">
        <v>350000</v>
      </c>
      <c r="L92" s="9" t="s">
        <v>26</v>
      </c>
      <c r="M92" s="32"/>
      <c r="N92" s="27"/>
      <c r="O92" s="50" t="s">
        <v>533</v>
      </c>
      <c r="P92" s="214"/>
      <c r="Q92" s="217" t="str">
        <f t="shared" si="4"/>
        <v>Kursi Rapat</v>
      </c>
      <c r="R92" s="217"/>
      <c r="S92" s="218">
        <f t="shared" si="5"/>
        <v>2009</v>
      </c>
      <c r="T92" s="218" t="str">
        <f t="shared" si="6"/>
        <v>0004</v>
      </c>
      <c r="U92" s="217"/>
      <c r="V92" s="218"/>
      <c r="W92" s="222"/>
      <c r="X92" s="13"/>
      <c r="Y92" s="13"/>
    </row>
    <row r="93" spans="1:25" ht="63" x14ac:dyDescent="0.25">
      <c r="A93" s="47">
        <f t="shared" si="3"/>
        <v>58</v>
      </c>
      <c r="B93" s="443" t="s">
        <v>122</v>
      </c>
      <c r="C93" s="444"/>
      <c r="D93" s="26" t="s">
        <v>123</v>
      </c>
      <c r="E93" s="32"/>
      <c r="F93" s="32"/>
      <c r="G93" s="30" t="s">
        <v>56</v>
      </c>
      <c r="H93" s="9">
        <v>2009</v>
      </c>
      <c r="I93" s="9" t="s">
        <v>124</v>
      </c>
      <c r="J93" s="11" t="s">
        <v>67</v>
      </c>
      <c r="K93" s="20">
        <v>350000</v>
      </c>
      <c r="L93" s="9" t="s">
        <v>26</v>
      </c>
      <c r="M93" s="32"/>
      <c r="N93" s="27"/>
      <c r="O93" s="50" t="s">
        <v>534</v>
      </c>
      <c r="P93" s="214"/>
      <c r="Q93" s="217" t="str">
        <f t="shared" si="4"/>
        <v>Kursi Rapat</v>
      </c>
      <c r="R93" s="217"/>
      <c r="S93" s="218">
        <f t="shared" si="5"/>
        <v>2009</v>
      </c>
      <c r="T93" s="218" t="str">
        <f t="shared" si="6"/>
        <v>0005</v>
      </c>
      <c r="U93" s="217"/>
      <c r="V93" s="218"/>
      <c r="W93" s="222"/>
      <c r="X93" s="13"/>
      <c r="Y93" s="13"/>
    </row>
    <row r="94" spans="1:25" ht="18" x14ac:dyDescent="0.25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231">
        <f>SUM(K73:K93)</f>
        <v>136629739.5</v>
      </c>
      <c r="L94" s="75"/>
      <c r="M94" s="75"/>
      <c r="N94" s="75"/>
      <c r="O94" s="75"/>
      <c r="P94" s="214"/>
      <c r="Q94" s="217" t="str">
        <f>B105</f>
        <v>Kursi Rapat</v>
      </c>
      <c r="R94" s="217"/>
      <c r="S94" s="218">
        <f>H105</f>
        <v>2014</v>
      </c>
      <c r="T94" s="218" t="str">
        <f>J105</f>
        <v>0009</v>
      </c>
      <c r="U94" s="217"/>
      <c r="V94" s="218"/>
      <c r="W94" s="222"/>
      <c r="X94" s="13"/>
      <c r="Y94" s="13"/>
    </row>
    <row r="95" spans="1:25" ht="18" x14ac:dyDescent="0.25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214"/>
      <c r="Q95" s="217" t="str">
        <f>B106</f>
        <v>Kursi Rapat</v>
      </c>
      <c r="R95" s="217"/>
      <c r="S95" s="218">
        <f>H106</f>
        <v>2014</v>
      </c>
      <c r="T95" s="218" t="str">
        <f>J106</f>
        <v>0010</v>
      </c>
      <c r="U95" s="217"/>
      <c r="V95" s="218"/>
      <c r="W95" s="222"/>
      <c r="X95" s="13"/>
      <c r="Y95" s="13"/>
    </row>
    <row r="96" spans="1:25" ht="18" x14ac:dyDescent="0.25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214"/>
      <c r="Q96" s="217" t="str">
        <f>B107</f>
        <v>Kursi Rapat</v>
      </c>
      <c r="R96" s="217"/>
      <c r="S96" s="218">
        <f>H107</f>
        <v>2014</v>
      </c>
      <c r="T96" s="218" t="str">
        <f>J107</f>
        <v>0011</v>
      </c>
      <c r="U96" s="217"/>
      <c r="V96" s="218"/>
      <c r="W96" s="222"/>
      <c r="X96" s="13"/>
      <c r="Y96" s="13"/>
    </row>
    <row r="97" spans="1:25" ht="18" x14ac:dyDescent="0.25">
      <c r="A97" s="157"/>
      <c r="B97" s="67"/>
      <c r="C97" s="67"/>
      <c r="D97" s="68"/>
      <c r="E97" s="88"/>
      <c r="F97" s="88"/>
      <c r="G97" s="80"/>
      <c r="H97" s="70"/>
      <c r="I97" s="70"/>
      <c r="J97" s="71"/>
      <c r="K97" s="72"/>
      <c r="L97" s="70"/>
      <c r="M97" s="88"/>
      <c r="N97" s="79"/>
      <c r="O97" s="68"/>
      <c r="P97" s="214"/>
      <c r="Q97" s="217">
        <f t="shared" si="4"/>
        <v>0</v>
      </c>
      <c r="R97" s="217"/>
      <c r="S97" s="218">
        <f t="shared" si="5"/>
        <v>0</v>
      </c>
      <c r="T97" s="218">
        <f t="shared" si="6"/>
        <v>0</v>
      </c>
      <c r="U97" s="217"/>
      <c r="V97" s="218"/>
      <c r="W97" s="222"/>
      <c r="X97" s="13"/>
      <c r="Y97" s="13"/>
    </row>
    <row r="98" spans="1:25" ht="18" x14ac:dyDescent="0.25">
      <c r="A98" s="157"/>
      <c r="B98" s="67"/>
      <c r="C98" s="67"/>
      <c r="D98" s="68"/>
      <c r="E98" s="88"/>
      <c r="F98" s="88"/>
      <c r="G98" s="80"/>
      <c r="H98" s="70"/>
      <c r="I98" s="70"/>
      <c r="J98" s="71"/>
      <c r="K98" s="72"/>
      <c r="L98" s="70"/>
      <c r="M98" s="88"/>
      <c r="N98" s="79"/>
      <c r="O98" s="68"/>
      <c r="P98" s="214"/>
      <c r="Q98" s="217">
        <f t="shared" si="4"/>
        <v>0</v>
      </c>
      <c r="R98" s="217"/>
      <c r="S98" s="218">
        <f t="shared" si="5"/>
        <v>0</v>
      </c>
      <c r="T98" s="218">
        <f t="shared" si="6"/>
        <v>0</v>
      </c>
      <c r="U98" s="217"/>
      <c r="V98" s="218"/>
      <c r="W98" s="222"/>
      <c r="X98" s="13"/>
      <c r="Y98" s="13"/>
    </row>
    <row r="99" spans="1:25" ht="18" x14ac:dyDescent="0.25">
      <c r="A99" s="157"/>
      <c r="B99" s="67"/>
      <c r="C99" s="67"/>
      <c r="D99" s="68"/>
      <c r="E99" s="88"/>
      <c r="F99" s="88"/>
      <c r="G99" s="80"/>
      <c r="H99" s="70"/>
      <c r="I99" s="70"/>
      <c r="J99" s="71"/>
      <c r="K99" s="72"/>
      <c r="L99" s="70"/>
      <c r="M99" s="88"/>
      <c r="N99" s="79"/>
      <c r="O99" s="68"/>
      <c r="P99" s="214"/>
      <c r="Q99" s="217">
        <f t="shared" si="4"/>
        <v>0</v>
      </c>
      <c r="R99" s="217"/>
      <c r="S99" s="218">
        <f t="shared" si="5"/>
        <v>0</v>
      </c>
      <c r="T99" s="218">
        <f t="shared" si="6"/>
        <v>0</v>
      </c>
      <c r="U99" s="217"/>
      <c r="V99" s="218"/>
      <c r="W99" s="222"/>
      <c r="X99" s="13"/>
      <c r="Y99" s="13"/>
    </row>
    <row r="100" spans="1:25" ht="18" x14ac:dyDescent="0.25">
      <c r="A100" s="186"/>
      <c r="B100" s="82"/>
      <c r="C100" s="82"/>
      <c r="D100" s="83"/>
      <c r="E100" s="113"/>
      <c r="F100" s="113"/>
      <c r="G100" s="85"/>
      <c r="H100" s="86"/>
      <c r="I100" s="86"/>
      <c r="J100" s="87"/>
      <c r="K100" s="114"/>
      <c r="L100" s="86"/>
      <c r="M100" s="113"/>
      <c r="N100" s="84"/>
      <c r="O100" s="83"/>
      <c r="P100" s="214"/>
      <c r="Q100" s="217">
        <f t="shared" si="4"/>
        <v>0</v>
      </c>
      <c r="R100" s="217"/>
      <c r="S100" s="218">
        <f t="shared" si="5"/>
        <v>0</v>
      </c>
      <c r="T100" s="218">
        <f t="shared" si="6"/>
        <v>0</v>
      </c>
      <c r="U100" s="217"/>
      <c r="V100" s="218"/>
      <c r="W100" s="222"/>
      <c r="X100" s="13"/>
      <c r="Y100" s="13"/>
    </row>
    <row r="101" spans="1:25" ht="18" x14ac:dyDescent="0.25">
      <c r="A101" s="168" t="s">
        <v>7</v>
      </c>
      <c r="B101" s="538" t="s">
        <v>8</v>
      </c>
      <c r="C101" s="538"/>
      <c r="D101" s="168" t="s">
        <v>9</v>
      </c>
      <c r="E101" s="168" t="s">
        <v>10</v>
      </c>
      <c r="F101" s="541" t="s">
        <v>11</v>
      </c>
      <c r="G101" s="541" t="s">
        <v>12</v>
      </c>
      <c r="H101" s="168" t="s">
        <v>13</v>
      </c>
      <c r="I101" s="168"/>
      <c r="J101" s="168" t="s">
        <v>15</v>
      </c>
      <c r="K101" s="168" t="s">
        <v>16</v>
      </c>
      <c r="L101" s="544" t="s">
        <v>17</v>
      </c>
      <c r="M101" s="544"/>
      <c r="N101" s="544"/>
      <c r="O101" s="168" t="s">
        <v>18</v>
      </c>
      <c r="P101" s="214"/>
      <c r="Q101" s="217" t="str">
        <f t="shared" si="4"/>
        <v>Nama Barang</v>
      </c>
      <c r="R101" s="217"/>
      <c r="S101" s="218" t="str">
        <f t="shared" si="5"/>
        <v xml:space="preserve">Tahun </v>
      </c>
      <c r="T101" s="218" t="str">
        <f t="shared" si="6"/>
        <v xml:space="preserve">Jumlah </v>
      </c>
      <c r="U101" s="217"/>
      <c r="V101" s="218"/>
      <c r="W101" s="222"/>
      <c r="X101" s="13"/>
      <c r="Y101" s="13"/>
    </row>
    <row r="102" spans="1:25" ht="18" x14ac:dyDescent="0.25">
      <c r="A102" s="542" t="s">
        <v>19</v>
      </c>
      <c r="B102" s="546" t="s">
        <v>20</v>
      </c>
      <c r="C102" s="547"/>
      <c r="D102" s="542" t="s">
        <v>21</v>
      </c>
      <c r="E102" s="542" t="s">
        <v>22</v>
      </c>
      <c r="F102" s="542"/>
      <c r="G102" s="542"/>
      <c r="H102" s="104" t="s">
        <v>23</v>
      </c>
      <c r="I102" s="104" t="s">
        <v>14</v>
      </c>
      <c r="J102" s="104" t="s">
        <v>24</v>
      </c>
      <c r="K102" s="104" t="s">
        <v>25</v>
      </c>
      <c r="L102" s="104" t="s">
        <v>26</v>
      </c>
      <c r="M102" s="104" t="s">
        <v>27</v>
      </c>
      <c r="N102" s="104" t="s">
        <v>28</v>
      </c>
      <c r="O102" s="539" t="s">
        <v>29</v>
      </c>
      <c r="P102" s="214"/>
      <c r="Q102" s="217" t="str">
        <f t="shared" si="4"/>
        <v>Jenis Barang</v>
      </c>
      <c r="R102" s="217"/>
      <c r="S102" s="218" t="str">
        <f t="shared" si="5"/>
        <v>Pembuatan</v>
      </c>
      <c r="T102" s="218" t="str">
        <f t="shared" si="6"/>
        <v>Barang</v>
      </c>
      <c r="U102" s="217"/>
      <c r="V102" s="218"/>
      <c r="W102" s="222"/>
      <c r="X102" s="13"/>
      <c r="Y102" s="13"/>
    </row>
    <row r="103" spans="1:25" ht="18" x14ac:dyDescent="0.25">
      <c r="A103" s="543"/>
      <c r="B103" s="548"/>
      <c r="C103" s="549"/>
      <c r="D103" s="543"/>
      <c r="E103" s="543"/>
      <c r="F103" s="543"/>
      <c r="G103" s="543"/>
      <c r="H103" s="105" t="s">
        <v>30</v>
      </c>
      <c r="I103" s="105"/>
      <c r="J103" s="105" t="s">
        <v>31</v>
      </c>
      <c r="K103" s="105" t="s">
        <v>32</v>
      </c>
      <c r="L103" s="105" t="s">
        <v>33</v>
      </c>
      <c r="M103" s="105" t="s">
        <v>34</v>
      </c>
      <c r="N103" s="105" t="s">
        <v>35</v>
      </c>
      <c r="O103" s="540"/>
      <c r="P103" s="214"/>
      <c r="Q103" s="217">
        <f t="shared" si="4"/>
        <v>0</v>
      </c>
      <c r="R103" s="217"/>
      <c r="S103" s="218" t="str">
        <f t="shared" si="5"/>
        <v>Atau Pembelian</v>
      </c>
      <c r="T103" s="218" t="str">
        <f t="shared" si="6"/>
        <v>Register x)</v>
      </c>
      <c r="U103" s="217"/>
      <c r="V103" s="218"/>
      <c r="W103" s="222"/>
      <c r="X103" s="13"/>
      <c r="Y103" s="13"/>
    </row>
    <row r="104" spans="1:25" ht="18" x14ac:dyDescent="0.25">
      <c r="A104" s="47">
        <v>1</v>
      </c>
      <c r="B104" s="536">
        <v>2</v>
      </c>
      <c r="C104" s="537"/>
      <c r="D104" s="166">
        <v>3</v>
      </c>
      <c r="E104" s="166">
        <v>4</v>
      </c>
      <c r="F104" s="167">
        <v>5</v>
      </c>
      <c r="G104" s="167">
        <v>6</v>
      </c>
      <c r="H104" s="104">
        <v>7</v>
      </c>
      <c r="I104" s="104">
        <v>8</v>
      </c>
      <c r="J104" s="104">
        <v>9</v>
      </c>
      <c r="K104" s="104">
        <v>10</v>
      </c>
      <c r="L104" s="104">
        <v>11</v>
      </c>
      <c r="M104" s="104">
        <v>12</v>
      </c>
      <c r="N104" s="104">
        <v>13</v>
      </c>
      <c r="O104" s="166">
        <v>14</v>
      </c>
      <c r="P104" s="214"/>
      <c r="Q104" s="217">
        <f t="shared" si="4"/>
        <v>2</v>
      </c>
      <c r="R104" s="217"/>
      <c r="S104" s="218">
        <f t="shared" si="5"/>
        <v>7</v>
      </c>
      <c r="T104" s="218">
        <f t="shared" si="6"/>
        <v>9</v>
      </c>
      <c r="U104" s="217"/>
      <c r="V104" s="218"/>
      <c r="W104" s="222"/>
      <c r="X104" s="13"/>
      <c r="Y104" s="13"/>
    </row>
    <row r="105" spans="1:25" ht="31.5" x14ac:dyDescent="0.25">
      <c r="A105" s="47">
        <f>A93+1</f>
        <v>59</v>
      </c>
      <c r="B105" s="443" t="s">
        <v>122</v>
      </c>
      <c r="C105" s="444"/>
      <c r="D105" s="26" t="s">
        <v>422</v>
      </c>
      <c r="E105" s="12"/>
      <c r="F105" s="12"/>
      <c r="G105" s="30" t="s">
        <v>267</v>
      </c>
      <c r="H105" s="9">
        <v>2014</v>
      </c>
      <c r="I105" s="9" t="s">
        <v>124</v>
      </c>
      <c r="J105" s="11" t="s">
        <v>166</v>
      </c>
      <c r="K105" s="20">
        <v>743915</v>
      </c>
      <c r="L105" s="9" t="s">
        <v>26</v>
      </c>
      <c r="M105" s="12"/>
      <c r="N105" s="4"/>
      <c r="O105" s="10" t="s">
        <v>516</v>
      </c>
      <c r="P105" s="214"/>
      <c r="Q105" s="217"/>
      <c r="R105" s="217"/>
      <c r="S105" s="218"/>
      <c r="T105" s="218"/>
      <c r="U105" s="217"/>
      <c r="V105" s="218"/>
      <c r="W105" s="222"/>
      <c r="X105" s="13"/>
      <c r="Y105" s="13"/>
    </row>
    <row r="106" spans="1:25" ht="31.5" x14ac:dyDescent="0.25">
      <c r="A106" s="47">
        <f>A105+1</f>
        <v>60</v>
      </c>
      <c r="B106" s="443" t="s">
        <v>122</v>
      </c>
      <c r="C106" s="444"/>
      <c r="D106" s="26" t="s">
        <v>422</v>
      </c>
      <c r="E106" s="12"/>
      <c r="F106" s="12"/>
      <c r="G106" s="30" t="s">
        <v>267</v>
      </c>
      <c r="H106" s="9">
        <v>2014</v>
      </c>
      <c r="I106" s="9" t="s">
        <v>124</v>
      </c>
      <c r="J106" s="11" t="s">
        <v>110</v>
      </c>
      <c r="K106" s="20">
        <v>743915</v>
      </c>
      <c r="L106" s="9" t="s">
        <v>26</v>
      </c>
      <c r="M106" s="12"/>
      <c r="N106" s="4"/>
      <c r="O106" s="26" t="s">
        <v>520</v>
      </c>
      <c r="P106" s="214"/>
      <c r="Q106" s="217"/>
      <c r="R106" s="217"/>
      <c r="S106" s="218"/>
      <c r="T106" s="218"/>
      <c r="U106" s="217"/>
      <c r="V106" s="218"/>
      <c r="W106" s="222"/>
      <c r="X106" s="13"/>
      <c r="Y106" s="13"/>
    </row>
    <row r="107" spans="1:25" ht="31.5" x14ac:dyDescent="0.25">
      <c r="A107" s="47">
        <f>A106+1</f>
        <v>61</v>
      </c>
      <c r="B107" s="443" t="s">
        <v>122</v>
      </c>
      <c r="C107" s="444"/>
      <c r="D107" s="26" t="s">
        <v>422</v>
      </c>
      <c r="E107" s="12"/>
      <c r="F107" s="12"/>
      <c r="G107" s="30" t="s">
        <v>267</v>
      </c>
      <c r="H107" s="9">
        <v>2014</v>
      </c>
      <c r="I107" s="9" t="s">
        <v>124</v>
      </c>
      <c r="J107" s="11" t="s">
        <v>149</v>
      </c>
      <c r="K107" s="20">
        <v>743915</v>
      </c>
      <c r="L107" s="9" t="s">
        <v>26</v>
      </c>
      <c r="M107" s="12"/>
      <c r="N107" s="4"/>
      <c r="O107" s="26" t="s">
        <v>519</v>
      </c>
      <c r="P107" s="214"/>
      <c r="Q107" s="217"/>
      <c r="R107" s="217"/>
      <c r="S107" s="218"/>
      <c r="T107" s="218"/>
      <c r="U107" s="217"/>
      <c r="V107" s="218"/>
      <c r="W107" s="222"/>
      <c r="X107" s="13"/>
      <c r="Y107" s="13"/>
    </row>
    <row r="108" spans="1:25" ht="31.5" x14ac:dyDescent="0.25">
      <c r="A108" s="47">
        <f>A107+1</f>
        <v>62</v>
      </c>
      <c r="B108" s="443" t="s">
        <v>122</v>
      </c>
      <c r="C108" s="444"/>
      <c r="D108" s="26" t="s">
        <v>422</v>
      </c>
      <c r="E108" s="12"/>
      <c r="F108" s="12"/>
      <c r="G108" s="30" t="s">
        <v>267</v>
      </c>
      <c r="H108" s="9">
        <v>2014</v>
      </c>
      <c r="I108" s="9" t="s">
        <v>124</v>
      </c>
      <c r="J108" s="11" t="s">
        <v>137</v>
      </c>
      <c r="K108" s="20">
        <v>743915</v>
      </c>
      <c r="L108" s="9" t="s">
        <v>26</v>
      </c>
      <c r="M108" s="12"/>
      <c r="N108" s="4"/>
      <c r="O108" s="26" t="s">
        <v>520</v>
      </c>
      <c r="P108" s="214"/>
      <c r="Q108" s="217" t="str">
        <f t="shared" si="4"/>
        <v>Kursi Rapat</v>
      </c>
      <c r="R108" s="217"/>
      <c r="S108" s="218">
        <f t="shared" si="5"/>
        <v>2014</v>
      </c>
      <c r="T108" s="218" t="str">
        <f t="shared" si="6"/>
        <v>0012</v>
      </c>
      <c r="U108" s="217"/>
      <c r="V108" s="218"/>
      <c r="W108" s="222"/>
      <c r="X108" s="13"/>
      <c r="Y108" s="13"/>
    </row>
    <row r="109" spans="1:25" ht="31.5" x14ac:dyDescent="0.25">
      <c r="A109" s="47">
        <f t="shared" si="3"/>
        <v>63</v>
      </c>
      <c r="B109" s="443" t="s">
        <v>122</v>
      </c>
      <c r="C109" s="444"/>
      <c r="D109" s="26" t="s">
        <v>266</v>
      </c>
      <c r="E109" s="12"/>
      <c r="F109" s="12"/>
      <c r="G109" s="30" t="s">
        <v>267</v>
      </c>
      <c r="H109" s="9">
        <v>2014</v>
      </c>
      <c r="I109" s="9" t="s">
        <v>124</v>
      </c>
      <c r="J109" s="11" t="s">
        <v>111</v>
      </c>
      <c r="K109" s="20">
        <v>743915</v>
      </c>
      <c r="L109" s="9" t="s">
        <v>26</v>
      </c>
      <c r="M109" s="12"/>
      <c r="N109" s="4"/>
      <c r="O109" s="32" t="s">
        <v>492</v>
      </c>
      <c r="P109" s="214"/>
      <c r="Q109" s="217" t="str">
        <f t="shared" si="4"/>
        <v>Kursi Rapat</v>
      </c>
      <c r="R109" s="217"/>
      <c r="S109" s="218">
        <f t="shared" si="5"/>
        <v>2014</v>
      </c>
      <c r="T109" s="218" t="str">
        <f t="shared" si="6"/>
        <v>0013</v>
      </c>
      <c r="U109" s="217"/>
      <c r="V109" s="218"/>
      <c r="W109" s="222"/>
      <c r="X109" s="13"/>
      <c r="Y109" s="13"/>
    </row>
    <row r="110" spans="1:25" ht="31.5" x14ac:dyDescent="0.25">
      <c r="A110" s="47">
        <f t="shared" si="3"/>
        <v>64</v>
      </c>
      <c r="B110" s="443" t="s">
        <v>122</v>
      </c>
      <c r="C110" s="444"/>
      <c r="D110" s="26" t="s">
        <v>266</v>
      </c>
      <c r="E110" s="12"/>
      <c r="F110" s="12"/>
      <c r="G110" s="30" t="s">
        <v>267</v>
      </c>
      <c r="H110" s="9">
        <v>2014</v>
      </c>
      <c r="I110" s="9" t="s">
        <v>124</v>
      </c>
      <c r="J110" s="11" t="s">
        <v>60</v>
      </c>
      <c r="K110" s="20">
        <v>743917</v>
      </c>
      <c r="L110" s="9" t="s">
        <v>26</v>
      </c>
      <c r="M110" s="12"/>
      <c r="N110" s="4"/>
      <c r="O110" s="32" t="s">
        <v>493</v>
      </c>
      <c r="P110" s="214"/>
      <c r="Q110" s="217" t="str">
        <f t="shared" si="4"/>
        <v>Kursi Rapat</v>
      </c>
      <c r="R110" s="217"/>
      <c r="S110" s="218">
        <f t="shared" si="5"/>
        <v>2014</v>
      </c>
      <c r="T110" s="218" t="str">
        <f t="shared" si="6"/>
        <v>0014</v>
      </c>
      <c r="U110" s="217"/>
      <c r="V110" s="218"/>
      <c r="W110" s="222"/>
      <c r="X110" s="13"/>
      <c r="Y110" s="13"/>
    </row>
    <row r="111" spans="1:25" ht="31.5" x14ac:dyDescent="0.25">
      <c r="A111" s="47">
        <f t="shared" si="3"/>
        <v>65</v>
      </c>
      <c r="B111" s="553" t="s">
        <v>122</v>
      </c>
      <c r="C111" s="554"/>
      <c r="D111" s="179" t="s">
        <v>422</v>
      </c>
      <c r="E111" s="175"/>
      <c r="F111" s="175"/>
      <c r="G111" s="180" t="s">
        <v>267</v>
      </c>
      <c r="H111" s="176">
        <v>2014</v>
      </c>
      <c r="I111" s="176" t="s">
        <v>124</v>
      </c>
      <c r="J111" s="177"/>
      <c r="K111" s="178">
        <v>743915</v>
      </c>
      <c r="L111" s="176" t="s">
        <v>26</v>
      </c>
      <c r="M111" s="175"/>
      <c r="N111" s="181"/>
      <c r="O111" s="179" t="s">
        <v>520</v>
      </c>
      <c r="P111" s="214"/>
      <c r="Q111" s="217" t="str">
        <f t="shared" si="4"/>
        <v>Kursi Rapat</v>
      </c>
      <c r="R111" s="217"/>
      <c r="S111" s="218">
        <f t="shared" si="5"/>
        <v>2014</v>
      </c>
      <c r="T111" s="218">
        <f t="shared" si="6"/>
        <v>0</v>
      </c>
      <c r="U111" s="217"/>
      <c r="V111" s="218"/>
      <c r="W111" s="222"/>
      <c r="X111" s="13"/>
      <c r="Y111" s="13"/>
    </row>
    <row r="112" spans="1:25" ht="47.25" x14ac:dyDescent="0.25">
      <c r="A112" s="47">
        <f t="shared" si="3"/>
        <v>66</v>
      </c>
      <c r="B112" s="534" t="s">
        <v>61</v>
      </c>
      <c r="C112" s="535"/>
      <c r="D112" s="171" t="s">
        <v>217</v>
      </c>
      <c r="E112" s="41"/>
      <c r="F112" s="41"/>
      <c r="G112" s="43" t="s">
        <v>50</v>
      </c>
      <c r="H112" s="43">
        <v>2010</v>
      </c>
      <c r="I112" s="43" t="s">
        <v>62</v>
      </c>
      <c r="J112" s="44" t="s">
        <v>145</v>
      </c>
      <c r="K112" s="63">
        <v>320000</v>
      </c>
      <c r="L112" s="43" t="s">
        <v>26</v>
      </c>
      <c r="M112" s="169" t="s">
        <v>106</v>
      </c>
      <c r="N112" s="41"/>
      <c r="O112" s="40" t="s">
        <v>378</v>
      </c>
      <c r="P112" s="214"/>
      <c r="Q112" s="217" t="str">
        <f t="shared" si="4"/>
        <v>Kursi Putar</v>
      </c>
      <c r="R112" s="217"/>
      <c r="S112" s="218">
        <f t="shared" si="5"/>
        <v>2010</v>
      </c>
      <c r="T112" s="218" t="str">
        <f t="shared" si="6"/>
        <v>0021</v>
      </c>
      <c r="U112" s="217"/>
      <c r="V112" s="218"/>
      <c r="W112" s="222"/>
      <c r="X112" s="13"/>
      <c r="Y112" s="13"/>
    </row>
    <row r="113" spans="1:25" ht="47.25" x14ac:dyDescent="0.25">
      <c r="A113" s="47">
        <f t="shared" ref="A113:A208" si="7">A112+1</f>
        <v>67</v>
      </c>
      <c r="B113" s="443" t="s">
        <v>61</v>
      </c>
      <c r="C113" s="444"/>
      <c r="D113" s="26" t="s">
        <v>116</v>
      </c>
      <c r="E113" s="12"/>
      <c r="F113" s="12"/>
      <c r="G113" s="30" t="s">
        <v>50</v>
      </c>
      <c r="H113" s="9">
        <v>2013</v>
      </c>
      <c r="I113" s="9" t="s">
        <v>62</v>
      </c>
      <c r="J113" s="11" t="s">
        <v>128</v>
      </c>
      <c r="K113" s="20">
        <v>486971.68</v>
      </c>
      <c r="L113" s="9" t="s">
        <v>26</v>
      </c>
      <c r="M113" s="12"/>
      <c r="N113" s="4"/>
      <c r="O113" s="10" t="s">
        <v>516</v>
      </c>
      <c r="P113" s="214"/>
      <c r="Q113" s="217" t="str">
        <f t="shared" si="4"/>
        <v>Kursi Putar</v>
      </c>
      <c r="R113" s="217"/>
      <c r="S113" s="218">
        <f t="shared" si="5"/>
        <v>2013</v>
      </c>
      <c r="T113" s="218" t="str">
        <f t="shared" si="6"/>
        <v>0024</v>
      </c>
      <c r="U113" s="217"/>
      <c r="V113" s="218"/>
      <c r="W113" s="222"/>
      <c r="X113" s="13"/>
      <c r="Y113" s="13"/>
    </row>
    <row r="114" spans="1:25" ht="47.25" x14ac:dyDescent="0.25">
      <c r="A114" s="47">
        <f t="shared" si="7"/>
        <v>68</v>
      </c>
      <c r="B114" s="443" t="s">
        <v>61</v>
      </c>
      <c r="C114" s="444"/>
      <c r="D114" s="26" t="s">
        <v>116</v>
      </c>
      <c r="E114" s="32"/>
      <c r="F114" s="32"/>
      <c r="G114" s="30" t="s">
        <v>50</v>
      </c>
      <c r="H114" s="9">
        <v>2013</v>
      </c>
      <c r="I114" s="9" t="s">
        <v>62</v>
      </c>
      <c r="J114" s="11" t="s">
        <v>117</v>
      </c>
      <c r="K114" s="20">
        <v>486971.68</v>
      </c>
      <c r="L114" s="9" t="s">
        <v>26</v>
      </c>
      <c r="M114" s="32"/>
      <c r="N114" s="27"/>
      <c r="O114" s="50" t="s">
        <v>527</v>
      </c>
      <c r="P114" s="214"/>
      <c r="Q114" s="217" t="str">
        <f t="shared" si="4"/>
        <v>Kursi Putar</v>
      </c>
      <c r="R114" s="217"/>
      <c r="S114" s="218">
        <f t="shared" si="5"/>
        <v>2013</v>
      </c>
      <c r="T114" s="218" t="str">
        <f t="shared" si="6"/>
        <v>0025</v>
      </c>
      <c r="U114" s="217"/>
      <c r="V114" s="218"/>
      <c r="W114" s="222"/>
      <c r="X114" s="13"/>
      <c r="Y114" s="13"/>
    </row>
    <row r="115" spans="1:25" ht="47.25" x14ac:dyDescent="0.25">
      <c r="A115" s="47">
        <f t="shared" si="7"/>
        <v>69</v>
      </c>
      <c r="B115" s="443" t="s">
        <v>61</v>
      </c>
      <c r="C115" s="444"/>
      <c r="D115" s="26" t="s">
        <v>116</v>
      </c>
      <c r="E115" s="12"/>
      <c r="F115" s="12"/>
      <c r="G115" s="30" t="s">
        <v>50</v>
      </c>
      <c r="H115" s="9">
        <v>2013</v>
      </c>
      <c r="I115" s="9" t="s">
        <v>62</v>
      </c>
      <c r="J115" s="11" t="s">
        <v>303</v>
      </c>
      <c r="K115" s="20">
        <v>486971.68</v>
      </c>
      <c r="L115" s="9" t="s">
        <v>26</v>
      </c>
      <c r="M115" s="12"/>
      <c r="N115" s="4"/>
      <c r="O115" s="26" t="s">
        <v>520</v>
      </c>
      <c r="P115" s="214"/>
      <c r="Q115" s="217" t="str">
        <f t="shared" si="4"/>
        <v>Kursi Putar</v>
      </c>
      <c r="R115" s="217"/>
      <c r="S115" s="218">
        <f t="shared" si="5"/>
        <v>2013</v>
      </c>
      <c r="T115" s="218" t="str">
        <f t="shared" si="6"/>
        <v>0026</v>
      </c>
      <c r="U115" s="217"/>
      <c r="V115" s="218"/>
      <c r="W115" s="222"/>
      <c r="X115" s="13"/>
      <c r="Y115" s="13"/>
    </row>
    <row r="116" spans="1:25" ht="47.25" x14ac:dyDescent="0.25">
      <c r="A116" s="47">
        <f t="shared" si="7"/>
        <v>70</v>
      </c>
      <c r="B116" s="443" t="s">
        <v>61</v>
      </c>
      <c r="C116" s="444"/>
      <c r="D116" s="26" t="s">
        <v>116</v>
      </c>
      <c r="E116" s="32"/>
      <c r="F116" s="32"/>
      <c r="G116" s="30" t="s">
        <v>50</v>
      </c>
      <c r="H116" s="9">
        <v>2013</v>
      </c>
      <c r="I116" s="9" t="s">
        <v>62</v>
      </c>
      <c r="J116" s="11" t="s">
        <v>118</v>
      </c>
      <c r="K116" s="20">
        <v>486971.68</v>
      </c>
      <c r="L116" s="9" t="s">
        <v>26</v>
      </c>
      <c r="M116" s="32"/>
      <c r="N116" s="27"/>
      <c r="O116" s="50" t="s">
        <v>528</v>
      </c>
      <c r="P116" s="214"/>
      <c r="Q116" s="217" t="str">
        <f t="shared" si="4"/>
        <v>Kursi Putar</v>
      </c>
      <c r="R116" s="217"/>
      <c r="S116" s="218">
        <f t="shared" si="5"/>
        <v>2013</v>
      </c>
      <c r="T116" s="218" t="str">
        <f t="shared" si="6"/>
        <v>0027</v>
      </c>
      <c r="U116" s="217"/>
      <c r="V116" s="218"/>
      <c r="W116" s="222"/>
      <c r="X116" s="13"/>
      <c r="Y116" s="13"/>
    </row>
    <row r="117" spans="1:25" ht="47.25" x14ac:dyDescent="0.25">
      <c r="A117" s="47">
        <f t="shared" si="7"/>
        <v>71</v>
      </c>
      <c r="B117" s="443" t="s">
        <v>61</v>
      </c>
      <c r="C117" s="444"/>
      <c r="D117" s="26" t="s">
        <v>381</v>
      </c>
      <c r="E117" s="12"/>
      <c r="F117" s="12"/>
      <c r="G117" s="30" t="s">
        <v>50</v>
      </c>
      <c r="H117" s="9">
        <v>2013</v>
      </c>
      <c r="I117" s="9" t="s">
        <v>62</v>
      </c>
      <c r="J117" s="11" t="s">
        <v>204</v>
      </c>
      <c r="K117" s="20">
        <v>486971.68</v>
      </c>
      <c r="L117" s="9" t="s">
        <v>26</v>
      </c>
      <c r="M117" s="12"/>
      <c r="N117" s="4"/>
      <c r="O117" s="32" t="s">
        <v>292</v>
      </c>
      <c r="P117" s="214"/>
      <c r="Q117" s="217" t="str">
        <f t="shared" si="4"/>
        <v>Kursi Putar</v>
      </c>
      <c r="R117" s="217"/>
      <c r="S117" s="218">
        <f t="shared" si="5"/>
        <v>2013</v>
      </c>
      <c r="T117" s="218" t="str">
        <f t="shared" si="6"/>
        <v>0028</v>
      </c>
      <c r="U117" s="217"/>
      <c r="V117" s="218"/>
      <c r="W117" s="222"/>
      <c r="X117" s="13"/>
      <c r="Y117" s="13"/>
    </row>
    <row r="118" spans="1:25" ht="31.5" x14ac:dyDescent="0.25">
      <c r="A118" s="47">
        <f t="shared" si="7"/>
        <v>72</v>
      </c>
      <c r="B118" s="443" t="s">
        <v>61</v>
      </c>
      <c r="C118" s="444"/>
      <c r="D118" s="26" t="s">
        <v>269</v>
      </c>
      <c r="E118" s="12"/>
      <c r="F118" s="12"/>
      <c r="G118" s="30" t="s">
        <v>50</v>
      </c>
      <c r="H118" s="9">
        <v>2014</v>
      </c>
      <c r="I118" s="9" t="s">
        <v>62</v>
      </c>
      <c r="J118" s="11" t="s">
        <v>130</v>
      </c>
      <c r="K118" s="20">
        <v>794180</v>
      </c>
      <c r="L118" s="9" t="s">
        <v>26</v>
      </c>
      <c r="M118" s="12"/>
      <c r="N118" s="4"/>
      <c r="O118" s="32" t="s">
        <v>494</v>
      </c>
      <c r="P118" s="214"/>
      <c r="Q118" s="217" t="str">
        <f t="shared" si="4"/>
        <v>Kursi Putar</v>
      </c>
      <c r="R118" s="217"/>
      <c r="S118" s="218">
        <f t="shared" si="5"/>
        <v>2014</v>
      </c>
      <c r="T118" s="218" t="str">
        <f t="shared" si="6"/>
        <v>0030</v>
      </c>
      <c r="U118" s="217"/>
      <c r="V118" s="218"/>
      <c r="W118" s="222"/>
      <c r="X118" s="13"/>
      <c r="Y118" s="13"/>
    </row>
    <row r="119" spans="1:25" ht="31.5" x14ac:dyDescent="0.25">
      <c r="A119" s="47">
        <f t="shared" si="7"/>
        <v>73</v>
      </c>
      <c r="B119" s="443" t="s">
        <v>61</v>
      </c>
      <c r="C119" s="444"/>
      <c r="D119" s="26" t="s">
        <v>245</v>
      </c>
      <c r="E119" s="32"/>
      <c r="F119" s="32"/>
      <c r="G119" s="9" t="s">
        <v>50</v>
      </c>
      <c r="H119" s="9">
        <v>2014</v>
      </c>
      <c r="I119" s="9" t="s">
        <v>62</v>
      </c>
      <c r="J119" s="11" t="s">
        <v>64</v>
      </c>
      <c r="K119" s="20">
        <v>794180</v>
      </c>
      <c r="L119" s="9" t="s">
        <v>26</v>
      </c>
      <c r="M119" s="32"/>
      <c r="N119" s="32"/>
      <c r="O119" s="40" t="s">
        <v>238</v>
      </c>
      <c r="P119" s="214"/>
      <c r="Q119" s="217" t="str">
        <f t="shared" si="4"/>
        <v>Kursi Putar</v>
      </c>
      <c r="R119" s="217"/>
      <c r="S119" s="218">
        <f t="shared" si="5"/>
        <v>2014</v>
      </c>
      <c r="T119" s="218" t="str">
        <f t="shared" si="6"/>
        <v>0031</v>
      </c>
      <c r="U119" s="217"/>
      <c r="V119" s="218"/>
      <c r="W119" s="222"/>
      <c r="X119" s="13"/>
      <c r="Y119" s="13"/>
    </row>
    <row r="120" spans="1:25" ht="47.25" x14ac:dyDescent="0.25">
      <c r="A120" s="47">
        <f t="shared" si="7"/>
        <v>74</v>
      </c>
      <c r="B120" s="443" t="s">
        <v>61</v>
      </c>
      <c r="C120" s="444"/>
      <c r="D120" s="26" t="s">
        <v>119</v>
      </c>
      <c r="E120" s="32"/>
      <c r="F120" s="32"/>
      <c r="G120" s="30" t="s">
        <v>50</v>
      </c>
      <c r="H120" s="9">
        <v>2014</v>
      </c>
      <c r="I120" s="9" t="s">
        <v>62</v>
      </c>
      <c r="J120" s="11" t="s">
        <v>120</v>
      </c>
      <c r="K120" s="20">
        <v>794180</v>
      </c>
      <c r="L120" s="9" t="s">
        <v>26</v>
      </c>
      <c r="M120" s="32"/>
      <c r="N120" s="27"/>
      <c r="O120" s="50" t="s">
        <v>529</v>
      </c>
      <c r="P120" s="214"/>
      <c r="Q120" s="217" t="str">
        <f t="shared" si="4"/>
        <v>Kursi Putar</v>
      </c>
      <c r="R120" s="217"/>
      <c r="S120" s="218">
        <f t="shared" si="5"/>
        <v>2014</v>
      </c>
      <c r="T120" s="218" t="str">
        <f t="shared" si="6"/>
        <v>0032</v>
      </c>
      <c r="U120" s="217"/>
      <c r="V120" s="218"/>
      <c r="W120" s="222"/>
      <c r="X120" s="13"/>
      <c r="Y120" s="13"/>
    </row>
    <row r="121" spans="1:25" ht="47.25" x14ac:dyDescent="0.25">
      <c r="A121" s="47">
        <f t="shared" si="7"/>
        <v>75</v>
      </c>
      <c r="B121" s="443" t="s">
        <v>61</v>
      </c>
      <c r="C121" s="444"/>
      <c r="D121" s="26" t="s">
        <v>119</v>
      </c>
      <c r="E121" s="32"/>
      <c r="F121" s="32"/>
      <c r="G121" s="30" t="s">
        <v>50</v>
      </c>
      <c r="H121" s="9">
        <v>2014</v>
      </c>
      <c r="I121" s="9" t="s">
        <v>62</v>
      </c>
      <c r="J121" s="11" t="s">
        <v>93</v>
      </c>
      <c r="K121" s="20">
        <v>794180</v>
      </c>
      <c r="L121" s="9" t="s">
        <v>26</v>
      </c>
      <c r="M121" s="32"/>
      <c r="N121" s="27"/>
      <c r="O121" s="50" t="s">
        <v>530</v>
      </c>
      <c r="P121" s="214"/>
      <c r="Q121" s="217" t="str">
        <f t="shared" si="4"/>
        <v>Kursi Putar</v>
      </c>
      <c r="R121" s="217"/>
      <c r="S121" s="218">
        <f t="shared" si="5"/>
        <v>2014</v>
      </c>
      <c r="T121" s="218" t="str">
        <f t="shared" si="6"/>
        <v>0033</v>
      </c>
      <c r="U121" s="217"/>
      <c r="V121" s="218"/>
      <c r="W121" s="222"/>
      <c r="X121" s="13"/>
      <c r="Y121" s="13"/>
    </row>
    <row r="122" spans="1:25" ht="31.5" x14ac:dyDescent="0.25">
      <c r="A122" s="47">
        <f t="shared" si="7"/>
        <v>76</v>
      </c>
      <c r="B122" s="443" t="s">
        <v>61</v>
      </c>
      <c r="C122" s="444"/>
      <c r="D122" s="26" t="s">
        <v>119</v>
      </c>
      <c r="E122" s="12"/>
      <c r="F122" s="12"/>
      <c r="G122" s="30" t="s">
        <v>50</v>
      </c>
      <c r="H122" s="9">
        <v>2014</v>
      </c>
      <c r="I122" s="9" t="s">
        <v>62</v>
      </c>
      <c r="J122" s="11" t="s">
        <v>257</v>
      </c>
      <c r="K122" s="20">
        <v>794179</v>
      </c>
      <c r="L122" s="9" t="s">
        <v>26</v>
      </c>
      <c r="M122" s="12"/>
      <c r="N122" s="4"/>
      <c r="O122" s="26" t="s">
        <v>520</v>
      </c>
      <c r="P122" s="214"/>
      <c r="Q122" s="217" t="str">
        <f t="shared" si="4"/>
        <v>Kursi Putar</v>
      </c>
      <c r="R122" s="217"/>
      <c r="S122" s="218">
        <f t="shared" si="5"/>
        <v>2014</v>
      </c>
      <c r="T122" s="218" t="str">
        <f t="shared" si="6"/>
        <v>0034</v>
      </c>
      <c r="U122" s="217"/>
      <c r="V122" s="218"/>
      <c r="W122" s="222"/>
      <c r="X122" s="13"/>
      <c r="Y122" s="13"/>
    </row>
    <row r="123" spans="1:25" ht="31.5" x14ac:dyDescent="0.25">
      <c r="A123" s="47">
        <f t="shared" si="7"/>
        <v>77</v>
      </c>
      <c r="B123" s="443" t="s">
        <v>61</v>
      </c>
      <c r="C123" s="444"/>
      <c r="D123" s="26" t="s">
        <v>431</v>
      </c>
      <c r="E123" s="12"/>
      <c r="F123" s="12"/>
      <c r="G123" s="30" t="s">
        <v>50</v>
      </c>
      <c r="H123" s="9">
        <v>2014</v>
      </c>
      <c r="I123" s="9" t="s">
        <v>62</v>
      </c>
      <c r="J123" s="11" t="s">
        <v>132</v>
      </c>
      <c r="K123" s="20">
        <v>794180</v>
      </c>
      <c r="L123" s="9" t="s">
        <v>26</v>
      </c>
      <c r="M123" s="12"/>
      <c r="N123" s="4"/>
      <c r="O123" s="10" t="s">
        <v>516</v>
      </c>
      <c r="P123" s="214"/>
      <c r="Q123" s="217" t="str">
        <f t="shared" si="4"/>
        <v>Kursi Putar</v>
      </c>
      <c r="R123" s="217"/>
      <c r="S123" s="218">
        <f t="shared" si="5"/>
        <v>2014</v>
      </c>
      <c r="T123" s="218" t="str">
        <f t="shared" si="6"/>
        <v>0035</v>
      </c>
      <c r="U123" s="217"/>
      <c r="V123" s="218"/>
      <c r="W123" s="222"/>
      <c r="X123" s="13"/>
      <c r="Y123" s="13"/>
    </row>
    <row r="124" spans="1:25" ht="18" x14ac:dyDescent="0.25">
      <c r="K124" s="232">
        <f>SUM(K105:K123)</f>
        <v>12727344.399999999</v>
      </c>
      <c r="P124" s="214"/>
      <c r="Q124" s="217" t="str">
        <f>B135</f>
        <v>Kursi Putar</v>
      </c>
      <c r="R124" s="217"/>
      <c r="S124" s="218">
        <f>H135</f>
        <v>2014</v>
      </c>
      <c r="T124" s="218" t="str">
        <f>J135</f>
        <v>0037</v>
      </c>
      <c r="U124" s="217"/>
      <c r="V124" s="218"/>
      <c r="W124" s="222"/>
      <c r="X124" s="13"/>
      <c r="Y124" s="13"/>
    </row>
    <row r="125" spans="1:25" ht="18" x14ac:dyDescent="0.25">
      <c r="P125" s="214"/>
      <c r="Q125" s="217" t="str">
        <f>B136</f>
        <v>Kursi Putar</v>
      </c>
      <c r="R125" s="217"/>
      <c r="S125" s="218">
        <f>H136</f>
        <v>2014</v>
      </c>
      <c r="T125" s="218" t="str">
        <f>J136</f>
        <v>0038</v>
      </c>
      <c r="U125" s="217"/>
      <c r="V125" s="218"/>
      <c r="W125" s="222"/>
      <c r="X125" s="13"/>
      <c r="Y125" s="13"/>
    </row>
    <row r="126" spans="1:25" ht="18" x14ac:dyDescent="0.25">
      <c r="P126" s="214"/>
      <c r="Q126" s="217" t="str">
        <f>B137</f>
        <v>Kursi Putar</v>
      </c>
      <c r="R126" s="217"/>
      <c r="S126" s="218">
        <f>H137</f>
        <v>2014</v>
      </c>
      <c r="T126" s="218" t="str">
        <f>J137</f>
        <v>0039</v>
      </c>
      <c r="U126" s="217"/>
      <c r="V126" s="218"/>
      <c r="W126" s="222"/>
      <c r="X126" s="13"/>
      <c r="Y126" s="13"/>
    </row>
    <row r="127" spans="1:25" ht="18" x14ac:dyDescent="0.25">
      <c r="P127" s="214"/>
      <c r="Q127" s="217" t="str">
        <f>B138</f>
        <v>Kursi Putar</v>
      </c>
      <c r="R127" s="217"/>
      <c r="S127" s="218">
        <f>H138</f>
        <v>2014</v>
      </c>
      <c r="T127" s="218" t="str">
        <f>J138</f>
        <v>0040</v>
      </c>
      <c r="U127" s="217"/>
      <c r="V127" s="218"/>
      <c r="W127" s="222"/>
      <c r="X127" s="13"/>
      <c r="Y127" s="13"/>
    </row>
    <row r="128" spans="1:25" ht="18" x14ac:dyDescent="0.25">
      <c r="A128" s="157"/>
      <c r="B128" s="67"/>
      <c r="C128" s="67"/>
      <c r="D128" s="68"/>
      <c r="E128" s="88"/>
      <c r="F128" s="88"/>
      <c r="G128" s="80"/>
      <c r="H128" s="70"/>
      <c r="I128" s="70"/>
      <c r="J128" s="71"/>
      <c r="K128" s="72"/>
      <c r="L128" s="70"/>
      <c r="M128" s="88"/>
      <c r="N128" s="79"/>
      <c r="O128" s="68"/>
      <c r="P128" s="214"/>
      <c r="Q128" s="217">
        <f t="shared" si="4"/>
        <v>0</v>
      </c>
      <c r="R128" s="217"/>
      <c r="S128" s="218">
        <f t="shared" si="5"/>
        <v>0</v>
      </c>
      <c r="T128" s="218">
        <f t="shared" si="6"/>
        <v>0</v>
      </c>
      <c r="U128" s="217"/>
      <c r="V128" s="218"/>
      <c r="W128" s="222"/>
      <c r="X128" s="13"/>
      <c r="Y128" s="13"/>
    </row>
    <row r="129" spans="1:25" ht="18" x14ac:dyDescent="0.25">
      <c r="A129" s="157"/>
      <c r="B129" s="67"/>
      <c r="C129" s="67"/>
      <c r="D129" s="68"/>
      <c r="E129" s="88"/>
      <c r="F129" s="88"/>
      <c r="G129" s="80"/>
      <c r="H129" s="70"/>
      <c r="I129" s="70"/>
      <c r="J129" s="71"/>
      <c r="K129" s="72"/>
      <c r="L129" s="70"/>
      <c r="M129" s="88"/>
      <c r="N129" s="79"/>
      <c r="O129" s="68"/>
      <c r="P129" s="214"/>
      <c r="Q129" s="217">
        <f t="shared" si="4"/>
        <v>0</v>
      </c>
      <c r="R129" s="217"/>
      <c r="S129" s="218">
        <f t="shared" si="5"/>
        <v>0</v>
      </c>
      <c r="T129" s="218">
        <f t="shared" si="6"/>
        <v>0</v>
      </c>
      <c r="U129" s="217"/>
      <c r="V129" s="218"/>
      <c r="W129" s="222"/>
      <c r="X129" s="13"/>
      <c r="Y129" s="13"/>
    </row>
    <row r="130" spans="1:25" ht="18" x14ac:dyDescent="0.25">
      <c r="A130" s="186"/>
      <c r="B130" s="82"/>
      <c r="C130" s="82"/>
      <c r="D130" s="83"/>
      <c r="E130" s="113"/>
      <c r="F130" s="113"/>
      <c r="G130" s="85"/>
      <c r="H130" s="86"/>
      <c r="I130" s="86"/>
      <c r="J130" s="87"/>
      <c r="K130" s="114"/>
      <c r="L130" s="86"/>
      <c r="M130" s="113"/>
      <c r="N130" s="84"/>
      <c r="O130" s="83"/>
      <c r="P130" s="214"/>
      <c r="Q130" s="217">
        <f t="shared" si="4"/>
        <v>0</v>
      </c>
      <c r="R130" s="217"/>
      <c r="S130" s="218">
        <f t="shared" si="5"/>
        <v>0</v>
      </c>
      <c r="T130" s="218">
        <f t="shared" si="6"/>
        <v>0</v>
      </c>
      <c r="U130" s="217"/>
      <c r="V130" s="218"/>
      <c r="W130" s="222"/>
      <c r="X130" s="13"/>
      <c r="Y130" s="13"/>
    </row>
    <row r="131" spans="1:25" ht="18" x14ac:dyDescent="0.25">
      <c r="A131" s="168" t="s">
        <v>7</v>
      </c>
      <c r="B131" s="538" t="s">
        <v>8</v>
      </c>
      <c r="C131" s="538"/>
      <c r="D131" s="168" t="s">
        <v>9</v>
      </c>
      <c r="E131" s="168" t="s">
        <v>10</v>
      </c>
      <c r="F131" s="541" t="s">
        <v>11</v>
      </c>
      <c r="G131" s="541" t="s">
        <v>12</v>
      </c>
      <c r="H131" s="168" t="s">
        <v>13</v>
      </c>
      <c r="I131" s="168"/>
      <c r="J131" s="168" t="s">
        <v>15</v>
      </c>
      <c r="K131" s="168" t="s">
        <v>16</v>
      </c>
      <c r="L131" s="544" t="s">
        <v>17</v>
      </c>
      <c r="M131" s="544"/>
      <c r="N131" s="544"/>
      <c r="O131" s="168" t="s">
        <v>18</v>
      </c>
      <c r="P131" s="214"/>
      <c r="Q131" s="217" t="str">
        <f t="shared" si="4"/>
        <v>Nama Barang</v>
      </c>
      <c r="R131" s="217"/>
      <c r="S131" s="218" t="str">
        <f t="shared" si="5"/>
        <v xml:space="preserve">Tahun </v>
      </c>
      <c r="T131" s="218" t="str">
        <f t="shared" si="6"/>
        <v xml:space="preserve">Jumlah </v>
      </c>
      <c r="U131" s="217"/>
      <c r="V131" s="218"/>
      <c r="W131" s="222"/>
      <c r="X131" s="13"/>
      <c r="Y131" s="13"/>
    </row>
    <row r="132" spans="1:25" ht="18" x14ac:dyDescent="0.25">
      <c r="A132" s="542" t="s">
        <v>19</v>
      </c>
      <c r="B132" s="546" t="s">
        <v>20</v>
      </c>
      <c r="C132" s="547"/>
      <c r="D132" s="542" t="s">
        <v>21</v>
      </c>
      <c r="E132" s="542" t="s">
        <v>22</v>
      </c>
      <c r="F132" s="542"/>
      <c r="G132" s="542"/>
      <c r="H132" s="104" t="s">
        <v>23</v>
      </c>
      <c r="I132" s="104" t="s">
        <v>14</v>
      </c>
      <c r="J132" s="104" t="s">
        <v>24</v>
      </c>
      <c r="K132" s="104" t="s">
        <v>25</v>
      </c>
      <c r="L132" s="104" t="s">
        <v>26</v>
      </c>
      <c r="M132" s="104" t="s">
        <v>27</v>
      </c>
      <c r="N132" s="104" t="s">
        <v>28</v>
      </c>
      <c r="O132" s="539" t="s">
        <v>29</v>
      </c>
      <c r="P132" s="214"/>
      <c r="Q132" s="217" t="str">
        <f t="shared" si="4"/>
        <v>Jenis Barang</v>
      </c>
      <c r="R132" s="217"/>
      <c r="S132" s="218" t="str">
        <f t="shared" si="5"/>
        <v>Pembuatan</v>
      </c>
      <c r="T132" s="218" t="str">
        <f t="shared" si="6"/>
        <v>Barang</v>
      </c>
      <c r="U132" s="217"/>
      <c r="V132" s="218"/>
      <c r="W132" s="222"/>
      <c r="X132" s="13"/>
      <c r="Y132" s="13"/>
    </row>
    <row r="133" spans="1:25" ht="18" x14ac:dyDescent="0.25">
      <c r="A133" s="543"/>
      <c r="B133" s="548"/>
      <c r="C133" s="549"/>
      <c r="D133" s="543"/>
      <c r="E133" s="543"/>
      <c r="F133" s="543"/>
      <c r="G133" s="543"/>
      <c r="H133" s="105" t="s">
        <v>30</v>
      </c>
      <c r="I133" s="105"/>
      <c r="J133" s="105" t="s">
        <v>31</v>
      </c>
      <c r="K133" s="105" t="s">
        <v>32</v>
      </c>
      <c r="L133" s="105" t="s">
        <v>33</v>
      </c>
      <c r="M133" s="105" t="s">
        <v>34</v>
      </c>
      <c r="N133" s="105" t="s">
        <v>35</v>
      </c>
      <c r="O133" s="540"/>
      <c r="P133" s="214"/>
      <c r="Q133" s="217">
        <f t="shared" si="4"/>
        <v>0</v>
      </c>
      <c r="R133" s="217"/>
      <c r="S133" s="218" t="str">
        <f t="shared" si="5"/>
        <v>Atau Pembelian</v>
      </c>
      <c r="T133" s="218" t="str">
        <f t="shared" si="6"/>
        <v>Register x)</v>
      </c>
      <c r="U133" s="217"/>
      <c r="V133" s="218"/>
      <c r="W133" s="222"/>
      <c r="X133" s="13"/>
      <c r="Y133" s="13"/>
    </row>
    <row r="134" spans="1:25" ht="18" x14ac:dyDescent="0.25">
      <c r="A134" s="47">
        <v>1</v>
      </c>
      <c r="B134" s="536">
        <v>2</v>
      </c>
      <c r="C134" s="537"/>
      <c r="D134" s="166">
        <v>3</v>
      </c>
      <c r="E134" s="166">
        <v>4</v>
      </c>
      <c r="F134" s="167">
        <v>5</v>
      </c>
      <c r="G134" s="167">
        <v>6</v>
      </c>
      <c r="H134" s="104">
        <v>7</v>
      </c>
      <c r="I134" s="104">
        <v>8</v>
      </c>
      <c r="J134" s="104">
        <v>9</v>
      </c>
      <c r="K134" s="104">
        <v>10</v>
      </c>
      <c r="L134" s="104">
        <v>11</v>
      </c>
      <c r="M134" s="104">
        <v>12</v>
      </c>
      <c r="N134" s="104">
        <v>13</v>
      </c>
      <c r="O134" s="166">
        <v>14</v>
      </c>
      <c r="P134" s="214"/>
      <c r="Q134" s="217">
        <f t="shared" si="4"/>
        <v>2</v>
      </c>
      <c r="R134" s="217"/>
      <c r="S134" s="218">
        <f t="shared" si="5"/>
        <v>7</v>
      </c>
      <c r="T134" s="218">
        <f t="shared" si="6"/>
        <v>9</v>
      </c>
      <c r="U134" s="217"/>
      <c r="V134" s="218"/>
      <c r="W134" s="222"/>
      <c r="X134" s="13"/>
      <c r="Y134" s="13"/>
    </row>
    <row r="135" spans="1:25" ht="31.5" x14ac:dyDescent="0.25">
      <c r="A135" s="47">
        <f>A123+1</f>
        <v>78</v>
      </c>
      <c r="B135" s="443" t="s">
        <v>61</v>
      </c>
      <c r="C135" s="444"/>
      <c r="D135" s="26" t="s">
        <v>119</v>
      </c>
      <c r="E135" s="12"/>
      <c r="F135" s="12"/>
      <c r="G135" s="30" t="s">
        <v>50</v>
      </c>
      <c r="H135" s="9">
        <v>2014</v>
      </c>
      <c r="I135" s="9" t="s">
        <v>62</v>
      </c>
      <c r="J135" s="11" t="s">
        <v>247</v>
      </c>
      <c r="K135" s="20">
        <v>794180</v>
      </c>
      <c r="L135" s="9" t="s">
        <v>26</v>
      </c>
      <c r="M135" s="12"/>
      <c r="N135" s="4"/>
      <c r="O135" s="26" t="s">
        <v>519</v>
      </c>
      <c r="P135" s="214"/>
      <c r="Q135" s="217"/>
      <c r="R135" s="217"/>
      <c r="S135" s="218"/>
      <c r="T135" s="218"/>
      <c r="U135" s="217"/>
      <c r="V135" s="218"/>
      <c r="W135" s="222"/>
      <c r="X135" s="13"/>
      <c r="Y135" s="13"/>
    </row>
    <row r="136" spans="1:25" ht="31.5" x14ac:dyDescent="0.25">
      <c r="A136" s="47">
        <f>A135+1</f>
        <v>79</v>
      </c>
      <c r="B136" s="443" t="s">
        <v>61</v>
      </c>
      <c r="C136" s="444"/>
      <c r="D136" s="26" t="s">
        <v>245</v>
      </c>
      <c r="E136" s="32"/>
      <c r="F136" s="32"/>
      <c r="G136" s="9" t="s">
        <v>50</v>
      </c>
      <c r="H136" s="9">
        <v>2014</v>
      </c>
      <c r="I136" s="9" t="s">
        <v>62</v>
      </c>
      <c r="J136" s="11" t="s">
        <v>63</v>
      </c>
      <c r="K136" s="20">
        <v>794180</v>
      </c>
      <c r="L136" s="9" t="s">
        <v>26</v>
      </c>
      <c r="M136" s="27"/>
      <c r="N136" s="27"/>
      <c r="O136" s="40" t="s">
        <v>238</v>
      </c>
      <c r="P136" s="214"/>
      <c r="Q136" s="217"/>
      <c r="R136" s="217"/>
      <c r="S136" s="218"/>
      <c r="T136" s="218"/>
      <c r="U136" s="217"/>
      <c r="V136" s="218"/>
      <c r="W136" s="222"/>
      <c r="X136" s="13"/>
      <c r="Y136" s="13"/>
    </row>
    <row r="137" spans="1:25" ht="31.5" x14ac:dyDescent="0.25">
      <c r="A137" s="47">
        <f>A136+1</f>
        <v>80</v>
      </c>
      <c r="B137" s="443" t="s">
        <v>61</v>
      </c>
      <c r="C137" s="444"/>
      <c r="D137" s="26" t="s">
        <v>119</v>
      </c>
      <c r="E137" s="12"/>
      <c r="F137" s="12"/>
      <c r="G137" s="30" t="s">
        <v>50</v>
      </c>
      <c r="H137" s="9">
        <v>2014</v>
      </c>
      <c r="I137" s="9" t="s">
        <v>62</v>
      </c>
      <c r="J137" s="11" t="s">
        <v>250</v>
      </c>
      <c r="K137" s="20">
        <v>794179</v>
      </c>
      <c r="L137" s="9" t="s">
        <v>26</v>
      </c>
      <c r="M137" s="12"/>
      <c r="N137" s="4"/>
      <c r="O137" s="26" t="s">
        <v>520</v>
      </c>
      <c r="P137" s="214"/>
      <c r="Q137" s="217"/>
      <c r="R137" s="217"/>
      <c r="S137" s="218"/>
      <c r="T137" s="218"/>
      <c r="U137" s="217"/>
      <c r="V137" s="218"/>
      <c r="W137" s="222"/>
      <c r="X137" s="13"/>
      <c r="Y137" s="13"/>
    </row>
    <row r="138" spans="1:25" ht="31.5" x14ac:dyDescent="0.25">
      <c r="A138" s="47">
        <f>A137+1</f>
        <v>81</v>
      </c>
      <c r="B138" s="443" t="s">
        <v>61</v>
      </c>
      <c r="C138" s="444"/>
      <c r="D138" s="26" t="s">
        <v>119</v>
      </c>
      <c r="E138" s="12"/>
      <c r="F138" s="12"/>
      <c r="G138" s="30" t="s">
        <v>50</v>
      </c>
      <c r="H138" s="9">
        <v>2014</v>
      </c>
      <c r="I138" s="9" t="s">
        <v>62</v>
      </c>
      <c r="J138" s="11" t="s">
        <v>162</v>
      </c>
      <c r="K138" s="20">
        <v>794179</v>
      </c>
      <c r="L138" s="9" t="s">
        <v>26</v>
      </c>
      <c r="M138" s="12"/>
      <c r="N138" s="4"/>
      <c r="O138" s="26" t="s">
        <v>520</v>
      </c>
      <c r="P138" s="214"/>
      <c r="Q138" s="217"/>
      <c r="R138" s="217"/>
      <c r="S138" s="218"/>
      <c r="T138" s="218"/>
      <c r="U138" s="217"/>
      <c r="V138" s="218"/>
      <c r="W138" s="222"/>
      <c r="X138" s="13"/>
      <c r="Y138" s="13"/>
    </row>
    <row r="139" spans="1:25" ht="47.25" x14ac:dyDescent="0.25">
      <c r="A139" s="47">
        <f>A138+1</f>
        <v>82</v>
      </c>
      <c r="B139" s="443" t="s">
        <v>61</v>
      </c>
      <c r="C139" s="444"/>
      <c r="D139" s="26" t="s">
        <v>119</v>
      </c>
      <c r="E139" s="32"/>
      <c r="F139" s="32"/>
      <c r="G139" s="30" t="s">
        <v>50</v>
      </c>
      <c r="H139" s="9">
        <v>2014</v>
      </c>
      <c r="I139" s="9" t="s">
        <v>62</v>
      </c>
      <c r="J139" s="11" t="s">
        <v>121</v>
      </c>
      <c r="K139" s="20">
        <v>794180</v>
      </c>
      <c r="L139" s="9" t="s">
        <v>26</v>
      </c>
      <c r="M139" s="32"/>
      <c r="N139" s="27"/>
      <c r="O139" s="50" t="s">
        <v>531</v>
      </c>
      <c r="P139" s="214"/>
      <c r="Q139" s="217" t="str">
        <f t="shared" si="4"/>
        <v>Kursi Putar</v>
      </c>
      <c r="R139" s="217"/>
      <c r="S139" s="218">
        <f t="shared" si="5"/>
        <v>2014</v>
      </c>
      <c r="T139" s="218" t="str">
        <f t="shared" si="6"/>
        <v>0041</v>
      </c>
      <c r="U139" s="217"/>
      <c r="V139" s="218"/>
      <c r="W139" s="222"/>
      <c r="X139" s="13"/>
      <c r="Y139" s="13"/>
    </row>
    <row r="140" spans="1:25" ht="47.25" x14ac:dyDescent="0.25">
      <c r="A140" s="47">
        <f t="shared" si="7"/>
        <v>83</v>
      </c>
      <c r="B140" s="443" t="s">
        <v>61</v>
      </c>
      <c r="C140" s="444"/>
      <c r="D140" s="26" t="s">
        <v>269</v>
      </c>
      <c r="E140" s="12"/>
      <c r="F140" s="12"/>
      <c r="G140" s="30" t="s">
        <v>50</v>
      </c>
      <c r="H140" s="9">
        <v>2014</v>
      </c>
      <c r="I140" s="9" t="s">
        <v>62</v>
      </c>
      <c r="J140" s="11" t="s">
        <v>380</v>
      </c>
      <c r="K140" s="20">
        <v>794180</v>
      </c>
      <c r="L140" s="9" t="s">
        <v>26</v>
      </c>
      <c r="M140" s="12"/>
      <c r="N140" s="4"/>
      <c r="O140" s="26" t="s">
        <v>509</v>
      </c>
      <c r="P140" s="214"/>
      <c r="Q140" s="217" t="str">
        <f t="shared" si="4"/>
        <v>Kursi Putar</v>
      </c>
      <c r="R140" s="217"/>
      <c r="S140" s="218">
        <f t="shared" si="5"/>
        <v>2014</v>
      </c>
      <c r="T140" s="218" t="str">
        <f t="shared" si="6"/>
        <v>0042</v>
      </c>
      <c r="U140" s="217"/>
      <c r="V140" s="218"/>
      <c r="W140" s="222"/>
      <c r="X140" s="13"/>
      <c r="Y140" s="13"/>
    </row>
    <row r="141" spans="1:25" ht="31.5" x14ac:dyDescent="0.25">
      <c r="A141" s="47">
        <f t="shared" si="7"/>
        <v>84</v>
      </c>
      <c r="B141" s="443" t="s">
        <v>61</v>
      </c>
      <c r="C141" s="444"/>
      <c r="D141" s="26" t="s">
        <v>119</v>
      </c>
      <c r="E141" s="12"/>
      <c r="F141" s="12"/>
      <c r="G141" s="30" t="s">
        <v>50</v>
      </c>
      <c r="H141" s="9">
        <v>2014</v>
      </c>
      <c r="I141" s="9" t="s">
        <v>62</v>
      </c>
      <c r="J141" s="11" t="s">
        <v>427</v>
      </c>
      <c r="K141" s="20">
        <v>794179</v>
      </c>
      <c r="L141" s="9" t="s">
        <v>26</v>
      </c>
      <c r="M141" s="12"/>
      <c r="N141" s="4"/>
      <c r="O141" s="26" t="s">
        <v>520</v>
      </c>
      <c r="P141" s="214"/>
      <c r="Q141" s="217" t="str">
        <f t="shared" si="4"/>
        <v>Kursi Putar</v>
      </c>
      <c r="R141" s="217"/>
      <c r="S141" s="218">
        <f t="shared" si="5"/>
        <v>2014</v>
      </c>
      <c r="T141" s="218" t="str">
        <f t="shared" si="6"/>
        <v>0043</v>
      </c>
      <c r="U141" s="217"/>
      <c r="V141" s="218"/>
      <c r="W141" s="222"/>
      <c r="X141" s="13"/>
      <c r="Y141" s="13"/>
    </row>
    <row r="142" spans="1:25" ht="31.5" x14ac:dyDescent="0.25">
      <c r="A142" s="47">
        <f t="shared" si="7"/>
        <v>85</v>
      </c>
      <c r="B142" s="443" t="s">
        <v>61</v>
      </c>
      <c r="C142" s="444"/>
      <c r="D142" s="26" t="s">
        <v>119</v>
      </c>
      <c r="E142" s="12"/>
      <c r="F142" s="12"/>
      <c r="G142" s="30" t="s">
        <v>50</v>
      </c>
      <c r="H142" s="9">
        <v>2014</v>
      </c>
      <c r="I142" s="9" t="s">
        <v>62</v>
      </c>
      <c r="J142" s="11" t="s">
        <v>428</v>
      </c>
      <c r="K142" s="20">
        <v>794179</v>
      </c>
      <c r="L142" s="9" t="s">
        <v>26</v>
      </c>
      <c r="M142" s="12"/>
      <c r="N142" s="4"/>
      <c r="O142" s="26" t="s">
        <v>520</v>
      </c>
      <c r="P142" s="214"/>
      <c r="Q142" s="217" t="str">
        <f t="shared" si="4"/>
        <v>Kursi Putar</v>
      </c>
      <c r="R142" s="217"/>
      <c r="S142" s="218">
        <f t="shared" si="5"/>
        <v>2014</v>
      </c>
      <c r="T142" s="218" t="str">
        <f t="shared" si="6"/>
        <v>0044</v>
      </c>
      <c r="U142" s="217"/>
      <c r="V142" s="218"/>
      <c r="W142" s="222"/>
      <c r="X142" s="13"/>
      <c r="Y142" s="13"/>
    </row>
    <row r="143" spans="1:25" ht="31.5" x14ac:dyDescent="0.25">
      <c r="A143" s="47">
        <f t="shared" si="7"/>
        <v>86</v>
      </c>
      <c r="B143" s="443" t="s">
        <v>61</v>
      </c>
      <c r="C143" s="444"/>
      <c r="D143" s="26" t="s">
        <v>163</v>
      </c>
      <c r="E143" s="32"/>
      <c r="F143" s="32"/>
      <c r="G143" s="9" t="s">
        <v>50</v>
      </c>
      <c r="H143" s="9">
        <v>2014</v>
      </c>
      <c r="I143" s="9" t="s">
        <v>62</v>
      </c>
      <c r="J143" s="11" t="s">
        <v>164</v>
      </c>
      <c r="K143" s="89">
        <v>1588358</v>
      </c>
      <c r="L143" s="9" t="s">
        <v>26</v>
      </c>
      <c r="M143" s="32"/>
      <c r="N143" s="32"/>
      <c r="O143" s="50" t="s">
        <v>525</v>
      </c>
      <c r="P143" s="214"/>
      <c r="Q143" s="217" t="str">
        <f t="shared" ref="Q143:Q204" si="8">B143</f>
        <v>Kursi Putar</v>
      </c>
      <c r="R143" s="217"/>
      <c r="S143" s="218">
        <f t="shared" ref="S143:S204" si="9">H143</f>
        <v>2014</v>
      </c>
      <c r="T143" s="218" t="str">
        <f t="shared" ref="T143:T204" si="10">J143</f>
        <v>0045</v>
      </c>
      <c r="U143" s="217"/>
      <c r="V143" s="218"/>
      <c r="W143" s="222"/>
      <c r="X143" s="13"/>
      <c r="Y143" s="13"/>
    </row>
    <row r="144" spans="1:25" ht="31.5" x14ac:dyDescent="0.25">
      <c r="A144" s="47">
        <f t="shared" si="7"/>
        <v>87</v>
      </c>
      <c r="B144" s="443" t="s">
        <v>61</v>
      </c>
      <c r="C144" s="444"/>
      <c r="D144" s="26" t="s">
        <v>269</v>
      </c>
      <c r="E144" s="12"/>
      <c r="F144" s="12"/>
      <c r="G144" s="30" t="s">
        <v>50</v>
      </c>
      <c r="H144" s="9">
        <v>2014</v>
      </c>
      <c r="I144" s="9" t="s">
        <v>62</v>
      </c>
      <c r="J144" s="11" t="s">
        <v>268</v>
      </c>
      <c r="K144" s="20">
        <v>794180</v>
      </c>
      <c r="L144" s="9" t="s">
        <v>26</v>
      </c>
      <c r="M144" s="12"/>
      <c r="N144" s="4"/>
      <c r="O144" s="32" t="s">
        <v>495</v>
      </c>
      <c r="P144" s="214"/>
      <c r="Q144" s="217" t="str">
        <f t="shared" si="8"/>
        <v>Kursi Putar</v>
      </c>
      <c r="R144" s="217"/>
      <c r="S144" s="218">
        <f t="shared" si="9"/>
        <v>2014</v>
      </c>
      <c r="T144" s="218" t="str">
        <f t="shared" si="10"/>
        <v>0046</v>
      </c>
      <c r="U144" s="217"/>
      <c r="V144" s="218"/>
      <c r="W144" s="222"/>
      <c r="X144" s="13"/>
      <c r="Y144" s="13"/>
    </row>
    <row r="145" spans="1:25" ht="31.5" x14ac:dyDescent="0.25">
      <c r="A145" s="47">
        <f t="shared" si="7"/>
        <v>88</v>
      </c>
      <c r="B145" s="553" t="s">
        <v>61</v>
      </c>
      <c r="C145" s="554"/>
      <c r="D145" s="179" t="s">
        <v>119</v>
      </c>
      <c r="E145" s="175"/>
      <c r="F145" s="175"/>
      <c r="G145" s="180" t="s">
        <v>50</v>
      </c>
      <c r="H145" s="176">
        <v>2014</v>
      </c>
      <c r="I145" s="176" t="s">
        <v>62</v>
      </c>
      <c r="J145" s="177"/>
      <c r="K145" s="178">
        <v>794179</v>
      </c>
      <c r="L145" s="176" t="s">
        <v>26</v>
      </c>
      <c r="M145" s="175"/>
      <c r="N145" s="181"/>
      <c r="O145" s="179" t="s">
        <v>520</v>
      </c>
      <c r="P145" s="214"/>
      <c r="Q145" s="217" t="str">
        <f t="shared" si="8"/>
        <v>Kursi Putar</v>
      </c>
      <c r="R145" s="217"/>
      <c r="S145" s="218">
        <f t="shared" si="9"/>
        <v>2014</v>
      </c>
      <c r="T145" s="218">
        <f t="shared" si="10"/>
        <v>0</v>
      </c>
      <c r="U145" s="217"/>
      <c r="V145" s="218"/>
      <c r="W145" s="222"/>
      <c r="X145" s="13"/>
      <c r="Y145" s="13"/>
    </row>
    <row r="146" spans="1:25" ht="31.5" x14ac:dyDescent="0.25">
      <c r="A146" s="47">
        <f t="shared" si="7"/>
        <v>89</v>
      </c>
      <c r="B146" s="443" t="s">
        <v>94</v>
      </c>
      <c r="C146" s="444"/>
      <c r="D146" s="26" t="s">
        <v>181</v>
      </c>
      <c r="E146" s="12"/>
      <c r="F146" s="12"/>
      <c r="G146" s="34"/>
      <c r="H146" s="9">
        <v>2018</v>
      </c>
      <c r="I146" s="9" t="s">
        <v>96</v>
      </c>
      <c r="J146" s="11" t="s">
        <v>43</v>
      </c>
      <c r="K146" s="89">
        <v>333232</v>
      </c>
      <c r="L146" s="9" t="s">
        <v>26</v>
      </c>
      <c r="M146" s="12"/>
      <c r="N146" s="4"/>
      <c r="O146" s="50" t="s">
        <v>524</v>
      </c>
      <c r="P146" s="214"/>
      <c r="Q146" s="217" t="str">
        <f t="shared" si="8"/>
        <v>Kursi Lipat</v>
      </c>
      <c r="R146" s="217"/>
      <c r="S146" s="218">
        <f t="shared" si="9"/>
        <v>2018</v>
      </c>
      <c r="T146" s="218" t="str">
        <f t="shared" si="10"/>
        <v>0001</v>
      </c>
      <c r="U146" s="217"/>
      <c r="V146" s="218"/>
      <c r="W146" s="222"/>
      <c r="X146" s="13"/>
      <c r="Y146" s="13"/>
    </row>
    <row r="147" spans="1:25" ht="31.5" x14ac:dyDescent="0.25">
      <c r="A147" s="47">
        <f t="shared" si="7"/>
        <v>90</v>
      </c>
      <c r="B147" s="443" t="s">
        <v>94</v>
      </c>
      <c r="C147" s="444"/>
      <c r="D147" s="26" t="s">
        <v>95</v>
      </c>
      <c r="E147" s="32"/>
      <c r="F147" s="32"/>
      <c r="G147" s="9"/>
      <c r="H147" s="9">
        <v>2018</v>
      </c>
      <c r="I147" s="9" t="s">
        <v>96</v>
      </c>
      <c r="J147" s="11" t="s">
        <v>54</v>
      </c>
      <c r="K147" s="89">
        <v>333232</v>
      </c>
      <c r="L147" s="9" t="s">
        <v>26</v>
      </c>
      <c r="M147" s="32"/>
      <c r="N147" s="32"/>
      <c r="O147" s="26" t="s">
        <v>526</v>
      </c>
      <c r="P147" s="214"/>
      <c r="Q147" s="217" t="str">
        <f t="shared" si="8"/>
        <v>Kursi Lipat</v>
      </c>
      <c r="R147" s="217"/>
      <c r="S147" s="218">
        <f t="shared" si="9"/>
        <v>2018</v>
      </c>
      <c r="T147" s="218" t="str">
        <f t="shared" si="10"/>
        <v>0002</v>
      </c>
      <c r="U147" s="217"/>
      <c r="V147" s="218"/>
      <c r="W147" s="222"/>
      <c r="X147" s="13"/>
      <c r="Y147" s="13"/>
    </row>
    <row r="148" spans="1:25" ht="31.5" x14ac:dyDescent="0.25">
      <c r="A148" s="47">
        <f t="shared" si="7"/>
        <v>91</v>
      </c>
      <c r="B148" s="443" t="s">
        <v>94</v>
      </c>
      <c r="C148" s="444"/>
      <c r="D148" s="26" t="s">
        <v>95</v>
      </c>
      <c r="E148" s="27"/>
      <c r="F148" s="27"/>
      <c r="G148" s="9"/>
      <c r="H148" s="7">
        <v>2018</v>
      </c>
      <c r="I148" s="9" t="s">
        <v>96</v>
      </c>
      <c r="J148" s="11" t="s">
        <v>107</v>
      </c>
      <c r="K148" s="153">
        <v>333232</v>
      </c>
      <c r="L148" s="9" t="s">
        <v>26</v>
      </c>
      <c r="M148" s="27"/>
      <c r="N148" s="27"/>
      <c r="O148" s="50" t="s">
        <v>525</v>
      </c>
      <c r="P148" s="214"/>
      <c r="Q148" s="217" t="str">
        <f t="shared" si="8"/>
        <v>Kursi Lipat</v>
      </c>
      <c r="R148" s="217"/>
      <c r="S148" s="218">
        <f t="shared" si="9"/>
        <v>2018</v>
      </c>
      <c r="T148" s="218" t="str">
        <f t="shared" si="10"/>
        <v>0003</v>
      </c>
      <c r="U148" s="217"/>
      <c r="V148" s="218"/>
      <c r="W148" s="222"/>
      <c r="X148" s="13"/>
      <c r="Y148" s="13"/>
    </row>
    <row r="149" spans="1:25" ht="18" x14ac:dyDescent="0.25">
      <c r="A149" s="47">
        <f t="shared" si="7"/>
        <v>92</v>
      </c>
      <c r="B149" s="443" t="s">
        <v>94</v>
      </c>
      <c r="C149" s="444"/>
      <c r="D149" s="10" t="s">
        <v>95</v>
      </c>
      <c r="E149" s="12"/>
      <c r="F149" s="12"/>
      <c r="G149" s="9"/>
      <c r="H149" s="9">
        <v>2018</v>
      </c>
      <c r="I149" s="9" t="s">
        <v>96</v>
      </c>
      <c r="J149" s="11" t="s">
        <v>125</v>
      </c>
      <c r="K149" s="20">
        <v>333232</v>
      </c>
      <c r="L149" s="9" t="s">
        <v>26</v>
      </c>
      <c r="M149" s="12"/>
      <c r="N149" s="12"/>
      <c r="O149" s="32" t="s">
        <v>496</v>
      </c>
      <c r="P149" s="214"/>
      <c r="Q149" s="217" t="str">
        <f t="shared" si="8"/>
        <v>Kursi Lipat</v>
      </c>
      <c r="R149" s="217"/>
      <c r="S149" s="218">
        <f t="shared" si="9"/>
        <v>2018</v>
      </c>
      <c r="T149" s="218" t="str">
        <f t="shared" si="10"/>
        <v>0004</v>
      </c>
      <c r="U149" s="217"/>
      <c r="V149" s="218"/>
      <c r="W149" s="222"/>
      <c r="X149" s="13"/>
      <c r="Y149" s="13"/>
    </row>
    <row r="150" spans="1:25" ht="47.25" x14ac:dyDescent="0.25">
      <c r="A150" s="47">
        <f t="shared" si="7"/>
        <v>93</v>
      </c>
      <c r="B150" s="534" t="s">
        <v>94</v>
      </c>
      <c r="C150" s="535"/>
      <c r="D150" s="171" t="s">
        <v>95</v>
      </c>
      <c r="E150" s="41"/>
      <c r="F150" s="41"/>
      <c r="G150" s="43"/>
      <c r="H150" s="43">
        <v>2018</v>
      </c>
      <c r="I150" s="43" t="s">
        <v>96</v>
      </c>
      <c r="J150" s="44" t="s">
        <v>67</v>
      </c>
      <c r="K150" s="63">
        <v>333232</v>
      </c>
      <c r="L150" s="43" t="s">
        <v>26</v>
      </c>
      <c r="M150" s="41"/>
      <c r="N150" s="41"/>
      <c r="O150" s="40" t="s">
        <v>378</v>
      </c>
      <c r="P150" s="214"/>
      <c r="Q150" s="217" t="str">
        <f t="shared" si="8"/>
        <v>Kursi Lipat</v>
      </c>
      <c r="R150" s="217"/>
      <c r="S150" s="218">
        <f t="shared" si="9"/>
        <v>2018</v>
      </c>
      <c r="T150" s="218" t="str">
        <f t="shared" si="10"/>
        <v>0005</v>
      </c>
      <c r="U150" s="217"/>
      <c r="V150" s="218"/>
      <c r="W150" s="222"/>
      <c r="X150" s="13"/>
      <c r="Y150" s="13"/>
    </row>
    <row r="151" spans="1:25" ht="18" x14ac:dyDescent="0.25">
      <c r="A151" s="47">
        <f t="shared" si="7"/>
        <v>94</v>
      </c>
      <c r="B151" s="443" t="s">
        <v>94</v>
      </c>
      <c r="C151" s="444"/>
      <c r="D151" s="10" t="s">
        <v>95</v>
      </c>
      <c r="E151" s="12"/>
      <c r="F151" s="12"/>
      <c r="G151" s="9"/>
      <c r="H151" s="9">
        <v>2018</v>
      </c>
      <c r="I151" s="9" t="s">
        <v>96</v>
      </c>
      <c r="J151" s="11" t="s">
        <v>74</v>
      </c>
      <c r="K151" s="20">
        <v>333232</v>
      </c>
      <c r="L151" s="9" t="s">
        <v>26</v>
      </c>
      <c r="M151" s="12"/>
      <c r="N151" s="12"/>
      <c r="O151" s="32" t="s">
        <v>497</v>
      </c>
      <c r="P151" s="214"/>
      <c r="Q151" s="217" t="str">
        <f t="shared" si="8"/>
        <v>Kursi Lipat</v>
      </c>
      <c r="R151" s="217"/>
      <c r="S151" s="218">
        <f t="shared" si="9"/>
        <v>2018</v>
      </c>
      <c r="T151" s="218" t="str">
        <f t="shared" si="10"/>
        <v>0006</v>
      </c>
      <c r="U151" s="217"/>
      <c r="V151" s="218"/>
      <c r="W151" s="222"/>
      <c r="X151" s="13"/>
      <c r="Y151" s="13"/>
    </row>
    <row r="152" spans="1:25" ht="31.5" x14ac:dyDescent="0.25">
      <c r="A152" s="47">
        <f t="shared" si="7"/>
        <v>95</v>
      </c>
      <c r="B152" s="443" t="s">
        <v>94</v>
      </c>
      <c r="C152" s="444"/>
      <c r="D152" s="26" t="s">
        <v>95</v>
      </c>
      <c r="E152" s="27"/>
      <c r="F152" s="27"/>
      <c r="G152" s="9"/>
      <c r="H152" s="7">
        <v>2018</v>
      </c>
      <c r="I152" s="9" t="s">
        <v>96</v>
      </c>
      <c r="J152" s="11" t="s">
        <v>58</v>
      </c>
      <c r="K152" s="153">
        <v>333232</v>
      </c>
      <c r="L152" s="9" t="s">
        <v>26</v>
      </c>
      <c r="M152" s="27"/>
      <c r="N152" s="27"/>
      <c r="O152" s="50" t="s">
        <v>237</v>
      </c>
      <c r="P152" s="214"/>
      <c r="Q152" s="217" t="str">
        <f t="shared" si="8"/>
        <v>Kursi Lipat</v>
      </c>
      <c r="R152" s="217"/>
      <c r="S152" s="218">
        <f t="shared" si="9"/>
        <v>2018</v>
      </c>
      <c r="T152" s="218" t="str">
        <f t="shared" si="10"/>
        <v>0007</v>
      </c>
      <c r="U152" s="217"/>
      <c r="V152" s="218"/>
      <c r="W152" s="222"/>
      <c r="X152" s="13"/>
      <c r="Y152" s="13"/>
    </row>
    <row r="153" spans="1:25" ht="31.5" x14ac:dyDescent="0.25">
      <c r="A153" s="47">
        <f t="shared" si="7"/>
        <v>96</v>
      </c>
      <c r="B153" s="443" t="s">
        <v>94</v>
      </c>
      <c r="C153" s="444"/>
      <c r="D153" s="26" t="s">
        <v>95</v>
      </c>
      <c r="E153" s="27"/>
      <c r="F153" s="27"/>
      <c r="G153" s="9"/>
      <c r="H153" s="7">
        <v>2018</v>
      </c>
      <c r="I153" s="9" t="s">
        <v>96</v>
      </c>
      <c r="J153" s="11" t="s">
        <v>97</v>
      </c>
      <c r="K153" s="153">
        <v>333232</v>
      </c>
      <c r="L153" s="9" t="s">
        <v>26</v>
      </c>
      <c r="M153" s="27"/>
      <c r="N153" s="27"/>
      <c r="O153" s="50" t="s">
        <v>237</v>
      </c>
      <c r="P153" s="214"/>
      <c r="Q153" s="217" t="str">
        <f t="shared" si="8"/>
        <v>Kursi Lipat</v>
      </c>
      <c r="R153" s="217"/>
      <c r="S153" s="218">
        <f t="shared" si="9"/>
        <v>2018</v>
      </c>
      <c r="T153" s="218" t="str">
        <f t="shared" si="10"/>
        <v>0008</v>
      </c>
      <c r="U153" s="217"/>
      <c r="V153" s="218"/>
      <c r="W153" s="222"/>
      <c r="X153" s="13"/>
      <c r="Y153" s="13"/>
    </row>
    <row r="154" spans="1:25" ht="18" x14ac:dyDescent="0.25">
      <c r="A154" s="47">
        <f t="shared" si="7"/>
        <v>97</v>
      </c>
      <c r="B154" s="443" t="s">
        <v>94</v>
      </c>
      <c r="C154" s="444"/>
      <c r="D154" s="10" t="s">
        <v>95</v>
      </c>
      <c r="E154" s="12"/>
      <c r="F154" s="12"/>
      <c r="G154" s="9"/>
      <c r="H154" s="9">
        <v>2018</v>
      </c>
      <c r="I154" s="9" t="s">
        <v>96</v>
      </c>
      <c r="J154" s="11" t="s">
        <v>166</v>
      </c>
      <c r="K154" s="20">
        <v>333232</v>
      </c>
      <c r="L154" s="9" t="s">
        <v>26</v>
      </c>
      <c r="M154" s="12"/>
      <c r="N154" s="12"/>
      <c r="O154" s="32" t="s">
        <v>498</v>
      </c>
      <c r="P154" s="214"/>
      <c r="Q154" s="217" t="str">
        <f t="shared" si="8"/>
        <v>Kursi Lipat</v>
      </c>
      <c r="R154" s="217"/>
      <c r="S154" s="218">
        <f t="shared" si="9"/>
        <v>2018</v>
      </c>
      <c r="T154" s="218" t="str">
        <f t="shared" si="10"/>
        <v>0009</v>
      </c>
      <c r="U154" s="217"/>
      <c r="V154" s="218"/>
      <c r="W154" s="222"/>
      <c r="X154" s="13"/>
      <c r="Y154" s="13"/>
    </row>
    <row r="155" spans="1:25" ht="31.5" x14ac:dyDescent="0.25">
      <c r="A155" s="47">
        <f>A154+1</f>
        <v>98</v>
      </c>
      <c r="B155" s="443" t="s">
        <v>225</v>
      </c>
      <c r="C155" s="444"/>
      <c r="D155" s="26" t="s">
        <v>226</v>
      </c>
      <c r="E155" s="12"/>
      <c r="F155" s="12"/>
      <c r="G155" s="30" t="s">
        <v>227</v>
      </c>
      <c r="H155" s="9">
        <v>2013</v>
      </c>
      <c r="I155" s="9" t="s">
        <v>228</v>
      </c>
      <c r="J155" s="11" t="s">
        <v>54</v>
      </c>
      <c r="K155" s="172" t="s">
        <v>229</v>
      </c>
      <c r="L155" s="9" t="s">
        <v>26</v>
      </c>
      <c r="M155" s="12"/>
      <c r="N155" s="12"/>
      <c r="O155" s="26" t="s">
        <v>219</v>
      </c>
      <c r="P155" s="214"/>
      <c r="Q155" s="217" t="str">
        <f>B155</f>
        <v>Meja Komputer</v>
      </c>
      <c r="R155" s="217"/>
      <c r="S155" s="218">
        <f>H155</f>
        <v>2013</v>
      </c>
      <c r="T155" s="218" t="str">
        <f>J155</f>
        <v>0002</v>
      </c>
      <c r="U155" s="217"/>
      <c r="V155" s="218"/>
      <c r="W155" s="222"/>
      <c r="X155" s="13"/>
      <c r="Y155" s="13"/>
    </row>
    <row r="156" spans="1:25" ht="47.25" x14ac:dyDescent="0.25">
      <c r="A156" s="47">
        <f>A155+1</f>
        <v>99</v>
      </c>
      <c r="B156" s="443" t="s">
        <v>225</v>
      </c>
      <c r="C156" s="444"/>
      <c r="D156" s="26" t="s">
        <v>408</v>
      </c>
      <c r="E156" s="32"/>
      <c r="F156" s="32"/>
      <c r="G156" s="30" t="s">
        <v>227</v>
      </c>
      <c r="H156" s="9">
        <v>2006</v>
      </c>
      <c r="I156" s="9" t="s">
        <v>228</v>
      </c>
      <c r="J156" s="11" t="s">
        <v>107</v>
      </c>
      <c r="K156" s="20">
        <v>154000</v>
      </c>
      <c r="L156" s="9" t="s">
        <v>26</v>
      </c>
      <c r="M156" s="32"/>
      <c r="N156" s="32"/>
      <c r="O156" s="50" t="s">
        <v>530</v>
      </c>
      <c r="P156" s="214"/>
      <c r="Q156" s="217" t="str">
        <f>B156</f>
        <v>Meja Komputer</v>
      </c>
      <c r="R156" s="217"/>
      <c r="S156" s="218">
        <f>H156</f>
        <v>2006</v>
      </c>
      <c r="T156" s="218" t="str">
        <f>J156</f>
        <v>0003</v>
      </c>
      <c r="U156" s="217"/>
      <c r="V156" s="218"/>
      <c r="W156" s="222"/>
      <c r="X156" s="13"/>
      <c r="Y156" s="13"/>
    </row>
    <row r="157" spans="1:25" ht="18" x14ac:dyDescent="0.25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234">
        <f>SUM(K135:K156)</f>
        <v>12683241</v>
      </c>
      <c r="L157" s="79"/>
      <c r="M157" s="79"/>
      <c r="N157" s="79"/>
      <c r="O157" s="79"/>
      <c r="P157" s="214"/>
      <c r="Q157" s="217" t="str">
        <f>B169</f>
        <v>Sofa</v>
      </c>
      <c r="R157" s="217"/>
      <c r="S157" s="218">
        <f>H169</f>
        <v>2013</v>
      </c>
      <c r="T157" s="218" t="str">
        <f>J169</f>
        <v>0001</v>
      </c>
      <c r="U157" s="217"/>
      <c r="V157" s="218"/>
      <c r="W157" s="222"/>
      <c r="X157" s="13"/>
      <c r="Y157" s="13"/>
    </row>
    <row r="158" spans="1:25" ht="18" x14ac:dyDescent="0.25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214"/>
      <c r="Q158" s="217" t="str">
        <f>B170</f>
        <v>Sofa</v>
      </c>
      <c r="R158" s="217"/>
      <c r="S158" s="218">
        <f>H170</f>
        <v>2020</v>
      </c>
      <c r="T158" s="218" t="str">
        <f>J170</f>
        <v>0002</v>
      </c>
      <c r="U158" s="217"/>
      <c r="V158" s="218"/>
      <c r="W158" s="222"/>
      <c r="X158" s="13"/>
      <c r="Y158" s="13"/>
    </row>
    <row r="159" spans="1:25" ht="18" x14ac:dyDescent="0.25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214"/>
      <c r="Q159" s="217" t="str">
        <f>B171</f>
        <v>Lemari Es</v>
      </c>
      <c r="R159" s="217"/>
      <c r="S159" s="218">
        <f>H171</f>
        <v>2012</v>
      </c>
      <c r="T159" s="218" t="str">
        <f>J171</f>
        <v>0001</v>
      </c>
      <c r="U159" s="217"/>
      <c r="V159" s="218"/>
      <c r="W159" s="222"/>
      <c r="X159" s="13"/>
      <c r="Y159" s="13"/>
    </row>
    <row r="160" spans="1:25" ht="18" x14ac:dyDescent="0.25">
      <c r="A160" s="157"/>
      <c r="B160" s="67"/>
      <c r="C160" s="189"/>
      <c r="D160" s="68"/>
      <c r="E160" s="110"/>
      <c r="F160" s="110"/>
      <c r="G160" s="70"/>
      <c r="H160" s="66"/>
      <c r="I160" s="70"/>
      <c r="J160" s="71"/>
      <c r="K160" s="101"/>
      <c r="L160" s="70"/>
      <c r="M160" s="110"/>
      <c r="N160" s="110"/>
      <c r="O160" s="159"/>
      <c r="P160" s="214"/>
      <c r="Q160" s="217">
        <f t="shared" si="8"/>
        <v>0</v>
      </c>
      <c r="R160" s="217"/>
      <c r="S160" s="218">
        <f t="shared" si="9"/>
        <v>0</v>
      </c>
      <c r="T160" s="218">
        <f t="shared" si="10"/>
        <v>0</v>
      </c>
      <c r="U160" s="217"/>
      <c r="V160" s="218"/>
      <c r="W160" s="222"/>
      <c r="X160" s="13"/>
      <c r="Y160" s="13"/>
    </row>
    <row r="161" spans="1:25" ht="18" x14ac:dyDescent="0.25">
      <c r="A161" s="157"/>
      <c r="B161" s="67"/>
      <c r="C161" s="189"/>
      <c r="D161" s="68"/>
      <c r="E161" s="110"/>
      <c r="F161" s="110"/>
      <c r="G161" s="70"/>
      <c r="H161" s="66"/>
      <c r="I161" s="70"/>
      <c r="J161" s="71"/>
      <c r="K161" s="101"/>
      <c r="L161" s="70"/>
      <c r="M161" s="110"/>
      <c r="N161" s="110"/>
      <c r="O161" s="159"/>
      <c r="P161" s="214"/>
      <c r="Q161" s="217">
        <f t="shared" si="8"/>
        <v>0</v>
      </c>
      <c r="R161" s="217"/>
      <c r="S161" s="218">
        <f t="shared" si="9"/>
        <v>0</v>
      </c>
      <c r="T161" s="218">
        <f t="shared" si="10"/>
        <v>0</v>
      </c>
      <c r="U161" s="217"/>
      <c r="V161" s="218"/>
      <c r="W161" s="222"/>
      <c r="X161" s="13"/>
      <c r="Y161" s="13"/>
    </row>
    <row r="162" spans="1:25" ht="18" x14ac:dyDescent="0.25">
      <c r="A162" s="157"/>
      <c r="B162" s="67"/>
      <c r="C162" s="189"/>
      <c r="D162" s="68"/>
      <c r="E162" s="110"/>
      <c r="F162" s="110"/>
      <c r="G162" s="70"/>
      <c r="H162" s="66"/>
      <c r="I162" s="70"/>
      <c r="J162" s="71"/>
      <c r="K162" s="101"/>
      <c r="L162" s="70"/>
      <c r="M162" s="110"/>
      <c r="N162" s="110"/>
      <c r="O162" s="159"/>
      <c r="P162" s="214"/>
      <c r="Q162" s="217">
        <f t="shared" si="8"/>
        <v>0</v>
      </c>
      <c r="R162" s="217"/>
      <c r="S162" s="218">
        <f t="shared" si="9"/>
        <v>0</v>
      </c>
      <c r="T162" s="218">
        <f t="shared" si="10"/>
        <v>0</v>
      </c>
      <c r="U162" s="217"/>
      <c r="V162" s="218"/>
      <c r="W162" s="222"/>
      <c r="X162" s="13"/>
      <c r="Y162" s="13"/>
    </row>
    <row r="163" spans="1:25" ht="18" x14ac:dyDescent="0.25">
      <c r="A163" s="157"/>
      <c r="B163" s="67"/>
      <c r="C163" s="189"/>
      <c r="D163" s="68"/>
      <c r="E163" s="110"/>
      <c r="F163" s="110"/>
      <c r="G163" s="70"/>
      <c r="H163" s="66"/>
      <c r="I163" s="70"/>
      <c r="J163" s="71"/>
      <c r="K163" s="101"/>
      <c r="L163" s="70"/>
      <c r="M163" s="110"/>
      <c r="N163" s="110"/>
      <c r="O163" s="159"/>
      <c r="P163" s="214"/>
      <c r="Q163" s="217">
        <f t="shared" si="8"/>
        <v>0</v>
      </c>
      <c r="R163" s="217"/>
      <c r="S163" s="218">
        <f t="shared" si="9"/>
        <v>0</v>
      </c>
      <c r="T163" s="218">
        <f t="shared" si="10"/>
        <v>0</v>
      </c>
      <c r="U163" s="217"/>
      <c r="V163" s="218"/>
      <c r="W163" s="222"/>
      <c r="X163" s="13"/>
      <c r="Y163" s="13"/>
    </row>
    <row r="164" spans="1:25" ht="18" x14ac:dyDescent="0.25">
      <c r="A164" s="186"/>
      <c r="B164" s="82"/>
      <c r="C164" s="190"/>
      <c r="D164" s="83"/>
      <c r="E164" s="112"/>
      <c r="F164" s="112"/>
      <c r="G164" s="86"/>
      <c r="H164" s="81"/>
      <c r="I164" s="86"/>
      <c r="J164" s="87"/>
      <c r="K164" s="102"/>
      <c r="L164" s="86"/>
      <c r="M164" s="112"/>
      <c r="N164" s="112"/>
      <c r="O164" s="191"/>
      <c r="P164" s="214"/>
      <c r="Q164" s="217">
        <f t="shared" si="8"/>
        <v>0</v>
      </c>
      <c r="R164" s="217"/>
      <c r="S164" s="218">
        <f t="shared" si="9"/>
        <v>0</v>
      </c>
      <c r="T164" s="218">
        <f t="shared" si="10"/>
        <v>0</v>
      </c>
      <c r="U164" s="217"/>
      <c r="V164" s="218"/>
      <c r="W164" s="222"/>
      <c r="X164" s="13"/>
      <c r="Y164" s="13"/>
    </row>
    <row r="165" spans="1:25" ht="18" x14ac:dyDescent="0.25">
      <c r="A165" s="168" t="s">
        <v>7</v>
      </c>
      <c r="B165" s="538" t="s">
        <v>8</v>
      </c>
      <c r="C165" s="538"/>
      <c r="D165" s="168" t="s">
        <v>9</v>
      </c>
      <c r="E165" s="168" t="s">
        <v>10</v>
      </c>
      <c r="F165" s="541" t="s">
        <v>11</v>
      </c>
      <c r="G165" s="541" t="s">
        <v>12</v>
      </c>
      <c r="H165" s="168" t="s">
        <v>13</v>
      </c>
      <c r="I165" s="168"/>
      <c r="J165" s="168" t="s">
        <v>15</v>
      </c>
      <c r="K165" s="168" t="s">
        <v>16</v>
      </c>
      <c r="L165" s="544" t="s">
        <v>17</v>
      </c>
      <c r="M165" s="544"/>
      <c r="N165" s="544"/>
      <c r="O165" s="168" t="s">
        <v>18</v>
      </c>
      <c r="P165" s="214"/>
      <c r="Q165" s="217" t="str">
        <f t="shared" si="8"/>
        <v>Nama Barang</v>
      </c>
      <c r="R165" s="217"/>
      <c r="S165" s="218" t="str">
        <f t="shared" si="9"/>
        <v xml:space="preserve">Tahun </v>
      </c>
      <c r="T165" s="218" t="str">
        <f t="shared" si="10"/>
        <v xml:space="preserve">Jumlah </v>
      </c>
      <c r="U165" s="217"/>
      <c r="V165" s="218"/>
      <c r="W165" s="222"/>
      <c r="X165" s="13"/>
      <c r="Y165" s="13"/>
    </row>
    <row r="166" spans="1:25" ht="18" x14ac:dyDescent="0.25">
      <c r="A166" s="542" t="s">
        <v>19</v>
      </c>
      <c r="B166" s="546" t="s">
        <v>20</v>
      </c>
      <c r="C166" s="547"/>
      <c r="D166" s="542" t="s">
        <v>21</v>
      </c>
      <c r="E166" s="542" t="s">
        <v>22</v>
      </c>
      <c r="F166" s="542"/>
      <c r="G166" s="542"/>
      <c r="H166" s="104" t="s">
        <v>23</v>
      </c>
      <c r="I166" s="104" t="s">
        <v>14</v>
      </c>
      <c r="J166" s="104" t="s">
        <v>24</v>
      </c>
      <c r="K166" s="104" t="s">
        <v>25</v>
      </c>
      <c r="L166" s="104" t="s">
        <v>26</v>
      </c>
      <c r="M166" s="104" t="s">
        <v>27</v>
      </c>
      <c r="N166" s="104" t="s">
        <v>28</v>
      </c>
      <c r="O166" s="539" t="s">
        <v>29</v>
      </c>
      <c r="P166" s="214"/>
      <c r="Q166" s="217" t="str">
        <f t="shared" si="8"/>
        <v>Jenis Barang</v>
      </c>
      <c r="R166" s="217"/>
      <c r="S166" s="218" t="str">
        <f t="shared" si="9"/>
        <v>Pembuatan</v>
      </c>
      <c r="T166" s="218" t="str">
        <f t="shared" si="10"/>
        <v>Barang</v>
      </c>
      <c r="U166" s="217"/>
      <c r="V166" s="218"/>
      <c r="W166" s="222"/>
      <c r="X166" s="13"/>
      <c r="Y166" s="13"/>
    </row>
    <row r="167" spans="1:25" ht="18" x14ac:dyDescent="0.25">
      <c r="A167" s="543"/>
      <c r="B167" s="548"/>
      <c r="C167" s="549"/>
      <c r="D167" s="543"/>
      <c r="E167" s="543"/>
      <c r="F167" s="543"/>
      <c r="G167" s="543"/>
      <c r="H167" s="105" t="s">
        <v>30</v>
      </c>
      <c r="I167" s="105"/>
      <c r="J167" s="105" t="s">
        <v>31</v>
      </c>
      <c r="K167" s="105" t="s">
        <v>32</v>
      </c>
      <c r="L167" s="105" t="s">
        <v>33</v>
      </c>
      <c r="M167" s="105" t="s">
        <v>34</v>
      </c>
      <c r="N167" s="105" t="s">
        <v>35</v>
      </c>
      <c r="O167" s="540"/>
      <c r="P167" s="214"/>
      <c r="Q167" s="217">
        <f t="shared" si="8"/>
        <v>0</v>
      </c>
      <c r="R167" s="217"/>
      <c r="S167" s="218" t="str">
        <f t="shared" si="9"/>
        <v>Atau Pembelian</v>
      </c>
      <c r="T167" s="218" t="str">
        <f t="shared" si="10"/>
        <v>Register x)</v>
      </c>
      <c r="U167" s="217"/>
      <c r="V167" s="218"/>
      <c r="W167" s="222"/>
      <c r="X167" s="13"/>
      <c r="Y167" s="13"/>
    </row>
    <row r="168" spans="1:25" ht="18" x14ac:dyDescent="0.25">
      <c r="A168" s="47">
        <v>1</v>
      </c>
      <c r="B168" s="536">
        <v>2</v>
      </c>
      <c r="C168" s="537"/>
      <c r="D168" s="166">
        <v>3</v>
      </c>
      <c r="E168" s="166">
        <v>4</v>
      </c>
      <c r="F168" s="167">
        <v>5</v>
      </c>
      <c r="G168" s="167">
        <v>6</v>
      </c>
      <c r="H168" s="104">
        <v>7</v>
      </c>
      <c r="I168" s="104">
        <v>8</v>
      </c>
      <c r="J168" s="104">
        <v>9</v>
      </c>
      <c r="K168" s="104">
        <v>10</v>
      </c>
      <c r="L168" s="104">
        <v>11</v>
      </c>
      <c r="M168" s="104">
        <v>12</v>
      </c>
      <c r="N168" s="104">
        <v>13</v>
      </c>
      <c r="O168" s="166">
        <v>14</v>
      </c>
      <c r="P168" s="214"/>
      <c r="Q168" s="217">
        <f t="shared" si="8"/>
        <v>2</v>
      </c>
      <c r="R168" s="217"/>
      <c r="S168" s="218">
        <f t="shared" si="9"/>
        <v>7</v>
      </c>
      <c r="T168" s="218">
        <f t="shared" si="10"/>
        <v>9</v>
      </c>
      <c r="U168" s="217"/>
      <c r="V168" s="218"/>
      <c r="W168" s="222"/>
      <c r="X168" s="13"/>
      <c r="Y168" s="13"/>
    </row>
    <row r="169" spans="1:25" ht="94.5" x14ac:dyDescent="0.25">
      <c r="A169" s="47">
        <f>A156+1</f>
        <v>100</v>
      </c>
      <c r="B169" s="447" t="s">
        <v>44</v>
      </c>
      <c r="C169" s="448"/>
      <c r="D169" s="59" t="s">
        <v>79</v>
      </c>
      <c r="E169" s="59"/>
      <c r="F169" s="60"/>
      <c r="G169" s="39" t="s">
        <v>80</v>
      </c>
      <c r="H169" s="39">
        <v>2013</v>
      </c>
      <c r="I169" s="39" t="s">
        <v>45</v>
      </c>
      <c r="J169" s="56" t="s">
        <v>43</v>
      </c>
      <c r="K169" s="154">
        <v>9384350.0399999991</v>
      </c>
      <c r="L169" s="39" t="s">
        <v>26</v>
      </c>
      <c r="M169" s="57"/>
      <c r="N169" s="60"/>
      <c r="O169" s="50" t="s">
        <v>237</v>
      </c>
      <c r="P169" s="214"/>
      <c r="Q169" s="217"/>
      <c r="R169" s="217"/>
      <c r="S169" s="218"/>
      <c r="T169" s="218"/>
      <c r="U169" s="217"/>
      <c r="V169" s="218"/>
      <c r="W169" s="222"/>
      <c r="X169" s="13"/>
      <c r="Y169" s="13"/>
    </row>
    <row r="170" spans="1:25" ht="31.5" x14ac:dyDescent="0.25">
      <c r="A170" s="47">
        <f>A169+1</f>
        <v>101</v>
      </c>
      <c r="B170" s="443" t="s">
        <v>44</v>
      </c>
      <c r="C170" s="444"/>
      <c r="D170" s="26" t="s">
        <v>69</v>
      </c>
      <c r="E170" s="26"/>
      <c r="F170" s="32"/>
      <c r="G170" s="9"/>
      <c r="H170" s="9">
        <v>2020</v>
      </c>
      <c r="I170" s="9" t="s">
        <v>45</v>
      </c>
      <c r="J170" s="11" t="s">
        <v>54</v>
      </c>
      <c r="K170" s="20">
        <v>12524430</v>
      </c>
      <c r="L170" s="9" t="s">
        <v>26</v>
      </c>
      <c r="M170" s="32"/>
      <c r="N170" s="32"/>
      <c r="O170" s="40" t="s">
        <v>238</v>
      </c>
      <c r="P170" s="214"/>
      <c r="Q170" s="217"/>
      <c r="R170" s="217"/>
      <c r="S170" s="218"/>
      <c r="T170" s="218"/>
      <c r="U170" s="217"/>
      <c r="V170" s="218"/>
      <c r="W170" s="222"/>
      <c r="X170" s="13"/>
      <c r="Y170" s="13"/>
    </row>
    <row r="171" spans="1:25" ht="47.25" x14ac:dyDescent="0.25">
      <c r="A171" s="47">
        <f>A170+1</f>
        <v>102</v>
      </c>
      <c r="B171" s="443" t="s">
        <v>55</v>
      </c>
      <c r="C171" s="446"/>
      <c r="D171" s="26" t="s">
        <v>242</v>
      </c>
      <c r="E171" s="27"/>
      <c r="F171" s="27"/>
      <c r="G171" s="9" t="s">
        <v>56</v>
      </c>
      <c r="H171" s="7">
        <v>2012</v>
      </c>
      <c r="I171" s="9" t="s">
        <v>57</v>
      </c>
      <c r="J171" s="11" t="s">
        <v>43</v>
      </c>
      <c r="K171" s="19">
        <v>1975000</v>
      </c>
      <c r="L171" s="9" t="s">
        <v>26</v>
      </c>
      <c r="M171" s="27"/>
      <c r="N171" s="27"/>
      <c r="O171" s="40" t="s">
        <v>238</v>
      </c>
      <c r="P171" s="214"/>
      <c r="Q171" s="217"/>
      <c r="R171" s="217"/>
      <c r="S171" s="218"/>
      <c r="T171" s="218"/>
      <c r="U171" s="217"/>
      <c r="V171" s="218"/>
      <c r="W171" s="222"/>
      <c r="X171" s="13"/>
      <c r="Y171" s="13"/>
    </row>
    <row r="172" spans="1:25" ht="31.5" x14ac:dyDescent="0.25">
      <c r="A172" s="47">
        <f>A171+1</f>
        <v>103</v>
      </c>
      <c r="B172" s="443" t="s">
        <v>314</v>
      </c>
      <c r="C172" s="444"/>
      <c r="D172" s="26" t="s">
        <v>315</v>
      </c>
      <c r="E172" s="12"/>
      <c r="F172" s="12"/>
      <c r="G172" s="30" t="s">
        <v>56</v>
      </c>
      <c r="H172" s="9">
        <v>2011</v>
      </c>
      <c r="I172" s="9" t="s">
        <v>57</v>
      </c>
      <c r="J172" s="11" t="s">
        <v>107</v>
      </c>
      <c r="K172" s="20">
        <v>14700000</v>
      </c>
      <c r="L172" s="9" t="s">
        <v>26</v>
      </c>
      <c r="M172" s="12"/>
      <c r="N172" s="12"/>
      <c r="O172" s="10" t="s">
        <v>516</v>
      </c>
      <c r="P172" s="214"/>
      <c r="Q172" s="217" t="str">
        <f t="shared" si="8"/>
        <v>Lemari ES</v>
      </c>
      <c r="R172" s="217"/>
      <c r="S172" s="218">
        <f t="shared" si="9"/>
        <v>2011</v>
      </c>
      <c r="T172" s="218" t="str">
        <f t="shared" si="10"/>
        <v>0003</v>
      </c>
      <c r="U172" s="217"/>
      <c r="V172" s="218"/>
      <c r="W172" s="222"/>
      <c r="X172" s="13"/>
      <c r="Y172" s="13"/>
    </row>
    <row r="173" spans="1:25" ht="47.25" x14ac:dyDescent="0.25">
      <c r="A173" s="47">
        <f t="shared" si="7"/>
        <v>104</v>
      </c>
      <c r="B173" s="447" t="s">
        <v>52</v>
      </c>
      <c r="C173" s="448"/>
      <c r="D173" s="48" t="s">
        <v>425</v>
      </c>
      <c r="E173" s="46"/>
      <c r="F173" s="46"/>
      <c r="G173" s="43" t="s">
        <v>50</v>
      </c>
      <c r="H173" s="39">
        <v>2013</v>
      </c>
      <c r="I173" s="39" t="s">
        <v>53</v>
      </c>
      <c r="J173" s="44" t="s">
        <v>58</v>
      </c>
      <c r="K173" s="90">
        <v>4150000</v>
      </c>
      <c r="L173" s="39" t="s">
        <v>26</v>
      </c>
      <c r="M173" s="46"/>
      <c r="N173" s="46"/>
      <c r="O173" s="40" t="s">
        <v>378</v>
      </c>
      <c r="P173" s="214"/>
      <c r="Q173" s="217" t="str">
        <f t="shared" si="8"/>
        <v>AC Unit</v>
      </c>
      <c r="R173" s="217"/>
      <c r="S173" s="218">
        <f t="shared" si="9"/>
        <v>2013</v>
      </c>
      <c r="T173" s="218" t="str">
        <f t="shared" si="10"/>
        <v>0007</v>
      </c>
      <c r="U173" s="217"/>
      <c r="V173" s="218"/>
      <c r="W173" s="222"/>
      <c r="X173" s="13"/>
      <c r="Y173" s="13"/>
    </row>
    <row r="174" spans="1:25" ht="63" x14ac:dyDescent="0.25">
      <c r="A174" s="47">
        <f t="shared" si="7"/>
        <v>105</v>
      </c>
      <c r="B174" s="443" t="s">
        <v>52</v>
      </c>
      <c r="C174" s="444"/>
      <c r="D174" s="10" t="s">
        <v>178</v>
      </c>
      <c r="E174" s="12"/>
      <c r="F174" s="12"/>
      <c r="G174" s="30" t="s">
        <v>179</v>
      </c>
      <c r="H174" s="9">
        <v>2014</v>
      </c>
      <c r="I174" s="9" t="s">
        <v>53</v>
      </c>
      <c r="J174" s="11" t="s">
        <v>97</v>
      </c>
      <c r="K174" s="89">
        <v>4916358</v>
      </c>
      <c r="L174" s="9" t="s">
        <v>26</v>
      </c>
      <c r="M174" s="12"/>
      <c r="N174" s="12"/>
      <c r="O174" s="50" t="s">
        <v>524</v>
      </c>
      <c r="P174" s="214"/>
      <c r="Q174" s="217" t="str">
        <f t="shared" si="8"/>
        <v>AC Unit</v>
      </c>
      <c r="R174" s="217"/>
      <c r="S174" s="218">
        <f t="shared" si="9"/>
        <v>2014</v>
      </c>
      <c r="T174" s="218" t="str">
        <f t="shared" si="10"/>
        <v>0008</v>
      </c>
      <c r="U174" s="217"/>
      <c r="V174" s="218"/>
      <c r="W174" s="222"/>
      <c r="X174" s="13"/>
      <c r="Y174" s="13"/>
    </row>
    <row r="175" spans="1:25" ht="31.5" x14ac:dyDescent="0.25">
      <c r="A175" s="47">
        <f t="shared" si="7"/>
        <v>106</v>
      </c>
      <c r="B175" s="443" t="s">
        <v>52</v>
      </c>
      <c r="C175" s="444"/>
      <c r="D175" s="26" t="s">
        <v>148</v>
      </c>
      <c r="E175" s="32"/>
      <c r="F175" s="32"/>
      <c r="G175" s="30" t="s">
        <v>297</v>
      </c>
      <c r="H175" s="9">
        <v>2016</v>
      </c>
      <c r="I175" s="9" t="s">
        <v>53</v>
      </c>
      <c r="J175" s="11" t="s">
        <v>149</v>
      </c>
      <c r="K175" s="89">
        <v>5000000</v>
      </c>
      <c r="L175" s="9" t="s">
        <v>26</v>
      </c>
      <c r="M175" s="32"/>
      <c r="N175" s="32"/>
      <c r="O175" s="26" t="s">
        <v>526</v>
      </c>
      <c r="P175" s="214"/>
      <c r="Q175" s="217" t="str">
        <f t="shared" si="8"/>
        <v>AC Unit</v>
      </c>
      <c r="R175" s="217"/>
      <c r="S175" s="218">
        <f t="shared" si="9"/>
        <v>2016</v>
      </c>
      <c r="T175" s="218" t="str">
        <f t="shared" si="10"/>
        <v>0011</v>
      </c>
      <c r="U175" s="217"/>
      <c r="V175" s="218"/>
      <c r="W175" s="222"/>
      <c r="X175" s="13"/>
      <c r="Y175" s="13"/>
    </row>
    <row r="176" spans="1:25" ht="47.25" x14ac:dyDescent="0.25">
      <c r="A176" s="47">
        <f t="shared" si="7"/>
        <v>107</v>
      </c>
      <c r="B176" s="443" t="s">
        <v>52</v>
      </c>
      <c r="C176" s="444"/>
      <c r="D176" s="26" t="s">
        <v>185</v>
      </c>
      <c r="E176" s="12"/>
      <c r="F176" s="12"/>
      <c r="G176" s="9" t="s">
        <v>50</v>
      </c>
      <c r="H176" s="30" t="s">
        <v>186</v>
      </c>
      <c r="I176" s="9" t="s">
        <v>53</v>
      </c>
      <c r="J176" s="11" t="s">
        <v>137</v>
      </c>
      <c r="K176" s="172">
        <f>5000000/2</f>
        <v>2500000</v>
      </c>
      <c r="L176" s="9" t="s">
        <v>26</v>
      </c>
      <c r="M176" s="12"/>
      <c r="N176" s="12"/>
      <c r="O176" s="26" t="s">
        <v>520</v>
      </c>
      <c r="P176" s="214"/>
      <c r="Q176" s="217" t="str">
        <f t="shared" si="8"/>
        <v>AC Unit</v>
      </c>
      <c r="R176" s="217"/>
      <c r="S176" s="218" t="str">
        <f t="shared" si="9"/>
        <v xml:space="preserve">2016                                    1 PK             </v>
      </c>
      <c r="T176" s="218" t="str">
        <f t="shared" si="10"/>
        <v>0012</v>
      </c>
      <c r="U176" s="217"/>
      <c r="V176" s="218"/>
      <c r="W176" s="222"/>
      <c r="X176" s="13"/>
      <c r="Y176" s="13"/>
    </row>
    <row r="177" spans="1:25" ht="31.5" x14ac:dyDescent="0.25">
      <c r="A177" s="47">
        <f t="shared" si="7"/>
        <v>108</v>
      </c>
      <c r="B177" s="443" t="s">
        <v>52</v>
      </c>
      <c r="C177" s="444"/>
      <c r="D177" s="26" t="s">
        <v>171</v>
      </c>
      <c r="E177" s="32"/>
      <c r="F177" s="32"/>
      <c r="G177" s="9"/>
      <c r="H177" s="30" t="s">
        <v>172</v>
      </c>
      <c r="I177" s="9" t="s">
        <v>53</v>
      </c>
      <c r="J177" s="11" t="s">
        <v>111</v>
      </c>
      <c r="K177" s="89">
        <v>5009175</v>
      </c>
      <c r="L177" s="9" t="s">
        <v>26</v>
      </c>
      <c r="M177" s="32"/>
      <c r="N177" s="27"/>
      <c r="O177" s="50" t="s">
        <v>525</v>
      </c>
      <c r="P177" s="214"/>
      <c r="Q177" s="217" t="str">
        <f t="shared" si="8"/>
        <v>AC Unit</v>
      </c>
      <c r="R177" s="217"/>
      <c r="S177" s="218" t="str">
        <f t="shared" si="9"/>
        <v>2018                                         1 PK</v>
      </c>
      <c r="T177" s="218" t="str">
        <f t="shared" si="10"/>
        <v>0013</v>
      </c>
      <c r="U177" s="217"/>
      <c r="V177" s="218"/>
      <c r="W177" s="222"/>
      <c r="X177" s="13"/>
      <c r="Y177" s="13"/>
    </row>
    <row r="178" spans="1:25" ht="31.5" x14ac:dyDescent="0.25">
      <c r="A178" s="47">
        <f t="shared" si="7"/>
        <v>109</v>
      </c>
      <c r="B178" s="443" t="s">
        <v>52</v>
      </c>
      <c r="C178" s="444"/>
      <c r="D178" s="26" t="s">
        <v>243</v>
      </c>
      <c r="E178" s="32"/>
      <c r="F178" s="32"/>
      <c r="G178" s="9" t="s">
        <v>59</v>
      </c>
      <c r="H178" s="9">
        <v>2019</v>
      </c>
      <c r="I178" s="9" t="s">
        <v>53</v>
      </c>
      <c r="J178" s="11" t="s">
        <v>60</v>
      </c>
      <c r="K178" s="20">
        <v>5033356</v>
      </c>
      <c r="L178" s="9" t="s">
        <v>26</v>
      </c>
      <c r="M178" s="32"/>
      <c r="N178" s="32"/>
      <c r="O178" s="40" t="s">
        <v>238</v>
      </c>
      <c r="P178" s="214"/>
      <c r="Q178" s="217" t="str">
        <f t="shared" si="8"/>
        <v>AC Unit</v>
      </c>
      <c r="R178" s="217"/>
      <c r="S178" s="218">
        <f t="shared" si="9"/>
        <v>2019</v>
      </c>
      <c r="T178" s="218" t="str">
        <f t="shared" si="10"/>
        <v>0014</v>
      </c>
      <c r="U178" s="217"/>
      <c r="V178" s="218"/>
      <c r="W178" s="222"/>
      <c r="X178" s="13"/>
      <c r="Y178" s="13"/>
    </row>
    <row r="179" spans="1:25" ht="31.5" x14ac:dyDescent="0.25">
      <c r="A179" s="47">
        <f t="shared" si="7"/>
        <v>110</v>
      </c>
      <c r="B179" s="447" t="s">
        <v>52</v>
      </c>
      <c r="C179" s="448"/>
      <c r="D179" s="59" t="s">
        <v>82</v>
      </c>
      <c r="E179" s="60"/>
      <c r="F179" s="60"/>
      <c r="G179" s="39"/>
      <c r="H179" s="39">
        <v>2020</v>
      </c>
      <c r="I179" s="39" t="s">
        <v>53</v>
      </c>
      <c r="J179" s="56" t="s">
        <v>83</v>
      </c>
      <c r="K179" s="155">
        <v>8165750</v>
      </c>
      <c r="L179" s="39" t="s">
        <v>26</v>
      </c>
      <c r="M179" s="60"/>
      <c r="N179" s="60"/>
      <c r="O179" s="50" t="s">
        <v>237</v>
      </c>
      <c r="P179" s="214"/>
      <c r="Q179" s="217" t="str">
        <f t="shared" si="8"/>
        <v>AC Unit</v>
      </c>
      <c r="R179" s="217"/>
      <c r="S179" s="218">
        <f t="shared" si="9"/>
        <v>2020</v>
      </c>
      <c r="T179" s="218" t="str">
        <f t="shared" si="10"/>
        <v>0015</v>
      </c>
      <c r="U179" s="217"/>
      <c r="V179" s="218"/>
      <c r="W179" s="222"/>
      <c r="X179" s="13"/>
      <c r="Y179" s="13"/>
    </row>
    <row r="180" spans="1:25" ht="31.5" x14ac:dyDescent="0.25">
      <c r="A180" s="47">
        <f t="shared" si="7"/>
        <v>111</v>
      </c>
      <c r="B180" s="443" t="s">
        <v>52</v>
      </c>
      <c r="C180" s="444"/>
      <c r="D180" s="26" t="s">
        <v>187</v>
      </c>
      <c r="E180" s="12"/>
      <c r="F180" s="12"/>
      <c r="G180" s="9"/>
      <c r="H180" s="9">
        <v>2020</v>
      </c>
      <c r="I180" s="9" t="s">
        <v>53</v>
      </c>
      <c r="J180" s="11" t="s">
        <v>89</v>
      </c>
      <c r="K180" s="172">
        <f>32663710/4</f>
        <v>8165927.5</v>
      </c>
      <c r="L180" s="9" t="s">
        <v>26</v>
      </c>
      <c r="M180" s="12"/>
      <c r="N180" s="12"/>
      <c r="O180" s="26" t="s">
        <v>520</v>
      </c>
      <c r="P180" s="214"/>
      <c r="Q180" s="217" t="str">
        <f t="shared" si="8"/>
        <v>AC Unit</v>
      </c>
      <c r="R180" s="217"/>
      <c r="S180" s="218">
        <f t="shared" si="9"/>
        <v>2020</v>
      </c>
      <c r="T180" s="218" t="str">
        <f t="shared" si="10"/>
        <v>0016</v>
      </c>
      <c r="U180" s="217"/>
      <c r="V180" s="218"/>
      <c r="W180" s="222"/>
      <c r="X180" s="13"/>
      <c r="Y180" s="13"/>
    </row>
    <row r="181" spans="1:25" ht="31.5" x14ac:dyDescent="0.25">
      <c r="A181" s="47">
        <f t="shared" si="7"/>
        <v>112</v>
      </c>
      <c r="B181" s="443" t="s">
        <v>52</v>
      </c>
      <c r="C181" s="444"/>
      <c r="D181" s="26" t="s">
        <v>187</v>
      </c>
      <c r="E181" s="12"/>
      <c r="F181" s="12"/>
      <c r="G181" s="9"/>
      <c r="H181" s="9">
        <v>2020</v>
      </c>
      <c r="I181" s="9" t="s">
        <v>53</v>
      </c>
      <c r="J181" s="11" t="s">
        <v>200</v>
      </c>
      <c r="K181" s="20">
        <f>32663710/4</f>
        <v>8165927.5</v>
      </c>
      <c r="L181" s="9" t="s">
        <v>26</v>
      </c>
      <c r="M181" s="12"/>
      <c r="N181" s="12"/>
      <c r="O181" s="26" t="s">
        <v>519</v>
      </c>
      <c r="P181" s="214"/>
      <c r="Q181" s="217" t="str">
        <f t="shared" si="8"/>
        <v>AC Unit</v>
      </c>
      <c r="R181" s="217"/>
      <c r="S181" s="218">
        <f t="shared" si="9"/>
        <v>2020</v>
      </c>
      <c r="T181" s="218" t="str">
        <f t="shared" si="10"/>
        <v>0017</v>
      </c>
      <c r="U181" s="217"/>
      <c r="V181" s="218"/>
      <c r="W181" s="222"/>
      <c r="X181" s="13"/>
      <c r="Y181" s="13"/>
    </row>
    <row r="182" spans="1:25" ht="31.5" x14ac:dyDescent="0.25">
      <c r="A182" s="47">
        <f t="shared" si="7"/>
        <v>113</v>
      </c>
      <c r="B182" s="447" t="s">
        <v>52</v>
      </c>
      <c r="C182" s="448"/>
      <c r="D182" s="55" t="s">
        <v>82</v>
      </c>
      <c r="E182" s="46"/>
      <c r="F182" s="46"/>
      <c r="G182" s="49"/>
      <c r="H182" s="39">
        <v>2020</v>
      </c>
      <c r="I182" s="39" t="s">
        <v>53</v>
      </c>
      <c r="J182" s="44" t="s">
        <v>88</v>
      </c>
      <c r="K182" s="90">
        <v>8165750</v>
      </c>
      <c r="L182" s="39" t="s">
        <v>26</v>
      </c>
      <c r="M182" s="46"/>
      <c r="N182" s="46"/>
      <c r="O182" s="55" t="s">
        <v>514</v>
      </c>
      <c r="P182" s="214"/>
      <c r="Q182" s="217" t="str">
        <f t="shared" si="8"/>
        <v>AC Unit</v>
      </c>
      <c r="R182" s="217"/>
      <c r="S182" s="218">
        <f t="shared" si="9"/>
        <v>2020</v>
      </c>
      <c r="T182" s="218" t="str">
        <f t="shared" si="10"/>
        <v>0018</v>
      </c>
      <c r="U182" s="217"/>
      <c r="V182" s="218"/>
      <c r="W182" s="222"/>
      <c r="X182" s="13"/>
      <c r="Y182" s="13"/>
    </row>
    <row r="183" spans="1:25" ht="31.5" x14ac:dyDescent="0.25">
      <c r="A183" s="47">
        <f t="shared" si="7"/>
        <v>114</v>
      </c>
      <c r="B183" s="443" t="s">
        <v>65</v>
      </c>
      <c r="C183" s="444"/>
      <c r="D183" s="26" t="s">
        <v>244</v>
      </c>
      <c r="E183" s="32"/>
      <c r="F183" s="32"/>
      <c r="G183" s="9" t="s">
        <v>50</v>
      </c>
      <c r="H183" s="9">
        <v>2014</v>
      </c>
      <c r="I183" s="9" t="s">
        <v>66</v>
      </c>
      <c r="J183" s="11" t="s">
        <v>67</v>
      </c>
      <c r="K183" s="20">
        <v>10223684</v>
      </c>
      <c r="L183" s="9" t="s">
        <v>26</v>
      </c>
      <c r="M183" s="32"/>
      <c r="N183" s="32"/>
      <c r="O183" s="40" t="s">
        <v>238</v>
      </c>
      <c r="P183" s="214"/>
      <c r="Q183" s="217" t="str">
        <f t="shared" si="8"/>
        <v>Televisi</v>
      </c>
      <c r="R183" s="217"/>
      <c r="S183" s="218">
        <f t="shared" si="9"/>
        <v>2014</v>
      </c>
      <c r="T183" s="218" t="str">
        <f t="shared" si="10"/>
        <v>0005</v>
      </c>
      <c r="U183" s="217"/>
      <c r="V183" s="218"/>
      <c r="W183" s="222"/>
      <c r="X183" s="13"/>
      <c r="Y183" s="13"/>
    </row>
    <row r="184" spans="1:25" ht="31.5" x14ac:dyDescent="0.25">
      <c r="A184" s="47">
        <f t="shared" si="7"/>
        <v>115</v>
      </c>
      <c r="B184" s="443" t="s">
        <v>65</v>
      </c>
      <c r="C184" s="444"/>
      <c r="D184" s="26" t="s">
        <v>73</v>
      </c>
      <c r="E184" s="32"/>
      <c r="F184" s="32"/>
      <c r="G184" s="9"/>
      <c r="H184" s="9">
        <v>2020</v>
      </c>
      <c r="I184" s="9" t="s">
        <v>66</v>
      </c>
      <c r="J184" s="11" t="s">
        <v>74</v>
      </c>
      <c r="K184" s="20">
        <f>16532240/3</f>
        <v>5510746.666666667</v>
      </c>
      <c r="L184" s="9" t="s">
        <v>26</v>
      </c>
      <c r="M184" s="32"/>
      <c r="N184" s="32"/>
      <c r="O184" s="40" t="s">
        <v>238</v>
      </c>
      <c r="P184" s="214"/>
      <c r="Q184" s="217" t="str">
        <f t="shared" si="8"/>
        <v>Televisi</v>
      </c>
      <c r="R184" s="217"/>
      <c r="S184" s="218">
        <f t="shared" si="9"/>
        <v>2020</v>
      </c>
      <c r="T184" s="218" t="str">
        <f t="shared" si="10"/>
        <v>0006</v>
      </c>
      <c r="U184" s="217"/>
      <c r="V184" s="218"/>
      <c r="W184" s="222"/>
      <c r="X184" s="13"/>
      <c r="Y184" s="13"/>
    </row>
    <row r="185" spans="1:25" ht="31.5" x14ac:dyDescent="0.25">
      <c r="A185" s="47">
        <f t="shared" si="7"/>
        <v>116</v>
      </c>
      <c r="B185" s="553" t="s">
        <v>65</v>
      </c>
      <c r="C185" s="554"/>
      <c r="D185" s="174" t="s">
        <v>73</v>
      </c>
      <c r="E185" s="175"/>
      <c r="F185" s="175"/>
      <c r="G185" s="176"/>
      <c r="H185" s="176">
        <v>2020</v>
      </c>
      <c r="I185" s="176" t="s">
        <v>66</v>
      </c>
      <c r="J185" s="177" t="s">
        <v>74</v>
      </c>
      <c r="K185" s="178">
        <f>16532240/3</f>
        <v>5510746.666666667</v>
      </c>
      <c r="L185" s="176" t="s">
        <v>26</v>
      </c>
      <c r="M185" s="175"/>
      <c r="N185" s="174" t="s">
        <v>438</v>
      </c>
      <c r="O185" s="179" t="s">
        <v>519</v>
      </c>
      <c r="P185" s="214"/>
      <c r="Q185" s="217" t="str">
        <f t="shared" si="8"/>
        <v>Televisi</v>
      </c>
      <c r="R185" s="217"/>
      <c r="S185" s="218">
        <f t="shared" si="9"/>
        <v>2020</v>
      </c>
      <c r="T185" s="218" t="str">
        <f t="shared" si="10"/>
        <v>0006</v>
      </c>
      <c r="U185" s="217"/>
      <c r="V185" s="218"/>
      <c r="W185" s="222"/>
      <c r="X185" s="13"/>
      <c r="Y185" s="13"/>
    </row>
    <row r="186" spans="1:25" ht="31.5" x14ac:dyDescent="0.25">
      <c r="A186" s="47">
        <f t="shared" si="7"/>
        <v>117</v>
      </c>
      <c r="B186" s="443" t="s">
        <v>65</v>
      </c>
      <c r="C186" s="444"/>
      <c r="D186" s="26" t="s">
        <v>73</v>
      </c>
      <c r="E186" s="32"/>
      <c r="F186" s="32"/>
      <c r="G186" s="9"/>
      <c r="H186" s="9">
        <v>2020</v>
      </c>
      <c r="I186" s="9" t="s">
        <v>66</v>
      </c>
      <c r="J186" s="11" t="s">
        <v>58</v>
      </c>
      <c r="K186" s="20">
        <f>16532240/3</f>
        <v>5510746.666666667</v>
      </c>
      <c r="L186" s="9" t="s">
        <v>26</v>
      </c>
      <c r="M186" s="32"/>
      <c r="N186" s="32"/>
      <c r="O186" s="26" t="s">
        <v>520</v>
      </c>
      <c r="P186" s="214"/>
      <c r="Q186" s="217" t="str">
        <f t="shared" si="8"/>
        <v>Televisi</v>
      </c>
      <c r="R186" s="217"/>
      <c r="S186" s="218">
        <f t="shared" si="9"/>
        <v>2020</v>
      </c>
      <c r="T186" s="218" t="str">
        <f t="shared" si="10"/>
        <v>0007</v>
      </c>
      <c r="U186" s="217"/>
      <c r="V186" s="218"/>
      <c r="W186" s="222"/>
      <c r="X186" s="13"/>
      <c r="Y186" s="13"/>
    </row>
    <row r="187" spans="1:25" ht="31.5" x14ac:dyDescent="0.25">
      <c r="A187" s="47">
        <f t="shared" si="7"/>
        <v>118</v>
      </c>
      <c r="B187" s="443" t="s">
        <v>192</v>
      </c>
      <c r="C187" s="444"/>
      <c r="D187" s="10" t="s">
        <v>193</v>
      </c>
      <c r="E187" s="12"/>
      <c r="F187" s="12"/>
      <c r="G187" s="9"/>
      <c r="H187" s="9">
        <v>2020</v>
      </c>
      <c r="I187" s="9" t="s">
        <v>194</v>
      </c>
      <c r="J187" s="11" t="s">
        <v>195</v>
      </c>
      <c r="K187" s="20">
        <v>7013680</v>
      </c>
      <c r="L187" s="9" t="s">
        <v>26</v>
      </c>
      <c r="M187" s="12"/>
      <c r="N187" s="12"/>
      <c r="O187" s="26" t="s">
        <v>520</v>
      </c>
      <c r="P187" s="214"/>
      <c r="Q187" s="217" t="str">
        <f t="shared" si="8"/>
        <v>Sound System</v>
      </c>
      <c r="R187" s="217"/>
      <c r="S187" s="218">
        <f t="shared" si="9"/>
        <v>2020</v>
      </c>
      <c r="T187" s="218" t="str">
        <f t="shared" si="10"/>
        <v>0002 s/d 0003</v>
      </c>
      <c r="U187" s="217"/>
      <c r="V187" s="218"/>
      <c r="W187" s="222"/>
      <c r="X187" s="13"/>
      <c r="Y187" s="13"/>
    </row>
    <row r="188" spans="1:25" ht="18" x14ac:dyDescent="0.25">
      <c r="K188" s="233">
        <f>SUM(K169:K187)</f>
        <v>131625628.04000001</v>
      </c>
      <c r="P188" s="214"/>
      <c r="Q188" s="217" t="str">
        <f>B198</f>
        <v>Camera Video</v>
      </c>
      <c r="R188" s="217"/>
      <c r="S188" s="218">
        <f>H198</f>
        <v>2019</v>
      </c>
      <c r="T188" s="218" t="str">
        <f>J198</f>
        <v>0002</v>
      </c>
      <c r="U188" s="217"/>
      <c r="V188" s="218"/>
      <c r="W188" s="222"/>
      <c r="X188" s="13"/>
      <c r="Y188" s="13"/>
    </row>
    <row r="189" spans="1:25" ht="18" x14ac:dyDescent="0.25">
      <c r="P189" s="214"/>
      <c r="Q189" s="217" t="str">
        <f>B199</f>
        <v>Dispenser</v>
      </c>
      <c r="R189" s="217"/>
      <c r="S189" s="218">
        <f>H199</f>
        <v>2020</v>
      </c>
      <c r="T189" s="218" t="str">
        <f>J199</f>
        <v>0002</v>
      </c>
      <c r="U189" s="217"/>
      <c r="V189" s="218"/>
      <c r="W189" s="222"/>
      <c r="X189" s="13"/>
      <c r="Y189" s="13"/>
    </row>
    <row r="190" spans="1:25" ht="18" x14ac:dyDescent="0.25">
      <c r="P190" s="214"/>
      <c r="Q190" s="217" t="str">
        <f>B200</f>
        <v>Dispenser</v>
      </c>
      <c r="R190" s="217"/>
      <c r="S190" s="218">
        <f>H200</f>
        <v>2020</v>
      </c>
      <c r="T190" s="218" t="str">
        <f>J200</f>
        <v>0003</v>
      </c>
      <c r="U190" s="217"/>
      <c r="V190" s="218"/>
      <c r="W190" s="222"/>
      <c r="X190" s="13"/>
      <c r="Y190" s="13"/>
    </row>
    <row r="191" spans="1:25" ht="18" x14ac:dyDescent="0.25">
      <c r="A191" s="157"/>
      <c r="B191" s="67"/>
      <c r="C191" s="67"/>
      <c r="D191" s="68"/>
      <c r="E191" s="88"/>
      <c r="F191" s="88"/>
      <c r="G191" s="70"/>
      <c r="H191" s="70"/>
      <c r="I191" s="70"/>
      <c r="J191" s="71"/>
      <c r="K191" s="72"/>
      <c r="L191" s="70"/>
      <c r="M191" s="88"/>
      <c r="N191" s="88"/>
      <c r="O191" s="68"/>
      <c r="P191" s="214"/>
      <c r="Q191" s="217">
        <f t="shared" si="8"/>
        <v>0</v>
      </c>
      <c r="R191" s="217"/>
      <c r="S191" s="218">
        <f t="shared" si="9"/>
        <v>0</v>
      </c>
      <c r="T191" s="218">
        <f t="shared" si="10"/>
        <v>0</v>
      </c>
      <c r="U191" s="217"/>
      <c r="V191" s="218"/>
      <c r="W191" s="222"/>
      <c r="X191" s="13"/>
      <c r="Y191" s="13"/>
    </row>
    <row r="192" spans="1:25" ht="18" x14ac:dyDescent="0.25">
      <c r="A192" s="157"/>
      <c r="B192" s="67"/>
      <c r="C192" s="67"/>
      <c r="D192" s="68"/>
      <c r="E192" s="88"/>
      <c r="F192" s="88"/>
      <c r="G192" s="70"/>
      <c r="H192" s="70"/>
      <c r="I192" s="70"/>
      <c r="J192" s="71"/>
      <c r="K192" s="72"/>
      <c r="L192" s="70"/>
      <c r="M192" s="88"/>
      <c r="N192" s="88"/>
      <c r="O192" s="68"/>
      <c r="P192" s="214"/>
      <c r="Q192" s="217">
        <f t="shared" si="8"/>
        <v>0</v>
      </c>
      <c r="R192" s="217"/>
      <c r="S192" s="218">
        <f t="shared" si="9"/>
        <v>0</v>
      </c>
      <c r="T192" s="218">
        <f t="shared" si="10"/>
        <v>0</v>
      </c>
      <c r="U192" s="217"/>
      <c r="V192" s="218"/>
      <c r="W192" s="222"/>
      <c r="X192" s="13"/>
      <c r="Y192" s="13"/>
    </row>
    <row r="193" spans="1:25" ht="18" x14ac:dyDescent="0.25">
      <c r="A193" s="186"/>
      <c r="B193" s="82"/>
      <c r="C193" s="82"/>
      <c r="D193" s="83"/>
      <c r="E193" s="113"/>
      <c r="F193" s="113"/>
      <c r="G193" s="86"/>
      <c r="H193" s="86"/>
      <c r="I193" s="86"/>
      <c r="J193" s="87"/>
      <c r="K193" s="114"/>
      <c r="L193" s="86"/>
      <c r="M193" s="113"/>
      <c r="N193" s="113"/>
      <c r="O193" s="83"/>
      <c r="P193" s="214"/>
      <c r="Q193" s="217">
        <f t="shared" si="8"/>
        <v>0</v>
      </c>
      <c r="R193" s="217"/>
      <c r="S193" s="218">
        <f t="shared" si="9"/>
        <v>0</v>
      </c>
      <c r="T193" s="218">
        <f t="shared" si="10"/>
        <v>0</v>
      </c>
      <c r="U193" s="217"/>
      <c r="V193" s="218"/>
      <c r="W193" s="222"/>
      <c r="X193" s="13"/>
      <c r="Y193" s="13"/>
    </row>
    <row r="194" spans="1:25" ht="18" x14ac:dyDescent="0.25">
      <c r="A194" s="168" t="s">
        <v>7</v>
      </c>
      <c r="B194" s="538" t="s">
        <v>8</v>
      </c>
      <c r="C194" s="538"/>
      <c r="D194" s="168" t="s">
        <v>9</v>
      </c>
      <c r="E194" s="168" t="s">
        <v>10</v>
      </c>
      <c r="F194" s="541" t="s">
        <v>11</v>
      </c>
      <c r="G194" s="541" t="s">
        <v>12</v>
      </c>
      <c r="H194" s="168" t="s">
        <v>13</v>
      </c>
      <c r="I194" s="168"/>
      <c r="J194" s="168" t="s">
        <v>15</v>
      </c>
      <c r="K194" s="168" t="s">
        <v>16</v>
      </c>
      <c r="L194" s="544" t="s">
        <v>17</v>
      </c>
      <c r="M194" s="544"/>
      <c r="N194" s="544"/>
      <c r="O194" s="168" t="s">
        <v>18</v>
      </c>
      <c r="P194" s="214"/>
      <c r="Q194" s="217" t="str">
        <f t="shared" si="8"/>
        <v>Nama Barang</v>
      </c>
      <c r="R194" s="217"/>
      <c r="S194" s="218" t="str">
        <f t="shared" si="9"/>
        <v xml:space="preserve">Tahun </v>
      </c>
      <c r="T194" s="218" t="str">
        <f t="shared" si="10"/>
        <v xml:space="preserve">Jumlah </v>
      </c>
      <c r="U194" s="217"/>
      <c r="V194" s="218"/>
      <c r="W194" s="222"/>
      <c r="X194" s="13"/>
      <c r="Y194" s="13"/>
    </row>
    <row r="195" spans="1:25" ht="18" x14ac:dyDescent="0.25">
      <c r="A195" s="542" t="s">
        <v>19</v>
      </c>
      <c r="B195" s="546" t="s">
        <v>20</v>
      </c>
      <c r="C195" s="547"/>
      <c r="D195" s="542" t="s">
        <v>21</v>
      </c>
      <c r="E195" s="542" t="s">
        <v>22</v>
      </c>
      <c r="F195" s="542"/>
      <c r="G195" s="542"/>
      <c r="H195" s="104" t="s">
        <v>23</v>
      </c>
      <c r="I195" s="104" t="s">
        <v>14</v>
      </c>
      <c r="J195" s="104" t="s">
        <v>24</v>
      </c>
      <c r="K195" s="104" t="s">
        <v>25</v>
      </c>
      <c r="L195" s="104" t="s">
        <v>26</v>
      </c>
      <c r="M195" s="104" t="s">
        <v>27</v>
      </c>
      <c r="N195" s="104" t="s">
        <v>28</v>
      </c>
      <c r="O195" s="539" t="s">
        <v>29</v>
      </c>
      <c r="P195" s="214"/>
      <c r="Q195" s="217" t="str">
        <f t="shared" si="8"/>
        <v>Jenis Barang</v>
      </c>
      <c r="R195" s="217"/>
      <c r="S195" s="218" t="str">
        <f t="shared" si="9"/>
        <v>Pembuatan</v>
      </c>
      <c r="T195" s="218" t="str">
        <f t="shared" si="10"/>
        <v>Barang</v>
      </c>
      <c r="U195" s="217"/>
      <c r="V195" s="218"/>
      <c r="W195" s="222"/>
      <c r="X195" s="13"/>
      <c r="Y195" s="13"/>
    </row>
    <row r="196" spans="1:25" ht="18" x14ac:dyDescent="0.25">
      <c r="A196" s="543"/>
      <c r="B196" s="548"/>
      <c r="C196" s="549"/>
      <c r="D196" s="543"/>
      <c r="E196" s="543"/>
      <c r="F196" s="543"/>
      <c r="G196" s="543"/>
      <c r="H196" s="105" t="s">
        <v>30</v>
      </c>
      <c r="I196" s="105"/>
      <c r="J196" s="105" t="s">
        <v>31</v>
      </c>
      <c r="K196" s="105" t="s">
        <v>32</v>
      </c>
      <c r="L196" s="105" t="s">
        <v>33</v>
      </c>
      <c r="M196" s="105" t="s">
        <v>34</v>
      </c>
      <c r="N196" s="105" t="s">
        <v>35</v>
      </c>
      <c r="O196" s="540"/>
      <c r="P196" s="214"/>
      <c r="Q196" s="217">
        <f t="shared" si="8"/>
        <v>0</v>
      </c>
      <c r="R196" s="217"/>
      <c r="S196" s="218" t="str">
        <f t="shared" si="9"/>
        <v>Atau Pembelian</v>
      </c>
      <c r="T196" s="218" t="str">
        <f t="shared" si="10"/>
        <v>Register x)</v>
      </c>
      <c r="U196" s="217"/>
      <c r="V196" s="218"/>
      <c r="W196" s="222"/>
      <c r="X196" s="13"/>
      <c r="Y196" s="13"/>
    </row>
    <row r="197" spans="1:25" ht="18" x14ac:dyDescent="0.25">
      <c r="A197" s="47">
        <v>1</v>
      </c>
      <c r="B197" s="536">
        <v>2</v>
      </c>
      <c r="C197" s="537"/>
      <c r="D197" s="166">
        <v>3</v>
      </c>
      <c r="E197" s="166">
        <v>4</v>
      </c>
      <c r="F197" s="167">
        <v>5</v>
      </c>
      <c r="G197" s="167">
        <v>6</v>
      </c>
      <c r="H197" s="104">
        <v>7</v>
      </c>
      <c r="I197" s="104">
        <v>8</v>
      </c>
      <c r="J197" s="104">
        <v>9</v>
      </c>
      <c r="K197" s="104">
        <v>10</v>
      </c>
      <c r="L197" s="104">
        <v>11</v>
      </c>
      <c r="M197" s="104">
        <v>12</v>
      </c>
      <c r="N197" s="104">
        <v>13</v>
      </c>
      <c r="O197" s="166">
        <v>14</v>
      </c>
      <c r="P197" s="214"/>
      <c r="Q197" s="217">
        <f t="shared" si="8"/>
        <v>2</v>
      </c>
      <c r="R197" s="217"/>
      <c r="S197" s="218">
        <f t="shared" si="9"/>
        <v>7</v>
      </c>
      <c r="T197" s="218">
        <f t="shared" si="10"/>
        <v>9</v>
      </c>
      <c r="U197" s="217"/>
      <c r="V197" s="218"/>
      <c r="W197" s="222"/>
      <c r="X197" s="13"/>
      <c r="Y197" s="13"/>
    </row>
    <row r="198" spans="1:25" ht="63" x14ac:dyDescent="0.25">
      <c r="A198" s="47">
        <f>A187+1</f>
        <v>119</v>
      </c>
      <c r="B198" s="443" t="s">
        <v>273</v>
      </c>
      <c r="C198" s="444"/>
      <c r="D198" s="26" t="s">
        <v>274</v>
      </c>
      <c r="E198" s="32"/>
      <c r="F198" s="32"/>
      <c r="G198" s="9" t="s">
        <v>50</v>
      </c>
      <c r="H198" s="9">
        <v>2019</v>
      </c>
      <c r="I198" s="9" t="s">
        <v>275</v>
      </c>
      <c r="J198" s="11" t="s">
        <v>54</v>
      </c>
      <c r="K198" s="20">
        <v>4620620</v>
      </c>
      <c r="L198" s="9" t="s">
        <v>26</v>
      </c>
      <c r="M198" s="32"/>
      <c r="N198" s="32"/>
      <c r="O198" s="40" t="s">
        <v>238</v>
      </c>
      <c r="P198" s="214"/>
      <c r="Q198" s="217"/>
      <c r="R198" s="217"/>
      <c r="S198" s="218"/>
      <c r="T198" s="218"/>
      <c r="U198" s="217"/>
      <c r="V198" s="218"/>
      <c r="W198" s="222"/>
      <c r="X198" s="13"/>
      <c r="Y198" s="13"/>
    </row>
    <row r="199" spans="1:25" ht="47.25" x14ac:dyDescent="0.25">
      <c r="A199" s="47">
        <f>A198+1</f>
        <v>120</v>
      </c>
      <c r="B199" s="443" t="s">
        <v>157</v>
      </c>
      <c r="C199" s="444"/>
      <c r="D199" s="26" t="s">
        <v>158</v>
      </c>
      <c r="E199" s="32"/>
      <c r="F199" s="32"/>
      <c r="G199" s="9"/>
      <c r="H199" s="9">
        <v>2020</v>
      </c>
      <c r="I199" s="9" t="s">
        <v>159</v>
      </c>
      <c r="J199" s="11" t="s">
        <v>54</v>
      </c>
      <c r="K199" s="89">
        <f>8917390/2</f>
        <v>4458695</v>
      </c>
      <c r="L199" s="9" t="s">
        <v>26</v>
      </c>
      <c r="M199" s="32"/>
      <c r="N199" s="32"/>
      <c r="O199" s="26" t="s">
        <v>526</v>
      </c>
      <c r="P199" s="214"/>
      <c r="Q199" s="217"/>
      <c r="R199" s="217"/>
      <c r="S199" s="218"/>
      <c r="T199" s="218"/>
      <c r="U199" s="217"/>
      <c r="V199" s="218"/>
      <c r="W199" s="222"/>
      <c r="X199" s="13"/>
      <c r="Y199" s="13"/>
    </row>
    <row r="200" spans="1:25" ht="47.25" x14ac:dyDescent="0.25">
      <c r="A200" s="47">
        <f>A199+1</f>
        <v>121</v>
      </c>
      <c r="B200" s="443" t="s">
        <v>157</v>
      </c>
      <c r="C200" s="444"/>
      <c r="D200" s="26" t="s">
        <v>158</v>
      </c>
      <c r="E200" s="12"/>
      <c r="F200" s="12"/>
      <c r="G200" s="9"/>
      <c r="H200" s="9">
        <v>2020</v>
      </c>
      <c r="I200" s="9" t="s">
        <v>159</v>
      </c>
      <c r="J200" s="11" t="s">
        <v>107</v>
      </c>
      <c r="K200" s="20">
        <f>8917390/2</f>
        <v>4458695</v>
      </c>
      <c r="L200" s="9" t="s">
        <v>26</v>
      </c>
      <c r="M200" s="12"/>
      <c r="N200" s="12"/>
      <c r="O200" s="26" t="s">
        <v>519</v>
      </c>
      <c r="P200" s="214"/>
      <c r="Q200" s="217"/>
      <c r="R200" s="217"/>
      <c r="S200" s="218"/>
      <c r="T200" s="218"/>
      <c r="U200" s="217"/>
      <c r="V200" s="218"/>
      <c r="W200" s="222"/>
      <c r="X200" s="13"/>
      <c r="Y200" s="13"/>
    </row>
    <row r="201" spans="1:25" ht="78.75" x14ac:dyDescent="0.25">
      <c r="A201" s="47">
        <f>A200+1</f>
        <v>122</v>
      </c>
      <c r="B201" s="534" t="s">
        <v>133</v>
      </c>
      <c r="C201" s="535"/>
      <c r="D201" s="40" t="s">
        <v>253</v>
      </c>
      <c r="E201" s="41"/>
      <c r="F201" s="41"/>
      <c r="G201" s="42" t="s">
        <v>50</v>
      </c>
      <c r="H201" s="42" t="s">
        <v>254</v>
      </c>
      <c r="I201" s="43" t="s">
        <v>136</v>
      </c>
      <c r="J201" s="44" t="s">
        <v>110</v>
      </c>
      <c r="K201" s="63">
        <v>3980000</v>
      </c>
      <c r="L201" s="43" t="s">
        <v>26</v>
      </c>
      <c r="M201" s="41"/>
      <c r="N201" s="45"/>
      <c r="O201" s="109" t="s">
        <v>499</v>
      </c>
      <c r="P201" s="214"/>
      <c r="Q201" s="217" t="str">
        <f t="shared" si="8"/>
        <v>PC Unit</v>
      </c>
      <c r="R201" s="217"/>
      <c r="S201" s="218" t="str">
        <f t="shared" si="9"/>
        <v>2012                     6 inci</v>
      </c>
      <c r="T201" s="218" t="str">
        <f t="shared" si="10"/>
        <v>0010</v>
      </c>
      <c r="U201" s="217"/>
      <c r="V201" s="218"/>
      <c r="W201" s="222"/>
      <c r="X201" s="13"/>
      <c r="Y201" s="13"/>
    </row>
    <row r="202" spans="1:25" ht="110.25" x14ac:dyDescent="0.25">
      <c r="A202" s="47">
        <f>A201+1</f>
        <v>123</v>
      </c>
      <c r="B202" s="443" t="s">
        <v>133</v>
      </c>
      <c r="C202" s="444"/>
      <c r="D202" s="26" t="s">
        <v>299</v>
      </c>
      <c r="E202" s="32"/>
      <c r="F202" s="32"/>
      <c r="G202" s="30" t="s">
        <v>50</v>
      </c>
      <c r="H202" s="9">
        <v>2013</v>
      </c>
      <c r="I202" s="9" t="s">
        <v>136</v>
      </c>
      <c r="J202" s="11" t="s">
        <v>149</v>
      </c>
      <c r="K202" s="20">
        <v>3922641.51</v>
      </c>
      <c r="L202" s="9" t="s">
        <v>26</v>
      </c>
      <c r="M202" s="32"/>
      <c r="N202" s="32"/>
      <c r="O202" s="26" t="s">
        <v>523</v>
      </c>
      <c r="P202" s="214"/>
      <c r="Q202" s="217" t="str">
        <f t="shared" si="8"/>
        <v>PC Unit</v>
      </c>
      <c r="R202" s="217"/>
      <c r="S202" s="218">
        <f t="shared" si="9"/>
        <v>2013</v>
      </c>
      <c r="T202" s="218" t="str">
        <f t="shared" si="10"/>
        <v>0011</v>
      </c>
      <c r="U202" s="217"/>
      <c r="V202" s="218"/>
      <c r="W202" s="222"/>
      <c r="X202" s="13"/>
      <c r="Y202" s="13"/>
    </row>
    <row r="203" spans="1:25" ht="110.25" x14ac:dyDescent="0.25">
      <c r="A203" s="47">
        <f t="shared" si="7"/>
        <v>124</v>
      </c>
      <c r="B203" s="443" t="s">
        <v>133</v>
      </c>
      <c r="C203" s="444"/>
      <c r="D203" s="26" t="s">
        <v>299</v>
      </c>
      <c r="E203" s="32"/>
      <c r="F203" s="32"/>
      <c r="G203" s="30" t="s">
        <v>50</v>
      </c>
      <c r="H203" s="9">
        <v>2013</v>
      </c>
      <c r="I203" s="9" t="s">
        <v>136</v>
      </c>
      <c r="J203" s="11" t="s">
        <v>137</v>
      </c>
      <c r="K203" s="20">
        <v>3922641.51</v>
      </c>
      <c r="L203" s="9" t="s">
        <v>26</v>
      </c>
      <c r="M203" s="32"/>
      <c r="N203" s="32"/>
      <c r="O203" s="32" t="s">
        <v>500</v>
      </c>
      <c r="P203" s="214"/>
      <c r="Q203" s="217" t="str">
        <f t="shared" si="8"/>
        <v>PC Unit</v>
      </c>
      <c r="R203" s="217"/>
      <c r="S203" s="218">
        <f t="shared" si="9"/>
        <v>2013</v>
      </c>
      <c r="T203" s="218" t="str">
        <f t="shared" si="10"/>
        <v>0012</v>
      </c>
      <c r="U203" s="217"/>
      <c r="V203" s="218"/>
      <c r="W203" s="222"/>
      <c r="X203" s="13"/>
      <c r="Y203" s="13"/>
    </row>
    <row r="204" spans="1:25" ht="47.25" x14ac:dyDescent="0.25">
      <c r="A204" s="47">
        <f t="shared" si="7"/>
        <v>125</v>
      </c>
      <c r="B204" s="443" t="s">
        <v>133</v>
      </c>
      <c r="C204" s="444"/>
      <c r="D204" s="26" t="s">
        <v>138</v>
      </c>
      <c r="E204" s="27"/>
      <c r="F204" s="27"/>
      <c r="G204" s="32" t="s">
        <v>50</v>
      </c>
      <c r="H204" s="30">
        <v>2015</v>
      </c>
      <c r="I204" s="9" t="s">
        <v>136</v>
      </c>
      <c r="J204" s="11" t="s">
        <v>111</v>
      </c>
      <c r="K204" s="19">
        <v>6026316</v>
      </c>
      <c r="L204" s="9" t="s">
        <v>26</v>
      </c>
      <c r="M204" s="27"/>
      <c r="N204" s="27"/>
      <c r="O204" s="50" t="s">
        <v>531</v>
      </c>
      <c r="P204" s="214"/>
      <c r="Q204" s="217" t="str">
        <f t="shared" si="8"/>
        <v>PC Unit</v>
      </c>
      <c r="R204" s="217"/>
      <c r="S204" s="218">
        <f t="shared" si="9"/>
        <v>2015</v>
      </c>
      <c r="T204" s="218" t="str">
        <f t="shared" si="10"/>
        <v>0013</v>
      </c>
      <c r="U204" s="217"/>
      <c r="V204" s="218"/>
      <c r="W204" s="222"/>
      <c r="X204" s="13"/>
      <c r="Y204" s="13"/>
    </row>
    <row r="205" spans="1:25" ht="31.5" x14ac:dyDescent="0.25">
      <c r="A205" s="47">
        <f t="shared" si="7"/>
        <v>126</v>
      </c>
      <c r="B205" s="534" t="s">
        <v>133</v>
      </c>
      <c r="C205" s="535"/>
      <c r="D205" s="40" t="s">
        <v>138</v>
      </c>
      <c r="E205" s="41"/>
      <c r="F205" s="41"/>
      <c r="G205" s="42" t="s">
        <v>50</v>
      </c>
      <c r="H205" s="42">
        <v>2015</v>
      </c>
      <c r="I205" s="43" t="s">
        <v>136</v>
      </c>
      <c r="J205" s="44" t="s">
        <v>60</v>
      </c>
      <c r="K205" s="63">
        <v>6026316</v>
      </c>
      <c r="L205" s="43" t="s">
        <v>26</v>
      </c>
      <c r="M205" s="41"/>
      <c r="N205" s="41"/>
      <c r="O205" s="109" t="s">
        <v>494</v>
      </c>
      <c r="P205" s="214"/>
      <c r="Q205" s="217" t="str">
        <f t="shared" ref="Q205:Q260" si="11">B205</f>
        <v>PC Unit</v>
      </c>
      <c r="R205" s="217"/>
      <c r="S205" s="218">
        <f t="shared" ref="S205:S260" si="12">H205</f>
        <v>2015</v>
      </c>
      <c r="T205" s="218" t="str">
        <f t="shared" ref="T205:T260" si="13">J205</f>
        <v>0014</v>
      </c>
      <c r="U205" s="217"/>
      <c r="V205" s="218"/>
      <c r="W205" s="222"/>
      <c r="X205" s="13"/>
      <c r="Y205" s="13"/>
    </row>
    <row r="206" spans="1:25" ht="47.25" x14ac:dyDescent="0.25">
      <c r="A206" s="47">
        <f t="shared" si="7"/>
        <v>127</v>
      </c>
      <c r="B206" s="534" t="s">
        <v>133</v>
      </c>
      <c r="C206" s="535"/>
      <c r="D206" s="40" t="s">
        <v>138</v>
      </c>
      <c r="E206" s="41"/>
      <c r="F206" s="41"/>
      <c r="G206" s="42" t="s">
        <v>50</v>
      </c>
      <c r="H206" s="43">
        <v>2015</v>
      </c>
      <c r="I206" s="43" t="s">
        <v>136</v>
      </c>
      <c r="J206" s="44" t="s">
        <v>83</v>
      </c>
      <c r="K206" s="63">
        <v>6026316</v>
      </c>
      <c r="L206" s="43" t="s">
        <v>26</v>
      </c>
      <c r="M206" s="41"/>
      <c r="N206" s="45"/>
      <c r="O206" s="40" t="s">
        <v>378</v>
      </c>
      <c r="P206" s="214"/>
      <c r="Q206" s="217" t="str">
        <f t="shared" si="11"/>
        <v>PC Unit</v>
      </c>
      <c r="R206" s="217"/>
      <c r="S206" s="218">
        <f t="shared" si="12"/>
        <v>2015</v>
      </c>
      <c r="T206" s="218" t="str">
        <f t="shared" si="13"/>
        <v>0015</v>
      </c>
      <c r="U206" s="217"/>
      <c r="V206" s="218"/>
      <c r="W206" s="222"/>
      <c r="X206" s="13"/>
      <c r="Y206" s="13"/>
    </row>
    <row r="207" spans="1:25" ht="31.5" x14ac:dyDescent="0.25">
      <c r="A207" s="47">
        <f t="shared" si="7"/>
        <v>128</v>
      </c>
      <c r="B207" s="443" t="s">
        <v>133</v>
      </c>
      <c r="C207" s="444"/>
      <c r="D207" s="26" t="s">
        <v>138</v>
      </c>
      <c r="E207" s="12"/>
      <c r="F207" s="12"/>
      <c r="G207" s="32" t="s">
        <v>50</v>
      </c>
      <c r="H207" s="30">
        <v>2017</v>
      </c>
      <c r="I207" s="9" t="s">
        <v>136</v>
      </c>
      <c r="J207" s="11" t="s">
        <v>89</v>
      </c>
      <c r="K207" s="20">
        <v>6976243</v>
      </c>
      <c r="L207" s="9" t="s">
        <v>26</v>
      </c>
      <c r="M207" s="32"/>
      <c r="N207" s="32"/>
      <c r="O207" s="26" t="s">
        <v>519</v>
      </c>
      <c r="P207" s="214"/>
      <c r="Q207" s="217" t="str">
        <f t="shared" si="11"/>
        <v>PC Unit</v>
      </c>
      <c r="R207" s="217"/>
      <c r="S207" s="218">
        <f t="shared" si="12"/>
        <v>2017</v>
      </c>
      <c r="T207" s="218" t="str">
        <f t="shared" si="13"/>
        <v>0016</v>
      </c>
      <c r="U207" s="217"/>
      <c r="V207" s="218"/>
      <c r="W207" s="222"/>
      <c r="X207" s="13"/>
      <c r="Y207" s="13"/>
    </row>
    <row r="208" spans="1:25" ht="110.25" x14ac:dyDescent="0.25">
      <c r="A208" s="47">
        <f t="shared" si="7"/>
        <v>129</v>
      </c>
      <c r="B208" s="443" t="s">
        <v>133</v>
      </c>
      <c r="C208" s="444"/>
      <c r="D208" s="26" t="s">
        <v>134</v>
      </c>
      <c r="E208" s="27"/>
      <c r="F208" s="27"/>
      <c r="G208" s="32" t="s">
        <v>50</v>
      </c>
      <c r="H208" s="30" t="s">
        <v>135</v>
      </c>
      <c r="I208" s="9" t="s">
        <v>136</v>
      </c>
      <c r="J208" s="11" t="s">
        <v>200</v>
      </c>
      <c r="K208" s="19">
        <v>3922641.51</v>
      </c>
      <c r="L208" s="9" t="s">
        <v>26</v>
      </c>
      <c r="M208" s="27"/>
      <c r="N208" s="27"/>
      <c r="O208" s="50" t="s">
        <v>528</v>
      </c>
      <c r="P208" s="214"/>
      <c r="Q208" s="217" t="str">
        <f t="shared" si="11"/>
        <v>PC Unit</v>
      </c>
      <c r="R208" s="217"/>
      <c r="S208" s="218" t="str">
        <f t="shared" si="12"/>
        <v>2013                       16 Inci</v>
      </c>
      <c r="T208" s="218" t="str">
        <f t="shared" si="13"/>
        <v>0017</v>
      </c>
      <c r="U208" s="217"/>
      <c r="V208" s="218"/>
      <c r="W208" s="222"/>
      <c r="X208" s="13"/>
      <c r="Y208" s="13"/>
    </row>
    <row r="209" spans="1:25" ht="18" x14ac:dyDescent="0.25">
      <c r="K209" s="232">
        <f>SUM(K198:K208)</f>
        <v>54341125.529999994</v>
      </c>
      <c r="P209" s="214"/>
      <c r="Q209" s="217" t="str">
        <f>B220</f>
        <v>PC Unit</v>
      </c>
      <c r="R209" s="217"/>
      <c r="S209" s="218">
        <f>H220</f>
        <v>2019</v>
      </c>
      <c r="T209" s="218" t="str">
        <f>J220</f>
        <v>0018</v>
      </c>
      <c r="U209" s="217"/>
      <c r="V209" s="218"/>
      <c r="W209" s="222"/>
      <c r="X209" s="13"/>
      <c r="Y209" s="13"/>
    </row>
    <row r="210" spans="1:25" ht="18" x14ac:dyDescent="0.25">
      <c r="P210" s="214"/>
      <c r="Q210" s="217" t="str">
        <f>B221</f>
        <v>PC Unit</v>
      </c>
      <c r="R210" s="217"/>
      <c r="S210" s="218">
        <f>H221</f>
        <v>2019</v>
      </c>
      <c r="T210" s="218" t="str">
        <f>J221</f>
        <v>0019</v>
      </c>
      <c r="U210" s="217"/>
      <c r="V210" s="218"/>
      <c r="W210" s="222"/>
      <c r="X210" s="13"/>
      <c r="Y210" s="13"/>
    </row>
    <row r="211" spans="1:25" ht="18" x14ac:dyDescent="0.25">
      <c r="P211" s="214"/>
      <c r="Q211" s="217" t="str">
        <f>B222</f>
        <v>PC Unit</v>
      </c>
      <c r="R211" s="217"/>
      <c r="S211" s="218">
        <f>H222</f>
        <v>2019</v>
      </c>
      <c r="T211" s="218" t="str">
        <f>J222</f>
        <v>0020</v>
      </c>
      <c r="U211" s="217"/>
      <c r="V211" s="218"/>
      <c r="W211" s="222"/>
      <c r="X211" s="13"/>
      <c r="Y211" s="13"/>
    </row>
    <row r="212" spans="1:25" ht="18" x14ac:dyDescent="0.25">
      <c r="P212" s="214"/>
      <c r="Q212" s="217" t="str">
        <f>B223</f>
        <v>PC Unit</v>
      </c>
      <c r="R212" s="217"/>
      <c r="S212" s="218">
        <f>H223</f>
        <v>2020</v>
      </c>
      <c r="T212" s="218" t="str">
        <f>J223</f>
        <v>0021</v>
      </c>
      <c r="U212" s="217"/>
      <c r="V212" s="218"/>
      <c r="W212" s="222"/>
      <c r="X212" s="13"/>
      <c r="Y212" s="13"/>
    </row>
    <row r="213" spans="1:25" ht="18" x14ac:dyDescent="0.25">
      <c r="A213" s="157"/>
      <c r="B213" s="67"/>
      <c r="C213" s="67"/>
      <c r="D213" s="68"/>
      <c r="E213" s="110"/>
      <c r="F213" s="110"/>
      <c r="G213" s="69"/>
      <c r="H213" s="80"/>
      <c r="I213" s="70"/>
      <c r="J213" s="71"/>
      <c r="K213" s="101"/>
      <c r="L213" s="70"/>
      <c r="M213" s="110"/>
      <c r="N213" s="110"/>
      <c r="O213" s="192"/>
      <c r="P213" s="214"/>
      <c r="Q213" s="217">
        <f t="shared" si="11"/>
        <v>0</v>
      </c>
      <c r="R213" s="217"/>
      <c r="S213" s="218">
        <f t="shared" si="12"/>
        <v>0</v>
      </c>
      <c r="T213" s="218">
        <f t="shared" si="13"/>
        <v>0</v>
      </c>
      <c r="U213" s="217"/>
      <c r="V213" s="218"/>
      <c r="W213" s="222"/>
      <c r="X213" s="13"/>
      <c r="Y213" s="13"/>
    </row>
    <row r="214" spans="1:25" ht="18" x14ac:dyDescent="0.25">
      <c r="A214" s="157"/>
      <c r="B214" s="67"/>
      <c r="C214" s="67"/>
      <c r="D214" s="68"/>
      <c r="E214" s="110"/>
      <c r="F214" s="110"/>
      <c r="G214" s="69"/>
      <c r="H214" s="80"/>
      <c r="I214" s="70"/>
      <c r="J214" s="71"/>
      <c r="K214" s="101"/>
      <c r="L214" s="70"/>
      <c r="M214" s="110"/>
      <c r="N214" s="110"/>
      <c r="O214" s="192"/>
      <c r="P214" s="214"/>
      <c r="Q214" s="217">
        <f t="shared" si="11"/>
        <v>0</v>
      </c>
      <c r="R214" s="217"/>
      <c r="S214" s="218">
        <f t="shared" si="12"/>
        <v>0</v>
      </c>
      <c r="T214" s="218">
        <f t="shared" si="13"/>
        <v>0</v>
      </c>
      <c r="U214" s="217"/>
      <c r="V214" s="218"/>
      <c r="W214" s="222"/>
      <c r="X214" s="13"/>
      <c r="Y214" s="13"/>
    </row>
    <row r="215" spans="1:25" ht="18" x14ac:dyDescent="0.25">
      <c r="A215" s="186"/>
      <c r="B215" s="82"/>
      <c r="C215" s="82"/>
      <c r="D215" s="83"/>
      <c r="E215" s="112"/>
      <c r="F215" s="112"/>
      <c r="G215" s="111"/>
      <c r="H215" s="85"/>
      <c r="I215" s="86"/>
      <c r="J215" s="87"/>
      <c r="K215" s="102"/>
      <c r="L215" s="86"/>
      <c r="M215" s="112"/>
      <c r="N215" s="112"/>
      <c r="O215" s="193"/>
      <c r="P215" s="214"/>
      <c r="Q215" s="217">
        <f t="shared" si="11"/>
        <v>0</v>
      </c>
      <c r="R215" s="217"/>
      <c r="S215" s="218">
        <f t="shared" si="12"/>
        <v>0</v>
      </c>
      <c r="T215" s="218">
        <f t="shared" si="13"/>
        <v>0</v>
      </c>
      <c r="U215" s="217"/>
      <c r="V215" s="218"/>
      <c r="W215" s="222"/>
      <c r="X215" s="13"/>
      <c r="Y215" s="13"/>
    </row>
    <row r="216" spans="1:25" ht="18" x14ac:dyDescent="0.25">
      <c r="A216" s="168" t="s">
        <v>7</v>
      </c>
      <c r="B216" s="538" t="s">
        <v>8</v>
      </c>
      <c r="C216" s="538"/>
      <c r="D216" s="168" t="s">
        <v>9</v>
      </c>
      <c r="E216" s="168" t="s">
        <v>10</v>
      </c>
      <c r="F216" s="541" t="s">
        <v>11</v>
      </c>
      <c r="G216" s="541" t="s">
        <v>12</v>
      </c>
      <c r="H216" s="168" t="s">
        <v>13</v>
      </c>
      <c r="I216" s="168"/>
      <c r="J216" s="168" t="s">
        <v>15</v>
      </c>
      <c r="K216" s="168" t="s">
        <v>16</v>
      </c>
      <c r="L216" s="544" t="s">
        <v>17</v>
      </c>
      <c r="M216" s="544"/>
      <c r="N216" s="544"/>
      <c r="O216" s="168" t="s">
        <v>18</v>
      </c>
      <c r="P216" s="214"/>
      <c r="Q216" s="217" t="str">
        <f t="shared" si="11"/>
        <v>Nama Barang</v>
      </c>
      <c r="R216" s="217"/>
      <c r="S216" s="218" t="str">
        <f t="shared" si="12"/>
        <v xml:space="preserve">Tahun </v>
      </c>
      <c r="T216" s="218" t="str">
        <f t="shared" si="13"/>
        <v xml:space="preserve">Jumlah </v>
      </c>
      <c r="U216" s="217"/>
      <c r="V216" s="218"/>
      <c r="W216" s="222"/>
      <c r="X216" s="13"/>
      <c r="Y216" s="13"/>
    </row>
    <row r="217" spans="1:25" ht="18" x14ac:dyDescent="0.25">
      <c r="A217" s="542" t="s">
        <v>19</v>
      </c>
      <c r="B217" s="546" t="s">
        <v>20</v>
      </c>
      <c r="C217" s="547"/>
      <c r="D217" s="542" t="s">
        <v>21</v>
      </c>
      <c r="E217" s="542" t="s">
        <v>22</v>
      </c>
      <c r="F217" s="542"/>
      <c r="G217" s="542"/>
      <c r="H217" s="104" t="s">
        <v>23</v>
      </c>
      <c r="I217" s="104" t="s">
        <v>14</v>
      </c>
      <c r="J217" s="104" t="s">
        <v>24</v>
      </c>
      <c r="K217" s="104" t="s">
        <v>25</v>
      </c>
      <c r="L217" s="104" t="s">
        <v>26</v>
      </c>
      <c r="M217" s="104" t="s">
        <v>27</v>
      </c>
      <c r="N217" s="104" t="s">
        <v>28</v>
      </c>
      <c r="O217" s="539" t="s">
        <v>29</v>
      </c>
      <c r="P217" s="214"/>
      <c r="Q217" s="217" t="str">
        <f t="shared" si="11"/>
        <v>Jenis Barang</v>
      </c>
      <c r="R217" s="217"/>
      <c r="S217" s="218" t="str">
        <f t="shared" si="12"/>
        <v>Pembuatan</v>
      </c>
      <c r="T217" s="218" t="str">
        <f t="shared" si="13"/>
        <v>Barang</v>
      </c>
      <c r="U217" s="217"/>
      <c r="V217" s="218"/>
      <c r="W217" s="222"/>
      <c r="X217" s="13"/>
      <c r="Y217" s="13"/>
    </row>
    <row r="218" spans="1:25" ht="18" x14ac:dyDescent="0.25">
      <c r="A218" s="543"/>
      <c r="B218" s="548"/>
      <c r="C218" s="549"/>
      <c r="D218" s="543"/>
      <c r="E218" s="543"/>
      <c r="F218" s="543"/>
      <c r="G218" s="543"/>
      <c r="H218" s="105" t="s">
        <v>30</v>
      </c>
      <c r="I218" s="105"/>
      <c r="J218" s="105" t="s">
        <v>31</v>
      </c>
      <c r="K218" s="105" t="s">
        <v>32</v>
      </c>
      <c r="L218" s="105" t="s">
        <v>33</v>
      </c>
      <c r="M218" s="105" t="s">
        <v>34</v>
      </c>
      <c r="N218" s="105" t="s">
        <v>35</v>
      </c>
      <c r="O218" s="540"/>
      <c r="P218" s="214"/>
      <c r="Q218" s="217">
        <f t="shared" si="11"/>
        <v>0</v>
      </c>
      <c r="R218" s="217"/>
      <c r="S218" s="218" t="str">
        <f t="shared" si="12"/>
        <v>Atau Pembelian</v>
      </c>
      <c r="T218" s="218" t="str">
        <f t="shared" si="13"/>
        <v>Register x)</v>
      </c>
      <c r="U218" s="217"/>
      <c r="V218" s="218"/>
      <c r="W218" s="222"/>
      <c r="X218" s="13"/>
      <c r="Y218" s="13"/>
    </row>
    <row r="219" spans="1:25" ht="18" x14ac:dyDescent="0.25">
      <c r="A219" s="47">
        <v>1</v>
      </c>
      <c r="B219" s="536">
        <v>2</v>
      </c>
      <c r="C219" s="537"/>
      <c r="D219" s="166">
        <v>3</v>
      </c>
      <c r="E219" s="166">
        <v>4</v>
      </c>
      <c r="F219" s="167">
        <v>5</v>
      </c>
      <c r="G219" s="167">
        <v>6</v>
      </c>
      <c r="H219" s="104">
        <v>7</v>
      </c>
      <c r="I219" s="104">
        <v>8</v>
      </c>
      <c r="J219" s="104">
        <v>9</v>
      </c>
      <c r="K219" s="104">
        <v>10</v>
      </c>
      <c r="L219" s="104">
        <v>11</v>
      </c>
      <c r="M219" s="104">
        <v>12</v>
      </c>
      <c r="N219" s="104">
        <v>13</v>
      </c>
      <c r="O219" s="166">
        <v>14</v>
      </c>
      <c r="P219" s="214"/>
      <c r="Q219" s="217">
        <f t="shared" si="11"/>
        <v>2</v>
      </c>
      <c r="R219" s="217"/>
      <c r="S219" s="218">
        <f t="shared" si="12"/>
        <v>7</v>
      </c>
      <c r="T219" s="218">
        <f t="shared" si="13"/>
        <v>9</v>
      </c>
      <c r="U219" s="217"/>
      <c r="V219" s="218"/>
      <c r="W219" s="222"/>
      <c r="X219" s="13"/>
      <c r="Y219" s="13"/>
    </row>
    <row r="220" spans="1:25" ht="47.25" x14ac:dyDescent="0.25">
      <c r="A220" s="47">
        <f>A208+1</f>
        <v>130</v>
      </c>
      <c r="B220" s="443" t="s">
        <v>133</v>
      </c>
      <c r="C220" s="444"/>
      <c r="D220" s="26" t="s">
        <v>406</v>
      </c>
      <c r="E220" s="32"/>
      <c r="F220" s="32"/>
      <c r="G220" s="32" t="s">
        <v>50</v>
      </c>
      <c r="H220" s="30">
        <v>2019</v>
      </c>
      <c r="I220" s="9" t="s">
        <v>136</v>
      </c>
      <c r="J220" s="11" t="s">
        <v>88</v>
      </c>
      <c r="K220" s="20">
        <v>5327418</v>
      </c>
      <c r="L220" s="9" t="s">
        <v>26</v>
      </c>
      <c r="M220" s="32"/>
      <c r="N220" s="32"/>
      <c r="O220" s="50" t="s">
        <v>529</v>
      </c>
      <c r="P220" s="214"/>
      <c r="Q220" s="217"/>
      <c r="R220" s="217"/>
      <c r="S220" s="218"/>
      <c r="T220" s="218"/>
      <c r="U220" s="217"/>
      <c r="V220" s="218"/>
      <c r="W220" s="222"/>
      <c r="X220" s="13"/>
      <c r="Y220" s="13"/>
    </row>
    <row r="221" spans="1:25" ht="47.25" x14ac:dyDescent="0.25">
      <c r="A221" s="47">
        <f>A220+1</f>
        <v>131</v>
      </c>
      <c r="B221" s="443" t="s">
        <v>133</v>
      </c>
      <c r="C221" s="444"/>
      <c r="D221" s="26" t="s">
        <v>406</v>
      </c>
      <c r="E221" s="32"/>
      <c r="F221" s="32"/>
      <c r="G221" s="32" t="s">
        <v>50</v>
      </c>
      <c r="H221" s="30">
        <v>2019</v>
      </c>
      <c r="I221" s="9" t="s">
        <v>136</v>
      </c>
      <c r="J221" s="11" t="s">
        <v>382</v>
      </c>
      <c r="K221" s="20">
        <v>5327418</v>
      </c>
      <c r="L221" s="9" t="s">
        <v>26</v>
      </c>
      <c r="M221" s="32"/>
      <c r="N221" s="32"/>
      <c r="O221" s="50" t="s">
        <v>532</v>
      </c>
      <c r="P221" s="214"/>
      <c r="Q221" s="217"/>
      <c r="R221" s="217"/>
      <c r="S221" s="218"/>
      <c r="T221" s="218"/>
      <c r="U221" s="217"/>
      <c r="V221" s="218"/>
      <c r="W221" s="222"/>
      <c r="X221" s="13"/>
      <c r="Y221" s="13"/>
    </row>
    <row r="222" spans="1:25" ht="47.25" x14ac:dyDescent="0.25">
      <c r="A222" s="47">
        <f>A221+1</f>
        <v>132</v>
      </c>
      <c r="B222" s="443" t="s">
        <v>133</v>
      </c>
      <c r="C222" s="444"/>
      <c r="D222" s="26" t="s">
        <v>406</v>
      </c>
      <c r="E222" s="27"/>
      <c r="F222" s="27"/>
      <c r="G222" s="32" t="s">
        <v>50</v>
      </c>
      <c r="H222" s="30">
        <v>2019</v>
      </c>
      <c r="I222" s="9" t="s">
        <v>136</v>
      </c>
      <c r="J222" s="11" t="s">
        <v>140</v>
      </c>
      <c r="K222" s="19">
        <v>5327418</v>
      </c>
      <c r="L222" s="9" t="s">
        <v>26</v>
      </c>
      <c r="M222" s="27"/>
      <c r="N222" s="27"/>
      <c r="O222" s="50" t="s">
        <v>530</v>
      </c>
      <c r="P222" s="214"/>
      <c r="Q222" s="217"/>
      <c r="R222" s="217"/>
      <c r="S222" s="218"/>
      <c r="T222" s="218"/>
      <c r="U222" s="217"/>
      <c r="V222" s="218"/>
      <c r="W222" s="222"/>
      <c r="X222" s="13"/>
      <c r="Y222" s="13"/>
    </row>
    <row r="223" spans="1:25" ht="47.25" x14ac:dyDescent="0.25">
      <c r="A223" s="47">
        <f>A222+1</f>
        <v>133</v>
      </c>
      <c r="B223" s="443" t="s">
        <v>133</v>
      </c>
      <c r="C223" s="444"/>
      <c r="D223" s="26" t="s">
        <v>276</v>
      </c>
      <c r="E223" s="27"/>
      <c r="F223" s="27"/>
      <c r="G223" s="32" t="s">
        <v>91</v>
      </c>
      <c r="H223" s="30">
        <v>2020</v>
      </c>
      <c r="I223" s="9" t="s">
        <v>136</v>
      </c>
      <c r="J223" s="11" t="s">
        <v>145</v>
      </c>
      <c r="K223" s="19">
        <v>5567960</v>
      </c>
      <c r="L223" s="9" t="s">
        <v>26</v>
      </c>
      <c r="M223" s="27"/>
      <c r="N223" s="27"/>
      <c r="O223" s="50" t="s">
        <v>533</v>
      </c>
      <c r="P223" s="214"/>
      <c r="Q223" s="217"/>
      <c r="R223" s="217"/>
      <c r="S223" s="218"/>
      <c r="T223" s="218"/>
      <c r="U223" s="217"/>
      <c r="V223" s="218"/>
      <c r="W223" s="222"/>
      <c r="X223" s="13"/>
      <c r="Y223" s="13"/>
    </row>
    <row r="224" spans="1:25" ht="47.25" x14ac:dyDescent="0.25">
      <c r="A224" s="47">
        <f>A223+1</f>
        <v>134</v>
      </c>
      <c r="B224" s="443" t="s">
        <v>133</v>
      </c>
      <c r="C224" s="444"/>
      <c r="D224" s="26" t="s">
        <v>432</v>
      </c>
      <c r="E224" s="12"/>
      <c r="F224" s="12"/>
      <c r="G224" s="9" t="s">
        <v>91</v>
      </c>
      <c r="H224" s="9">
        <v>2020</v>
      </c>
      <c r="I224" s="9" t="s">
        <v>136</v>
      </c>
      <c r="J224" s="11" t="s">
        <v>251</v>
      </c>
      <c r="K224" s="172">
        <v>6996010</v>
      </c>
      <c r="L224" s="9" t="s">
        <v>26</v>
      </c>
      <c r="M224" s="12"/>
      <c r="N224" s="12"/>
      <c r="O224" s="26" t="s">
        <v>515</v>
      </c>
      <c r="P224" s="214"/>
      <c r="Q224" s="217" t="str">
        <f t="shared" si="11"/>
        <v>PC Unit</v>
      </c>
      <c r="R224" s="217"/>
      <c r="S224" s="218">
        <f t="shared" si="12"/>
        <v>2020</v>
      </c>
      <c r="T224" s="218" t="str">
        <f t="shared" si="13"/>
        <v>0022</v>
      </c>
      <c r="U224" s="217"/>
      <c r="V224" s="218"/>
      <c r="W224" s="222"/>
      <c r="X224" s="13"/>
      <c r="Y224" s="13"/>
    </row>
    <row r="225" spans="1:25" ht="31.5" x14ac:dyDescent="0.25">
      <c r="A225" s="47">
        <f t="shared" ref="A225:A316" si="14">A224+1</f>
        <v>135</v>
      </c>
      <c r="B225" s="534" t="s">
        <v>84</v>
      </c>
      <c r="C225" s="535"/>
      <c r="D225" s="48" t="s">
        <v>270</v>
      </c>
      <c r="E225" s="41"/>
      <c r="F225" s="41"/>
      <c r="G225" s="43" t="s">
        <v>50</v>
      </c>
      <c r="H225" s="43">
        <v>2016</v>
      </c>
      <c r="I225" s="43" t="s">
        <v>92</v>
      </c>
      <c r="J225" s="44" t="s">
        <v>140</v>
      </c>
      <c r="K225" s="63">
        <v>3142612</v>
      </c>
      <c r="L225" s="43" t="s">
        <v>26</v>
      </c>
      <c r="M225" s="41"/>
      <c r="N225" s="41"/>
      <c r="O225" s="109" t="s">
        <v>501</v>
      </c>
      <c r="P225" s="214"/>
      <c r="Q225" s="217" t="str">
        <f t="shared" si="11"/>
        <v>Printer</v>
      </c>
      <c r="R225" s="217"/>
      <c r="S225" s="218">
        <f t="shared" si="12"/>
        <v>2016</v>
      </c>
      <c r="T225" s="218" t="str">
        <f t="shared" si="13"/>
        <v>0020</v>
      </c>
      <c r="U225" s="217"/>
      <c r="V225" s="218"/>
      <c r="W225" s="222"/>
      <c r="X225" s="13"/>
      <c r="Y225" s="13"/>
    </row>
    <row r="226" spans="1:25" ht="47.25" x14ac:dyDescent="0.25">
      <c r="A226" s="47">
        <f t="shared" si="14"/>
        <v>136</v>
      </c>
      <c r="B226" s="557" t="s">
        <v>126</v>
      </c>
      <c r="C226" s="558"/>
      <c r="D226" s="26" t="s">
        <v>407</v>
      </c>
      <c r="E226" s="32"/>
      <c r="F226" s="32"/>
      <c r="G226" s="26" t="s">
        <v>50</v>
      </c>
      <c r="H226" s="9">
        <v>2016</v>
      </c>
      <c r="I226" s="9" t="s">
        <v>92</v>
      </c>
      <c r="J226" s="11" t="s">
        <v>145</v>
      </c>
      <c r="K226" s="20">
        <v>3142612</v>
      </c>
      <c r="L226" s="9" t="s">
        <v>26</v>
      </c>
      <c r="M226" s="32"/>
      <c r="N226" s="32"/>
      <c r="O226" s="50" t="s">
        <v>529</v>
      </c>
      <c r="P226" s="214"/>
      <c r="Q226" s="217" t="str">
        <f t="shared" si="11"/>
        <v xml:space="preserve">Printer </v>
      </c>
      <c r="R226" s="217"/>
      <c r="S226" s="218">
        <f t="shared" si="12"/>
        <v>2016</v>
      </c>
      <c r="T226" s="218" t="str">
        <f t="shared" si="13"/>
        <v>0021</v>
      </c>
      <c r="U226" s="217"/>
      <c r="V226" s="218"/>
      <c r="W226" s="222"/>
      <c r="X226" s="13"/>
      <c r="Y226" s="13"/>
    </row>
    <row r="227" spans="1:25" ht="31.5" x14ac:dyDescent="0.25">
      <c r="A227" s="47">
        <f t="shared" si="14"/>
        <v>137</v>
      </c>
      <c r="B227" s="534" t="s">
        <v>84</v>
      </c>
      <c r="C227" s="535"/>
      <c r="D227" s="48" t="s">
        <v>270</v>
      </c>
      <c r="E227" s="41"/>
      <c r="F227" s="41"/>
      <c r="G227" s="43" t="s">
        <v>50</v>
      </c>
      <c r="H227" s="43">
        <v>2016</v>
      </c>
      <c r="I227" s="43" t="s">
        <v>92</v>
      </c>
      <c r="J227" s="44" t="s">
        <v>251</v>
      </c>
      <c r="K227" s="63">
        <v>3142612</v>
      </c>
      <c r="L227" s="43" t="s">
        <v>26</v>
      </c>
      <c r="M227" s="41"/>
      <c r="N227" s="41"/>
      <c r="O227" s="109" t="s">
        <v>494</v>
      </c>
      <c r="P227" s="214"/>
      <c r="Q227" s="217" t="str">
        <f t="shared" si="11"/>
        <v>Printer</v>
      </c>
      <c r="R227" s="217"/>
      <c r="S227" s="218">
        <f t="shared" si="12"/>
        <v>2016</v>
      </c>
      <c r="T227" s="218" t="str">
        <f t="shared" si="13"/>
        <v>0022</v>
      </c>
      <c r="U227" s="217"/>
      <c r="V227" s="218"/>
      <c r="W227" s="222"/>
      <c r="X227" s="13"/>
      <c r="Y227" s="13"/>
    </row>
    <row r="228" spans="1:25" ht="47.25" x14ac:dyDescent="0.25">
      <c r="A228" s="47">
        <f t="shared" si="14"/>
        <v>138</v>
      </c>
      <c r="B228" s="534" t="s">
        <v>84</v>
      </c>
      <c r="C228" s="535"/>
      <c r="D228" s="40" t="s">
        <v>168</v>
      </c>
      <c r="E228" s="41"/>
      <c r="F228" s="41"/>
      <c r="G228" s="43" t="s">
        <v>50</v>
      </c>
      <c r="H228" s="43">
        <v>2016</v>
      </c>
      <c r="I228" s="43" t="s">
        <v>92</v>
      </c>
      <c r="J228" s="44" t="s">
        <v>215</v>
      </c>
      <c r="K228" s="63">
        <v>3142612</v>
      </c>
      <c r="L228" s="43" t="s">
        <v>26</v>
      </c>
      <c r="M228" s="41"/>
      <c r="N228" s="41"/>
      <c r="O228" s="40" t="s">
        <v>378</v>
      </c>
      <c r="P228" s="214"/>
      <c r="Q228" s="217" t="str">
        <f t="shared" si="11"/>
        <v>Printer</v>
      </c>
      <c r="R228" s="217"/>
      <c r="S228" s="218">
        <f t="shared" si="12"/>
        <v>2016</v>
      </c>
      <c r="T228" s="218" t="str">
        <f t="shared" si="13"/>
        <v>0023</v>
      </c>
      <c r="U228" s="217"/>
      <c r="V228" s="218"/>
      <c r="W228" s="222"/>
      <c r="X228" s="13"/>
      <c r="Y228" s="13"/>
    </row>
    <row r="229" spans="1:25" ht="47.25" x14ac:dyDescent="0.25">
      <c r="A229" s="47">
        <f t="shared" si="14"/>
        <v>139</v>
      </c>
      <c r="B229" s="443" t="s">
        <v>126</v>
      </c>
      <c r="C229" s="444"/>
      <c r="D229" s="26" t="s">
        <v>127</v>
      </c>
      <c r="E229" s="32"/>
      <c r="F229" s="32"/>
      <c r="G229" s="30" t="s">
        <v>50</v>
      </c>
      <c r="H229" s="9">
        <v>2016</v>
      </c>
      <c r="I229" s="9" t="s">
        <v>92</v>
      </c>
      <c r="J229" s="11" t="s">
        <v>128</v>
      </c>
      <c r="K229" s="20">
        <v>2000000</v>
      </c>
      <c r="L229" s="9" t="s">
        <v>26</v>
      </c>
      <c r="M229" s="32"/>
      <c r="N229" s="27"/>
      <c r="O229" s="50" t="s">
        <v>528</v>
      </c>
      <c r="P229" s="214"/>
      <c r="Q229" s="217" t="str">
        <f t="shared" si="11"/>
        <v xml:space="preserve">Printer </v>
      </c>
      <c r="R229" s="217"/>
      <c r="S229" s="218">
        <f t="shared" si="12"/>
        <v>2016</v>
      </c>
      <c r="T229" s="218" t="str">
        <f t="shared" si="13"/>
        <v>0024</v>
      </c>
      <c r="U229" s="217"/>
      <c r="V229" s="218"/>
      <c r="W229" s="222"/>
      <c r="X229" s="13"/>
      <c r="Y229" s="13"/>
    </row>
    <row r="230" spans="1:25" ht="47.25" x14ac:dyDescent="0.25">
      <c r="A230" s="47">
        <f t="shared" si="14"/>
        <v>140</v>
      </c>
      <c r="B230" s="443" t="s">
        <v>126</v>
      </c>
      <c r="C230" s="444"/>
      <c r="D230" s="26" t="s">
        <v>127</v>
      </c>
      <c r="E230" s="32"/>
      <c r="F230" s="32"/>
      <c r="G230" s="30" t="s">
        <v>50</v>
      </c>
      <c r="H230" s="9">
        <v>2016</v>
      </c>
      <c r="I230" s="9" t="s">
        <v>92</v>
      </c>
      <c r="J230" s="11" t="s">
        <v>117</v>
      </c>
      <c r="K230" s="20">
        <v>2000000</v>
      </c>
      <c r="L230" s="9" t="s">
        <v>26</v>
      </c>
      <c r="M230" s="32"/>
      <c r="N230" s="27"/>
      <c r="O230" s="50" t="s">
        <v>530</v>
      </c>
      <c r="P230" s="214"/>
      <c r="Q230" s="217" t="str">
        <f t="shared" si="11"/>
        <v xml:space="preserve">Printer </v>
      </c>
      <c r="R230" s="217"/>
      <c r="S230" s="218">
        <f t="shared" si="12"/>
        <v>2016</v>
      </c>
      <c r="T230" s="218" t="str">
        <f t="shared" si="13"/>
        <v>0025</v>
      </c>
      <c r="U230" s="217"/>
      <c r="V230" s="218"/>
      <c r="W230" s="222"/>
      <c r="X230" s="13"/>
      <c r="Y230" s="13"/>
    </row>
    <row r="231" spans="1:25" ht="31.5" x14ac:dyDescent="0.25">
      <c r="A231" s="47">
        <f t="shared" si="14"/>
        <v>141</v>
      </c>
      <c r="B231" s="443" t="s">
        <v>84</v>
      </c>
      <c r="C231" s="444"/>
      <c r="D231" s="26" t="s">
        <v>421</v>
      </c>
      <c r="E231" s="32"/>
      <c r="F231" s="32"/>
      <c r="G231" s="9"/>
      <c r="H231" s="9">
        <v>2017</v>
      </c>
      <c r="I231" s="9" t="s">
        <v>92</v>
      </c>
      <c r="J231" s="11" t="s">
        <v>303</v>
      </c>
      <c r="K231" s="89">
        <v>2173757</v>
      </c>
      <c r="L231" s="9" t="s">
        <v>26</v>
      </c>
      <c r="M231" s="32"/>
      <c r="N231" s="32"/>
      <c r="O231" s="26" t="s">
        <v>519</v>
      </c>
      <c r="P231" s="214"/>
      <c r="Q231" s="217" t="str">
        <f t="shared" si="11"/>
        <v>Printer</v>
      </c>
      <c r="R231" s="217"/>
      <c r="S231" s="218">
        <f t="shared" si="12"/>
        <v>2017</v>
      </c>
      <c r="T231" s="218" t="str">
        <f t="shared" si="13"/>
        <v>0026</v>
      </c>
      <c r="U231" s="217"/>
      <c r="V231" s="218"/>
      <c r="W231" s="222"/>
      <c r="X231" s="13"/>
      <c r="Y231" s="13"/>
    </row>
    <row r="232" spans="1:25" ht="31.5" x14ac:dyDescent="0.25">
      <c r="A232" s="47">
        <f t="shared" si="14"/>
        <v>142</v>
      </c>
      <c r="B232" s="534" t="s">
        <v>84</v>
      </c>
      <c r="C232" s="535"/>
      <c r="D232" s="48" t="s">
        <v>256</v>
      </c>
      <c r="E232" s="41"/>
      <c r="F232" s="41"/>
      <c r="G232" s="43" t="s">
        <v>50</v>
      </c>
      <c r="H232" s="43">
        <v>2017</v>
      </c>
      <c r="I232" s="43" t="s">
        <v>92</v>
      </c>
      <c r="J232" s="44" t="s">
        <v>118</v>
      </c>
      <c r="K232" s="63">
        <v>2173757</v>
      </c>
      <c r="L232" s="43" t="s">
        <v>26</v>
      </c>
      <c r="M232" s="41"/>
      <c r="N232" s="41"/>
      <c r="O232" s="109" t="s">
        <v>502</v>
      </c>
      <c r="P232" s="214"/>
      <c r="Q232" s="217" t="str">
        <f t="shared" si="11"/>
        <v>Printer</v>
      </c>
      <c r="R232" s="217"/>
      <c r="S232" s="218">
        <f t="shared" si="12"/>
        <v>2017</v>
      </c>
      <c r="T232" s="218" t="str">
        <f t="shared" si="13"/>
        <v>0027</v>
      </c>
      <c r="U232" s="217"/>
      <c r="V232" s="218"/>
      <c r="W232" s="222"/>
      <c r="X232" s="13"/>
      <c r="Y232" s="13"/>
    </row>
    <row r="233" spans="1:25" ht="31.5" x14ac:dyDescent="0.25">
      <c r="A233" s="47">
        <f t="shared" si="14"/>
        <v>143</v>
      </c>
      <c r="B233" s="443" t="s">
        <v>84</v>
      </c>
      <c r="C233" s="444"/>
      <c r="D233" s="26" t="s">
        <v>168</v>
      </c>
      <c r="E233" s="12"/>
      <c r="F233" s="12"/>
      <c r="G233" s="9"/>
      <c r="H233" s="9">
        <v>2018</v>
      </c>
      <c r="I233" s="9" t="s">
        <v>92</v>
      </c>
      <c r="J233" s="11" t="s">
        <v>204</v>
      </c>
      <c r="K233" s="172">
        <v>2428691</v>
      </c>
      <c r="L233" s="9" t="s">
        <v>26</v>
      </c>
      <c r="M233" s="12"/>
      <c r="N233" s="12"/>
      <c r="O233" s="10" t="s">
        <v>515</v>
      </c>
      <c r="P233" s="214"/>
      <c r="Q233" s="217" t="str">
        <f t="shared" si="11"/>
        <v>Printer</v>
      </c>
      <c r="R233" s="217"/>
      <c r="S233" s="218">
        <f t="shared" si="12"/>
        <v>2018</v>
      </c>
      <c r="T233" s="218" t="str">
        <f t="shared" si="13"/>
        <v>0028</v>
      </c>
      <c r="U233" s="217"/>
      <c r="V233" s="218"/>
      <c r="W233" s="222"/>
      <c r="X233" s="13"/>
      <c r="Y233" s="13"/>
    </row>
    <row r="234" spans="1:25" ht="31.5" x14ac:dyDescent="0.25">
      <c r="A234" s="47">
        <f t="shared" si="14"/>
        <v>144</v>
      </c>
      <c r="B234" s="443" t="s">
        <v>84</v>
      </c>
      <c r="C234" s="444"/>
      <c r="D234" s="26" t="s">
        <v>168</v>
      </c>
      <c r="E234" s="32"/>
      <c r="F234" s="32"/>
      <c r="G234" s="9"/>
      <c r="H234" s="9">
        <v>2018</v>
      </c>
      <c r="I234" s="9" t="s">
        <v>92</v>
      </c>
      <c r="J234" s="11" t="s">
        <v>169</v>
      </c>
      <c r="K234" s="89">
        <v>2428691</v>
      </c>
      <c r="L234" s="9" t="s">
        <v>26</v>
      </c>
      <c r="M234" s="32"/>
      <c r="N234" s="32"/>
      <c r="O234" s="50" t="s">
        <v>525</v>
      </c>
      <c r="P234" s="214"/>
      <c r="Q234" s="217" t="str">
        <f t="shared" si="11"/>
        <v>Printer</v>
      </c>
      <c r="R234" s="217"/>
      <c r="S234" s="218">
        <f t="shared" si="12"/>
        <v>2018</v>
      </c>
      <c r="T234" s="218" t="str">
        <f t="shared" si="13"/>
        <v>0029</v>
      </c>
      <c r="U234" s="217"/>
      <c r="V234" s="218"/>
      <c r="W234" s="222"/>
      <c r="X234" s="13"/>
      <c r="Y234" s="13"/>
    </row>
    <row r="235" spans="1:25" ht="47.25" x14ac:dyDescent="0.25">
      <c r="A235" s="47">
        <f t="shared" si="14"/>
        <v>145</v>
      </c>
      <c r="B235" s="443" t="s">
        <v>126</v>
      </c>
      <c r="C235" s="444"/>
      <c r="D235" s="26" t="s">
        <v>131</v>
      </c>
      <c r="E235" s="32"/>
      <c r="F235" s="32"/>
      <c r="G235" s="30" t="s">
        <v>56</v>
      </c>
      <c r="H235" s="9">
        <v>2019</v>
      </c>
      <c r="I235" s="9" t="s">
        <v>92</v>
      </c>
      <c r="J235" s="11" t="s">
        <v>130</v>
      </c>
      <c r="K235" s="20">
        <v>2512933</v>
      </c>
      <c r="L235" s="9" t="s">
        <v>26</v>
      </c>
      <c r="M235" s="32"/>
      <c r="N235" s="27"/>
      <c r="O235" s="50" t="s">
        <v>533</v>
      </c>
      <c r="P235" s="214"/>
      <c r="Q235" s="217" t="str">
        <f t="shared" si="11"/>
        <v xml:space="preserve">Printer </v>
      </c>
      <c r="R235" s="217"/>
      <c r="S235" s="218">
        <f t="shared" si="12"/>
        <v>2019</v>
      </c>
      <c r="T235" s="218" t="str">
        <f t="shared" si="13"/>
        <v>0030</v>
      </c>
      <c r="U235" s="217"/>
      <c r="V235" s="218"/>
      <c r="W235" s="222"/>
      <c r="X235" s="13"/>
      <c r="Y235" s="13"/>
    </row>
    <row r="236" spans="1:25" ht="94.5" x14ac:dyDescent="0.25">
      <c r="A236" s="47">
        <f t="shared" si="14"/>
        <v>146</v>
      </c>
      <c r="B236" s="443" t="s">
        <v>126</v>
      </c>
      <c r="C236" s="444"/>
      <c r="D236" s="26" t="s">
        <v>129</v>
      </c>
      <c r="E236" s="32"/>
      <c r="F236" s="32"/>
      <c r="G236" s="30"/>
      <c r="H236" s="9">
        <v>2019</v>
      </c>
      <c r="I236" s="9" t="s">
        <v>92</v>
      </c>
      <c r="J236" s="11" t="s">
        <v>64</v>
      </c>
      <c r="K236" s="20">
        <v>11056905</v>
      </c>
      <c r="L236" s="9" t="s">
        <v>26</v>
      </c>
      <c r="M236" s="32"/>
      <c r="N236" s="27"/>
      <c r="O236" s="50" t="s">
        <v>535</v>
      </c>
      <c r="P236" s="214"/>
      <c r="Q236" s="217" t="str">
        <f t="shared" si="11"/>
        <v xml:space="preserve">Printer </v>
      </c>
      <c r="R236" s="217"/>
      <c r="S236" s="218">
        <f t="shared" si="12"/>
        <v>2019</v>
      </c>
      <c r="T236" s="218" t="str">
        <f t="shared" si="13"/>
        <v>0031</v>
      </c>
      <c r="U236" s="217"/>
      <c r="V236" s="218"/>
      <c r="W236" s="222"/>
      <c r="X236" s="13"/>
      <c r="Y236" s="13"/>
    </row>
    <row r="237" spans="1:25" ht="18" x14ac:dyDescent="0.25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231">
        <f>SUM(K220:K236)</f>
        <v>67891406</v>
      </c>
      <c r="L237" s="75"/>
      <c r="M237" s="75"/>
      <c r="N237" s="75"/>
      <c r="O237" s="75"/>
      <c r="P237" s="214"/>
      <c r="Q237" s="217" t="str">
        <f>B246</f>
        <v xml:space="preserve">Printer </v>
      </c>
      <c r="R237" s="217"/>
      <c r="S237" s="218">
        <f>H246</f>
        <v>2019</v>
      </c>
      <c r="T237" s="218" t="str">
        <f>J246</f>
        <v>0032</v>
      </c>
      <c r="U237" s="217"/>
      <c r="V237" s="218"/>
      <c r="W237" s="222"/>
      <c r="X237" s="13"/>
      <c r="Y237" s="13"/>
    </row>
    <row r="238" spans="1:25" ht="18" x14ac:dyDescent="0.25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214"/>
      <c r="Q238" s="217" t="str">
        <f>B247</f>
        <v>Printer</v>
      </c>
      <c r="R238" s="217"/>
      <c r="S238" s="218">
        <f>H247</f>
        <v>2020</v>
      </c>
      <c r="T238" s="218" t="str">
        <f>J247</f>
        <v>0033</v>
      </c>
      <c r="U238" s="217"/>
      <c r="V238" s="218"/>
      <c r="W238" s="222"/>
      <c r="X238" s="13"/>
      <c r="Y238" s="13"/>
    </row>
    <row r="239" spans="1:25" ht="18" x14ac:dyDescent="0.25">
      <c r="A239" s="157"/>
      <c r="B239" s="189"/>
      <c r="C239" s="189"/>
      <c r="D239" s="68"/>
      <c r="E239" s="110"/>
      <c r="F239" s="110"/>
      <c r="G239" s="66"/>
      <c r="H239" s="66"/>
      <c r="I239" s="70"/>
      <c r="J239" s="71"/>
      <c r="K239" s="194"/>
      <c r="L239" s="70"/>
      <c r="M239" s="110"/>
      <c r="N239" s="110"/>
      <c r="O239" s="192"/>
      <c r="P239" s="214"/>
      <c r="Q239" s="217">
        <f t="shared" si="11"/>
        <v>0</v>
      </c>
      <c r="R239" s="217"/>
      <c r="S239" s="218">
        <f t="shared" si="12"/>
        <v>0</v>
      </c>
      <c r="T239" s="218">
        <f t="shared" si="13"/>
        <v>0</v>
      </c>
      <c r="U239" s="217"/>
      <c r="V239" s="218"/>
      <c r="W239" s="222"/>
      <c r="X239" s="13"/>
      <c r="Y239" s="13"/>
    </row>
    <row r="240" spans="1:25" ht="18" x14ac:dyDescent="0.25">
      <c r="A240" s="157"/>
      <c r="B240" s="189"/>
      <c r="C240" s="189"/>
      <c r="D240" s="68"/>
      <c r="E240" s="110"/>
      <c r="F240" s="110"/>
      <c r="G240" s="66"/>
      <c r="H240" s="66"/>
      <c r="I240" s="70"/>
      <c r="J240" s="71"/>
      <c r="K240" s="194"/>
      <c r="L240" s="70"/>
      <c r="M240" s="110"/>
      <c r="N240" s="110"/>
      <c r="O240" s="192"/>
      <c r="P240" s="214"/>
      <c r="Q240" s="217">
        <f t="shared" si="11"/>
        <v>0</v>
      </c>
      <c r="R240" s="217"/>
      <c r="S240" s="218">
        <f t="shared" si="12"/>
        <v>0</v>
      </c>
      <c r="T240" s="218">
        <f t="shared" si="13"/>
        <v>0</v>
      </c>
      <c r="U240" s="217"/>
      <c r="V240" s="218"/>
      <c r="W240" s="222"/>
      <c r="X240" s="13"/>
      <c r="Y240" s="13"/>
    </row>
    <row r="241" spans="1:25" ht="18" x14ac:dyDescent="0.25">
      <c r="A241" s="186"/>
      <c r="B241" s="190"/>
      <c r="C241" s="190"/>
      <c r="D241" s="83"/>
      <c r="E241" s="112"/>
      <c r="F241" s="112"/>
      <c r="G241" s="81"/>
      <c r="H241" s="81"/>
      <c r="I241" s="86"/>
      <c r="J241" s="87"/>
      <c r="K241" s="195"/>
      <c r="L241" s="86"/>
      <c r="M241" s="112"/>
      <c r="N241" s="112"/>
      <c r="O241" s="193"/>
      <c r="P241" s="214"/>
      <c r="Q241" s="217">
        <f t="shared" si="11"/>
        <v>0</v>
      </c>
      <c r="R241" s="217"/>
      <c r="S241" s="218">
        <f t="shared" si="12"/>
        <v>0</v>
      </c>
      <c r="T241" s="218">
        <f t="shared" si="13"/>
        <v>0</v>
      </c>
      <c r="U241" s="217"/>
      <c r="V241" s="218"/>
      <c r="W241" s="222"/>
      <c r="X241" s="13"/>
      <c r="Y241" s="13"/>
    </row>
    <row r="242" spans="1:25" ht="22.5" customHeight="1" x14ac:dyDescent="0.25">
      <c r="A242" s="168" t="s">
        <v>7</v>
      </c>
      <c r="B242" s="538" t="s">
        <v>8</v>
      </c>
      <c r="C242" s="538"/>
      <c r="D242" s="168" t="s">
        <v>9</v>
      </c>
      <c r="E242" s="168" t="s">
        <v>10</v>
      </c>
      <c r="F242" s="541" t="s">
        <v>11</v>
      </c>
      <c r="G242" s="541" t="s">
        <v>12</v>
      </c>
      <c r="H242" s="168" t="s">
        <v>13</v>
      </c>
      <c r="I242" s="168"/>
      <c r="J242" s="168" t="s">
        <v>15</v>
      </c>
      <c r="K242" s="168" t="s">
        <v>16</v>
      </c>
      <c r="L242" s="544" t="s">
        <v>17</v>
      </c>
      <c r="M242" s="544"/>
      <c r="N242" s="544"/>
      <c r="O242" s="168" t="s">
        <v>18</v>
      </c>
      <c r="P242" s="214"/>
      <c r="Q242" s="217" t="str">
        <f t="shared" si="11"/>
        <v>Nama Barang</v>
      </c>
      <c r="R242" s="217"/>
      <c r="S242" s="218" t="str">
        <f t="shared" si="12"/>
        <v xml:space="preserve">Tahun </v>
      </c>
      <c r="T242" s="218" t="str">
        <f t="shared" si="13"/>
        <v xml:space="preserve">Jumlah </v>
      </c>
      <c r="U242" s="217"/>
      <c r="V242" s="218"/>
      <c r="W242" s="222"/>
      <c r="X242" s="13"/>
      <c r="Y242" s="13"/>
    </row>
    <row r="243" spans="1:25" ht="18" x14ac:dyDescent="0.25">
      <c r="A243" s="542" t="s">
        <v>19</v>
      </c>
      <c r="B243" s="546" t="s">
        <v>20</v>
      </c>
      <c r="C243" s="547"/>
      <c r="D243" s="542" t="s">
        <v>21</v>
      </c>
      <c r="E243" s="542" t="s">
        <v>22</v>
      </c>
      <c r="F243" s="542"/>
      <c r="G243" s="542"/>
      <c r="H243" s="104" t="s">
        <v>23</v>
      </c>
      <c r="I243" s="104" t="s">
        <v>14</v>
      </c>
      <c r="J243" s="104" t="s">
        <v>24</v>
      </c>
      <c r="K243" s="104" t="s">
        <v>25</v>
      </c>
      <c r="L243" s="104" t="s">
        <v>26</v>
      </c>
      <c r="M243" s="104" t="s">
        <v>27</v>
      </c>
      <c r="N243" s="104" t="s">
        <v>28</v>
      </c>
      <c r="O243" s="539" t="s">
        <v>29</v>
      </c>
      <c r="P243" s="214"/>
      <c r="Q243" s="217" t="str">
        <f t="shared" si="11"/>
        <v>Jenis Barang</v>
      </c>
      <c r="R243" s="217"/>
      <c r="S243" s="218" t="str">
        <f t="shared" si="12"/>
        <v>Pembuatan</v>
      </c>
      <c r="T243" s="218" t="str">
        <f t="shared" si="13"/>
        <v>Barang</v>
      </c>
      <c r="U243" s="217"/>
      <c r="V243" s="218"/>
      <c r="W243" s="222"/>
      <c r="X243" s="13"/>
      <c r="Y243" s="13"/>
    </row>
    <row r="244" spans="1:25" ht="18" x14ac:dyDescent="0.25">
      <c r="A244" s="543"/>
      <c r="B244" s="548"/>
      <c r="C244" s="549"/>
      <c r="D244" s="543"/>
      <c r="E244" s="543"/>
      <c r="F244" s="543"/>
      <c r="G244" s="543"/>
      <c r="H244" s="105" t="s">
        <v>30</v>
      </c>
      <c r="I244" s="105"/>
      <c r="J244" s="105" t="s">
        <v>31</v>
      </c>
      <c r="K244" s="105" t="s">
        <v>32</v>
      </c>
      <c r="L244" s="105" t="s">
        <v>33</v>
      </c>
      <c r="M244" s="105" t="s">
        <v>34</v>
      </c>
      <c r="N244" s="105" t="s">
        <v>35</v>
      </c>
      <c r="O244" s="540"/>
      <c r="P244" s="214"/>
      <c r="Q244" s="217">
        <f t="shared" si="11"/>
        <v>0</v>
      </c>
      <c r="R244" s="217"/>
      <c r="S244" s="218" t="str">
        <f t="shared" si="12"/>
        <v>Atau Pembelian</v>
      </c>
      <c r="T244" s="218" t="str">
        <f t="shared" si="13"/>
        <v>Register x)</v>
      </c>
      <c r="U244" s="217"/>
      <c r="V244" s="218"/>
      <c r="W244" s="222"/>
      <c r="X244" s="13"/>
      <c r="Y244" s="13"/>
    </row>
    <row r="245" spans="1:25" ht="18" x14ac:dyDescent="0.25">
      <c r="A245" s="47">
        <v>1</v>
      </c>
      <c r="B245" s="536">
        <v>2</v>
      </c>
      <c r="C245" s="537"/>
      <c r="D245" s="166">
        <v>3</v>
      </c>
      <c r="E245" s="166">
        <v>4</v>
      </c>
      <c r="F245" s="167">
        <v>5</v>
      </c>
      <c r="G245" s="167">
        <v>6</v>
      </c>
      <c r="H245" s="104">
        <v>7</v>
      </c>
      <c r="I245" s="104">
        <v>8</v>
      </c>
      <c r="J245" s="104">
        <v>9</v>
      </c>
      <c r="K245" s="104">
        <v>10</v>
      </c>
      <c r="L245" s="104">
        <v>11</v>
      </c>
      <c r="M245" s="104">
        <v>12</v>
      </c>
      <c r="N245" s="104">
        <v>13</v>
      </c>
      <c r="O245" s="166">
        <v>14</v>
      </c>
      <c r="P245" s="214"/>
      <c r="Q245" s="217">
        <f t="shared" si="11"/>
        <v>2</v>
      </c>
      <c r="R245" s="217"/>
      <c r="S245" s="218">
        <f t="shared" si="12"/>
        <v>7</v>
      </c>
      <c r="T245" s="218">
        <f t="shared" si="13"/>
        <v>9</v>
      </c>
      <c r="U245" s="217"/>
      <c r="V245" s="218"/>
      <c r="W245" s="222"/>
      <c r="X245" s="13"/>
      <c r="Y245" s="13"/>
    </row>
    <row r="246" spans="1:25" ht="47.25" x14ac:dyDescent="0.25">
      <c r="A246" s="47">
        <f>A236+1</f>
        <v>147</v>
      </c>
      <c r="B246" s="443" t="s">
        <v>126</v>
      </c>
      <c r="C246" s="444"/>
      <c r="D246" s="26" t="s">
        <v>131</v>
      </c>
      <c r="E246" s="32"/>
      <c r="F246" s="32"/>
      <c r="G246" s="30" t="s">
        <v>56</v>
      </c>
      <c r="H246" s="9">
        <v>2019</v>
      </c>
      <c r="I246" s="9" t="s">
        <v>92</v>
      </c>
      <c r="J246" s="11" t="s">
        <v>120</v>
      </c>
      <c r="K246" s="20">
        <v>2512933</v>
      </c>
      <c r="L246" s="9" t="s">
        <v>26</v>
      </c>
      <c r="M246" s="32"/>
      <c r="N246" s="27"/>
      <c r="O246" s="50" t="s">
        <v>532</v>
      </c>
      <c r="P246" s="214"/>
      <c r="Q246" s="217"/>
      <c r="R246" s="217"/>
      <c r="S246" s="218"/>
      <c r="T246" s="218"/>
      <c r="U246" s="217"/>
      <c r="V246" s="218"/>
      <c r="W246" s="222"/>
      <c r="X246" s="13"/>
      <c r="Y246" s="13"/>
    </row>
    <row r="247" spans="1:25" ht="47.25" x14ac:dyDescent="0.25">
      <c r="A247" s="47">
        <f>A246+1</f>
        <v>148</v>
      </c>
      <c r="B247" s="445" t="s">
        <v>84</v>
      </c>
      <c r="C247" s="446"/>
      <c r="D247" s="26" t="s">
        <v>90</v>
      </c>
      <c r="E247" s="27"/>
      <c r="F247" s="27"/>
      <c r="G247" s="9" t="s">
        <v>91</v>
      </c>
      <c r="H247" s="7">
        <v>2020</v>
      </c>
      <c r="I247" s="9" t="s">
        <v>92</v>
      </c>
      <c r="J247" s="11" t="s">
        <v>93</v>
      </c>
      <c r="K247" s="153">
        <v>2783950</v>
      </c>
      <c r="L247" s="9" t="s">
        <v>26</v>
      </c>
      <c r="M247" s="27"/>
      <c r="N247" s="27"/>
      <c r="O247" s="50" t="s">
        <v>237</v>
      </c>
      <c r="P247" s="214"/>
      <c r="Q247" s="217"/>
      <c r="R247" s="217"/>
      <c r="S247" s="218"/>
      <c r="T247" s="218"/>
      <c r="U247" s="217"/>
      <c r="V247" s="218"/>
      <c r="W247" s="222"/>
      <c r="X247" s="13"/>
      <c r="Y247" s="13"/>
    </row>
    <row r="248" spans="1:25" ht="31.5" x14ac:dyDescent="0.25">
      <c r="A248" s="47">
        <f>A247+1</f>
        <v>149</v>
      </c>
      <c r="B248" s="534" t="s">
        <v>84</v>
      </c>
      <c r="C248" s="535"/>
      <c r="D248" s="48" t="s">
        <v>288</v>
      </c>
      <c r="E248" s="41"/>
      <c r="F248" s="41"/>
      <c r="G248" s="43" t="s">
        <v>91</v>
      </c>
      <c r="H248" s="43">
        <v>2020</v>
      </c>
      <c r="I248" s="43" t="s">
        <v>92</v>
      </c>
      <c r="J248" s="44" t="s">
        <v>257</v>
      </c>
      <c r="K248" s="63">
        <f>5516570/2</f>
        <v>2758285</v>
      </c>
      <c r="L248" s="43" t="s">
        <v>26</v>
      </c>
      <c r="M248" s="41"/>
      <c r="N248" s="41"/>
      <c r="O248" s="109" t="s">
        <v>503</v>
      </c>
      <c r="P248" s="214"/>
      <c r="Q248" s="217"/>
      <c r="R248" s="217"/>
      <c r="S248" s="218"/>
      <c r="T248" s="218"/>
      <c r="U248" s="217"/>
      <c r="V248" s="218"/>
      <c r="W248" s="222"/>
      <c r="X248" s="13"/>
      <c r="Y248" s="13"/>
    </row>
    <row r="249" spans="1:25" ht="47.25" x14ac:dyDescent="0.25">
      <c r="A249" s="47">
        <f>A248+1</f>
        <v>150</v>
      </c>
      <c r="B249" s="445" t="s">
        <v>84</v>
      </c>
      <c r="C249" s="446"/>
      <c r="D249" s="26" t="s">
        <v>90</v>
      </c>
      <c r="E249" s="27"/>
      <c r="F249" s="27"/>
      <c r="G249" s="7"/>
      <c r="H249" s="7">
        <v>2020</v>
      </c>
      <c r="I249" s="9" t="s">
        <v>92</v>
      </c>
      <c r="J249" s="11" t="s">
        <v>132</v>
      </c>
      <c r="K249" s="28">
        <f>5516570/2</f>
        <v>2758285</v>
      </c>
      <c r="L249" s="9" t="s">
        <v>26</v>
      </c>
      <c r="M249" s="27"/>
      <c r="N249" s="27"/>
      <c r="O249" s="50" t="s">
        <v>531</v>
      </c>
      <c r="P249" s="214"/>
      <c r="Q249" s="217"/>
      <c r="R249" s="217"/>
      <c r="S249" s="218"/>
      <c r="T249" s="218"/>
      <c r="U249" s="217"/>
      <c r="V249" s="218"/>
      <c r="W249" s="222"/>
      <c r="X249" s="13"/>
      <c r="Y249" s="13"/>
    </row>
    <row r="250" spans="1:25" ht="47.25" x14ac:dyDescent="0.25">
      <c r="A250" s="47">
        <f>A249+1</f>
        <v>151</v>
      </c>
      <c r="B250" s="447" t="s">
        <v>46</v>
      </c>
      <c r="C250" s="448"/>
      <c r="D250" s="40" t="s">
        <v>281</v>
      </c>
      <c r="E250" s="60"/>
      <c r="F250" s="60"/>
      <c r="G250" s="39" t="s">
        <v>42</v>
      </c>
      <c r="H250" s="39">
        <v>2014</v>
      </c>
      <c r="I250" s="39" t="s">
        <v>48</v>
      </c>
      <c r="J250" s="56" t="s">
        <v>43</v>
      </c>
      <c r="K250" s="155">
        <v>5780423</v>
      </c>
      <c r="L250" s="39" t="s">
        <v>26</v>
      </c>
      <c r="M250" s="60"/>
      <c r="N250" s="60"/>
      <c r="O250" s="50" t="s">
        <v>237</v>
      </c>
      <c r="P250" s="214"/>
      <c r="Q250" s="217" t="str">
        <f t="shared" si="11"/>
        <v>Meja Kerja Pejabat Eselon II</v>
      </c>
      <c r="R250" s="217"/>
      <c r="S250" s="218">
        <f t="shared" si="12"/>
        <v>2014</v>
      </c>
      <c r="T250" s="218" t="str">
        <f t="shared" si="13"/>
        <v>0001</v>
      </c>
      <c r="U250" s="217"/>
      <c r="V250" s="218"/>
      <c r="W250" s="222"/>
      <c r="X250" s="13"/>
      <c r="Y250" s="13"/>
    </row>
    <row r="251" spans="1:25" ht="47.25" x14ac:dyDescent="0.25">
      <c r="A251" s="47">
        <f t="shared" si="14"/>
        <v>152</v>
      </c>
      <c r="B251" s="445" t="s">
        <v>46</v>
      </c>
      <c r="C251" s="446"/>
      <c r="D251" s="50" t="s">
        <v>47</v>
      </c>
      <c r="E251" s="27"/>
      <c r="F251" s="27"/>
      <c r="G251" s="7" t="s">
        <v>42</v>
      </c>
      <c r="H251" s="7">
        <v>2016</v>
      </c>
      <c r="I251" s="7" t="s">
        <v>48</v>
      </c>
      <c r="J251" s="8" t="s">
        <v>54</v>
      </c>
      <c r="K251" s="19">
        <v>2333333</v>
      </c>
      <c r="L251" s="7" t="s">
        <v>26</v>
      </c>
      <c r="M251" s="27"/>
      <c r="N251" s="27"/>
      <c r="O251" s="40" t="s">
        <v>238</v>
      </c>
      <c r="P251" s="214"/>
      <c r="Q251" s="217" t="str">
        <f t="shared" si="11"/>
        <v>Meja Kerja Pejabat Eselon II</v>
      </c>
      <c r="R251" s="217"/>
      <c r="S251" s="218">
        <f t="shared" si="12"/>
        <v>2016</v>
      </c>
      <c r="T251" s="218" t="str">
        <f t="shared" si="13"/>
        <v>0002</v>
      </c>
      <c r="U251" s="217"/>
      <c r="V251" s="218"/>
      <c r="W251" s="222"/>
      <c r="X251" s="13"/>
      <c r="Y251" s="13"/>
    </row>
    <row r="252" spans="1:25" ht="47.25" x14ac:dyDescent="0.25">
      <c r="A252" s="47">
        <f t="shared" si="14"/>
        <v>153</v>
      </c>
      <c r="B252" s="534" t="s">
        <v>175</v>
      </c>
      <c r="C252" s="535"/>
      <c r="D252" s="40" t="s">
        <v>213</v>
      </c>
      <c r="E252" s="41"/>
      <c r="F252" s="41"/>
      <c r="G252" s="43" t="s">
        <v>214</v>
      </c>
      <c r="H252" s="43">
        <v>2014</v>
      </c>
      <c r="I252" s="43" t="s">
        <v>177</v>
      </c>
      <c r="J252" s="44" t="s">
        <v>107</v>
      </c>
      <c r="K252" s="63">
        <v>5126984</v>
      </c>
      <c r="L252" s="43" t="s">
        <v>26</v>
      </c>
      <c r="M252" s="41"/>
      <c r="N252" s="41"/>
      <c r="O252" s="40" t="s">
        <v>378</v>
      </c>
      <c r="P252" s="214"/>
      <c r="Q252" s="217" t="str">
        <f t="shared" si="11"/>
        <v>Meja Kerja Pejabat Eselon III</v>
      </c>
      <c r="R252" s="217"/>
      <c r="S252" s="218">
        <f t="shared" si="12"/>
        <v>2014</v>
      </c>
      <c r="T252" s="218" t="str">
        <f t="shared" si="13"/>
        <v>0003</v>
      </c>
      <c r="U252" s="217"/>
      <c r="V252" s="218"/>
      <c r="W252" s="222"/>
      <c r="X252" s="13"/>
      <c r="Y252" s="13"/>
    </row>
    <row r="253" spans="1:25" ht="47.25" x14ac:dyDescent="0.25">
      <c r="A253" s="47">
        <f t="shared" si="14"/>
        <v>154</v>
      </c>
      <c r="B253" s="534" t="s">
        <v>175</v>
      </c>
      <c r="C253" s="535"/>
      <c r="D253" s="40" t="s">
        <v>230</v>
      </c>
      <c r="E253" s="41"/>
      <c r="F253" s="41"/>
      <c r="G253" s="43" t="s">
        <v>214</v>
      </c>
      <c r="H253" s="43">
        <v>2015</v>
      </c>
      <c r="I253" s="43" t="s">
        <v>177</v>
      </c>
      <c r="J253" s="44" t="s">
        <v>125</v>
      </c>
      <c r="K253" s="173">
        <v>3600000</v>
      </c>
      <c r="L253" s="43" t="s">
        <v>26</v>
      </c>
      <c r="M253" s="41"/>
      <c r="N253" s="41"/>
      <c r="O253" s="40" t="s">
        <v>514</v>
      </c>
      <c r="P253" s="214"/>
      <c r="Q253" s="217" t="str">
        <f t="shared" si="11"/>
        <v>Meja Kerja Pejabat Eselon III</v>
      </c>
      <c r="R253" s="217"/>
      <c r="S253" s="218">
        <f t="shared" si="12"/>
        <v>2015</v>
      </c>
      <c r="T253" s="218" t="str">
        <f t="shared" si="13"/>
        <v>0004</v>
      </c>
      <c r="U253" s="217"/>
      <c r="V253" s="218"/>
      <c r="W253" s="222"/>
      <c r="X253" s="13"/>
      <c r="Y253" s="13"/>
    </row>
    <row r="254" spans="1:25" ht="47.25" x14ac:dyDescent="0.25">
      <c r="A254" s="47">
        <f t="shared" si="14"/>
        <v>155</v>
      </c>
      <c r="B254" s="443" t="s">
        <v>175</v>
      </c>
      <c r="C254" s="444"/>
      <c r="D254" s="26" t="s">
        <v>220</v>
      </c>
      <c r="E254" s="12"/>
      <c r="F254" s="12"/>
      <c r="G254" s="9" t="s">
        <v>214</v>
      </c>
      <c r="H254" s="9">
        <v>2017</v>
      </c>
      <c r="I254" s="9" t="s">
        <v>177</v>
      </c>
      <c r="J254" s="11" t="s">
        <v>67</v>
      </c>
      <c r="K254" s="172">
        <v>2284351</v>
      </c>
      <c r="L254" s="9" t="s">
        <v>26</v>
      </c>
      <c r="M254" s="12"/>
      <c r="N254" s="12"/>
      <c r="O254" s="26" t="s">
        <v>219</v>
      </c>
      <c r="P254" s="214"/>
      <c r="Q254" s="217" t="str">
        <f t="shared" si="11"/>
        <v>Meja Kerja Pejabat Eselon III</v>
      </c>
      <c r="R254" s="217"/>
      <c r="S254" s="218">
        <f t="shared" si="12"/>
        <v>2017</v>
      </c>
      <c r="T254" s="218" t="str">
        <f t="shared" si="13"/>
        <v>0005</v>
      </c>
      <c r="U254" s="217"/>
      <c r="V254" s="218"/>
      <c r="W254" s="222"/>
      <c r="X254" s="13"/>
      <c r="Y254" s="13"/>
    </row>
    <row r="255" spans="1:25" ht="47.25" x14ac:dyDescent="0.25">
      <c r="A255" s="47">
        <f t="shared" si="14"/>
        <v>156</v>
      </c>
      <c r="B255" s="443" t="s">
        <v>175</v>
      </c>
      <c r="C255" s="444"/>
      <c r="D255" s="10" t="s">
        <v>176</v>
      </c>
      <c r="E255" s="12"/>
      <c r="F255" s="12"/>
      <c r="G255" s="9" t="s">
        <v>42</v>
      </c>
      <c r="H255" s="9">
        <v>2017</v>
      </c>
      <c r="I255" s="9" t="s">
        <v>177</v>
      </c>
      <c r="J255" s="11" t="s">
        <v>74</v>
      </c>
      <c r="K255" s="89">
        <v>2284351</v>
      </c>
      <c r="L255" s="9" t="s">
        <v>26</v>
      </c>
      <c r="M255" s="12"/>
      <c r="N255" s="12"/>
      <c r="O255" s="50" t="s">
        <v>524</v>
      </c>
      <c r="P255" s="214"/>
      <c r="Q255" s="217" t="str">
        <f t="shared" si="11"/>
        <v>Meja Kerja Pejabat Eselon III</v>
      </c>
      <c r="R255" s="217"/>
      <c r="S255" s="218">
        <f t="shared" si="12"/>
        <v>2017</v>
      </c>
      <c r="T255" s="218" t="str">
        <f t="shared" si="13"/>
        <v>0006</v>
      </c>
      <c r="U255" s="217"/>
      <c r="V255" s="218"/>
      <c r="W255" s="222"/>
      <c r="X255" s="13"/>
      <c r="Y255" s="13"/>
    </row>
    <row r="256" spans="1:25" ht="31.5" x14ac:dyDescent="0.25">
      <c r="A256" s="47">
        <f t="shared" si="14"/>
        <v>157</v>
      </c>
      <c r="B256" s="443" t="s">
        <v>175</v>
      </c>
      <c r="C256" s="444"/>
      <c r="D256" s="26" t="s">
        <v>203</v>
      </c>
      <c r="E256" s="12"/>
      <c r="F256" s="12"/>
      <c r="G256" s="9"/>
      <c r="H256" s="9">
        <v>2018</v>
      </c>
      <c r="I256" s="9" t="s">
        <v>177</v>
      </c>
      <c r="J256" s="11" t="s">
        <v>58</v>
      </c>
      <c r="K256" s="172">
        <v>3433301</v>
      </c>
      <c r="L256" s="9" t="s">
        <v>26</v>
      </c>
      <c r="M256" s="12"/>
      <c r="N256" s="12"/>
      <c r="O256" s="10" t="s">
        <v>515</v>
      </c>
      <c r="P256" s="214"/>
      <c r="Q256" s="217" t="str">
        <f t="shared" si="11"/>
        <v>Meja Kerja Pejabat Eselon III</v>
      </c>
      <c r="R256" s="217"/>
      <c r="S256" s="218">
        <f t="shared" si="12"/>
        <v>2018</v>
      </c>
      <c r="T256" s="218" t="str">
        <f t="shared" si="13"/>
        <v>0007</v>
      </c>
      <c r="U256" s="217"/>
      <c r="V256" s="218"/>
      <c r="W256" s="222"/>
      <c r="X256" s="13"/>
      <c r="Y256" s="13"/>
    </row>
    <row r="257" spans="1:25" ht="31.5" x14ac:dyDescent="0.25">
      <c r="A257" s="47">
        <f t="shared" si="14"/>
        <v>158</v>
      </c>
      <c r="B257" s="534" t="s">
        <v>142</v>
      </c>
      <c r="C257" s="535"/>
      <c r="D257" s="40" t="s">
        <v>258</v>
      </c>
      <c r="E257" s="41"/>
      <c r="F257" s="41"/>
      <c r="G257" s="42" t="s">
        <v>214</v>
      </c>
      <c r="H257" s="43">
        <v>2008</v>
      </c>
      <c r="I257" s="43" t="s">
        <v>144</v>
      </c>
      <c r="J257" s="44" t="s">
        <v>54</v>
      </c>
      <c r="K257" s="63">
        <v>372666.67</v>
      </c>
      <c r="L257" s="43" t="s">
        <v>26</v>
      </c>
      <c r="M257" s="41"/>
      <c r="N257" s="45"/>
      <c r="O257" s="109" t="s">
        <v>497</v>
      </c>
      <c r="P257" s="214"/>
      <c r="Q257" s="217" t="str">
        <f t="shared" si="11"/>
        <v>Meja Kerja Pejabat Eselon IV</v>
      </c>
      <c r="R257" s="217"/>
      <c r="S257" s="218">
        <f t="shared" si="12"/>
        <v>2008</v>
      </c>
      <c r="T257" s="218" t="str">
        <f t="shared" si="13"/>
        <v>0002</v>
      </c>
      <c r="U257" s="217"/>
      <c r="V257" s="218"/>
      <c r="W257" s="222"/>
      <c r="X257" s="13"/>
      <c r="Y257" s="13"/>
    </row>
    <row r="258" spans="1:25" ht="31.5" x14ac:dyDescent="0.25">
      <c r="A258" s="47">
        <f t="shared" si="14"/>
        <v>159</v>
      </c>
      <c r="B258" s="443" t="s">
        <v>142</v>
      </c>
      <c r="C258" s="444"/>
      <c r="D258" s="26" t="s">
        <v>271</v>
      </c>
      <c r="E258" s="32"/>
      <c r="F258" s="32"/>
      <c r="G258" s="30" t="s">
        <v>42</v>
      </c>
      <c r="H258" s="9">
        <v>2009</v>
      </c>
      <c r="I258" s="9" t="s">
        <v>144</v>
      </c>
      <c r="J258" s="11" t="s">
        <v>89</v>
      </c>
      <c r="K258" s="20">
        <v>400000</v>
      </c>
      <c r="L258" s="9" t="s">
        <v>26</v>
      </c>
      <c r="M258" s="32"/>
      <c r="N258" s="32"/>
      <c r="O258" s="26" t="s">
        <v>523</v>
      </c>
      <c r="P258" s="214"/>
      <c r="Q258" s="217" t="str">
        <f t="shared" si="11"/>
        <v>Meja Kerja Pejabat Eselon IV</v>
      </c>
      <c r="R258" s="217"/>
      <c r="S258" s="218">
        <f t="shared" si="12"/>
        <v>2009</v>
      </c>
      <c r="T258" s="218" t="str">
        <f t="shared" si="13"/>
        <v>0016</v>
      </c>
      <c r="U258" s="217"/>
      <c r="V258" s="218"/>
      <c r="W258" s="222"/>
      <c r="X258" s="13"/>
      <c r="Y258" s="13"/>
    </row>
    <row r="259" spans="1:25" ht="63" x14ac:dyDescent="0.25">
      <c r="A259" s="47">
        <f t="shared" si="14"/>
        <v>160</v>
      </c>
      <c r="B259" s="443" t="s">
        <v>142</v>
      </c>
      <c r="C259" s="444"/>
      <c r="D259" s="26" t="s">
        <v>143</v>
      </c>
      <c r="E259" s="32"/>
      <c r="F259" s="32"/>
      <c r="G259" s="9" t="s">
        <v>42</v>
      </c>
      <c r="H259" s="9">
        <v>2010</v>
      </c>
      <c r="I259" s="9" t="s">
        <v>144</v>
      </c>
      <c r="J259" s="11" t="s">
        <v>145</v>
      </c>
      <c r="K259" s="89">
        <v>593750</v>
      </c>
      <c r="L259" s="9" t="s">
        <v>26</v>
      </c>
      <c r="M259" s="32"/>
      <c r="N259" s="32"/>
      <c r="O259" s="26" t="s">
        <v>526</v>
      </c>
      <c r="P259" s="214"/>
      <c r="Q259" s="217" t="str">
        <f t="shared" si="11"/>
        <v>Meja Kerja Pejabat Eselon IV</v>
      </c>
      <c r="R259" s="217"/>
      <c r="S259" s="218">
        <f t="shared" si="12"/>
        <v>2010</v>
      </c>
      <c r="T259" s="218" t="str">
        <f t="shared" si="13"/>
        <v>0021</v>
      </c>
      <c r="U259" s="217"/>
      <c r="V259" s="218"/>
      <c r="W259" s="222"/>
      <c r="X259" s="13"/>
      <c r="Y259" s="13"/>
    </row>
    <row r="260" spans="1:25" ht="47.25" x14ac:dyDescent="0.25">
      <c r="A260" s="47">
        <f t="shared" si="14"/>
        <v>161</v>
      </c>
      <c r="B260" s="534" t="s">
        <v>142</v>
      </c>
      <c r="C260" s="535"/>
      <c r="D260" s="40" t="s">
        <v>252</v>
      </c>
      <c r="E260" s="41"/>
      <c r="F260" s="41"/>
      <c r="G260" s="42" t="s">
        <v>214</v>
      </c>
      <c r="H260" s="43">
        <v>2011</v>
      </c>
      <c r="I260" s="43" t="s">
        <v>144</v>
      </c>
      <c r="J260" s="44" t="s">
        <v>251</v>
      </c>
      <c r="K260" s="63">
        <v>485000</v>
      </c>
      <c r="L260" s="43" t="s">
        <v>26</v>
      </c>
      <c r="M260" s="41"/>
      <c r="N260" s="45"/>
      <c r="O260" s="109" t="s">
        <v>498</v>
      </c>
      <c r="P260" s="214"/>
      <c r="Q260" s="217" t="str">
        <f t="shared" si="11"/>
        <v>Meja Kerja Pejabat Eselon IV</v>
      </c>
      <c r="R260" s="217"/>
      <c r="S260" s="218">
        <f t="shared" si="12"/>
        <v>2011</v>
      </c>
      <c r="T260" s="218" t="str">
        <f t="shared" si="13"/>
        <v>0022</v>
      </c>
      <c r="U260" s="217"/>
      <c r="V260" s="218"/>
      <c r="W260" s="222"/>
      <c r="X260" s="13"/>
      <c r="Y260" s="13"/>
    </row>
    <row r="261" spans="1:25" ht="18" x14ac:dyDescent="0.25">
      <c r="K261" s="232">
        <f>SUM(K246:K260)</f>
        <v>37507612.670000002</v>
      </c>
      <c r="P261" s="214"/>
      <c r="Q261" s="217" t="str">
        <f>B273</f>
        <v>Meja Kerja Pejabat Eselon IV</v>
      </c>
      <c r="R261" s="217"/>
      <c r="S261" s="218">
        <f>H273</f>
        <v>2010</v>
      </c>
      <c r="T261" s="218" t="str">
        <f>J273</f>
        <v>0025</v>
      </c>
      <c r="U261" s="217"/>
      <c r="V261" s="218"/>
      <c r="W261" s="222"/>
      <c r="X261" s="13"/>
      <c r="Y261" s="13"/>
    </row>
    <row r="262" spans="1:25" ht="18" x14ac:dyDescent="0.25">
      <c r="P262" s="214"/>
      <c r="Q262" s="217" t="str">
        <f>B274</f>
        <v>Meja Kerja Pejabat Eselon IV</v>
      </c>
      <c r="R262" s="217"/>
      <c r="S262" s="218">
        <f>H274</f>
        <v>2008</v>
      </c>
      <c r="T262" s="218" t="str">
        <f>J274</f>
        <v>0030</v>
      </c>
      <c r="U262" s="217"/>
      <c r="V262" s="218"/>
      <c r="W262" s="222"/>
      <c r="X262" s="13"/>
      <c r="Y262" s="13"/>
    </row>
    <row r="263" spans="1:25" ht="18" x14ac:dyDescent="0.25">
      <c r="P263" s="214"/>
      <c r="Q263" s="217" t="str">
        <f>B275</f>
        <v>Meja Kerja Pejabat Eselon IV</v>
      </c>
      <c r="R263" s="217"/>
      <c r="S263" s="218">
        <f>H275</f>
        <v>2010</v>
      </c>
      <c r="T263" s="218" t="str">
        <f>J275</f>
        <v>0031</v>
      </c>
      <c r="U263" s="217"/>
      <c r="V263" s="218"/>
      <c r="W263" s="222"/>
      <c r="X263" s="13"/>
      <c r="Y263" s="13"/>
    </row>
    <row r="264" spans="1:25" ht="62.25" customHeight="1" x14ac:dyDescent="0.25">
      <c r="P264" s="214"/>
      <c r="Q264" s="217" t="str">
        <f>B276</f>
        <v>Meja Kerja Pejabat Eselon IV</v>
      </c>
      <c r="R264" s="217"/>
      <c r="S264" s="218">
        <f>H276</f>
        <v>2016</v>
      </c>
      <c r="T264" s="218" t="str">
        <f>J276</f>
        <v>0032</v>
      </c>
      <c r="U264" s="217"/>
      <c r="V264" s="218"/>
      <c r="W264" s="222"/>
      <c r="X264" s="13"/>
      <c r="Y264" s="13"/>
    </row>
    <row r="265" spans="1:25" ht="15.75" customHeight="1" x14ac:dyDescent="0.25">
      <c r="A265" s="157"/>
      <c r="B265" s="123"/>
      <c r="C265" s="123"/>
      <c r="D265" s="159"/>
      <c r="E265" s="125"/>
      <c r="F265" s="125"/>
      <c r="G265" s="160"/>
      <c r="H265" s="94"/>
      <c r="I265" s="94"/>
      <c r="J265" s="126"/>
      <c r="K265" s="134"/>
      <c r="L265" s="94"/>
      <c r="M265" s="125"/>
      <c r="N265" s="196"/>
      <c r="O265" s="197"/>
      <c r="P265" s="214"/>
      <c r="Q265" s="217">
        <f t="shared" ref="Q265:Q335" si="15">B265</f>
        <v>0</v>
      </c>
      <c r="R265" s="217"/>
      <c r="S265" s="218">
        <f t="shared" ref="S265:S335" si="16">H265</f>
        <v>0</v>
      </c>
      <c r="T265" s="218">
        <f t="shared" ref="T265:T335" si="17">J265</f>
        <v>0</v>
      </c>
      <c r="U265" s="217"/>
      <c r="V265" s="218"/>
      <c r="W265" s="222"/>
      <c r="X265" s="13"/>
      <c r="Y265" s="13"/>
    </row>
    <row r="266" spans="1:25" ht="15.75" customHeight="1" x14ac:dyDescent="0.25">
      <c r="A266" s="157"/>
      <c r="B266" s="123"/>
      <c r="C266" s="123"/>
      <c r="D266" s="159"/>
      <c r="E266" s="125"/>
      <c r="F266" s="125"/>
      <c r="G266" s="160"/>
      <c r="H266" s="94"/>
      <c r="I266" s="94"/>
      <c r="J266" s="126"/>
      <c r="K266" s="134"/>
      <c r="L266" s="94"/>
      <c r="M266" s="125"/>
      <c r="N266" s="196"/>
      <c r="O266" s="197"/>
      <c r="P266" s="214"/>
      <c r="Q266" s="217"/>
      <c r="R266" s="217"/>
      <c r="S266" s="218"/>
      <c r="T266" s="218"/>
      <c r="U266" s="217"/>
      <c r="V266" s="218"/>
      <c r="W266" s="222"/>
      <c r="X266" s="13"/>
      <c r="Y266" s="13"/>
    </row>
    <row r="267" spans="1:25" ht="15.75" customHeight="1" x14ac:dyDescent="0.25">
      <c r="A267" s="157"/>
      <c r="B267" s="123"/>
      <c r="C267" s="123"/>
      <c r="D267" s="159"/>
      <c r="E267" s="125"/>
      <c r="F267" s="125"/>
      <c r="G267" s="160"/>
      <c r="H267" s="94"/>
      <c r="I267" s="94"/>
      <c r="J267" s="126"/>
      <c r="K267" s="134"/>
      <c r="L267" s="94"/>
      <c r="M267" s="125"/>
      <c r="N267" s="196"/>
      <c r="O267" s="197"/>
      <c r="P267" s="214"/>
      <c r="Q267" s="217">
        <f t="shared" si="15"/>
        <v>0</v>
      </c>
      <c r="R267" s="217"/>
      <c r="S267" s="218">
        <f t="shared" si="16"/>
        <v>0</v>
      </c>
      <c r="T267" s="218">
        <f t="shared" si="17"/>
        <v>0</v>
      </c>
      <c r="U267" s="217"/>
      <c r="V267" s="218"/>
      <c r="W267" s="222"/>
      <c r="X267" s="13"/>
      <c r="Y267" s="13"/>
    </row>
    <row r="268" spans="1:25" ht="15.75" customHeight="1" x14ac:dyDescent="0.25">
      <c r="A268" s="186"/>
      <c r="B268" s="135"/>
      <c r="C268" s="135"/>
      <c r="D268" s="191"/>
      <c r="E268" s="137"/>
      <c r="F268" s="137"/>
      <c r="G268" s="198"/>
      <c r="H268" s="138"/>
      <c r="I268" s="138"/>
      <c r="J268" s="139"/>
      <c r="K268" s="140"/>
      <c r="L268" s="138"/>
      <c r="M268" s="137"/>
      <c r="N268" s="199"/>
      <c r="O268" s="200"/>
      <c r="P268" s="214"/>
      <c r="Q268" s="217">
        <f t="shared" si="15"/>
        <v>0</v>
      </c>
      <c r="R268" s="217"/>
      <c r="S268" s="218">
        <f t="shared" si="16"/>
        <v>0</v>
      </c>
      <c r="T268" s="218">
        <f t="shared" si="17"/>
        <v>0</v>
      </c>
      <c r="U268" s="217"/>
      <c r="V268" s="218"/>
      <c r="W268" s="222"/>
      <c r="X268" s="13"/>
      <c r="Y268" s="13"/>
    </row>
    <row r="269" spans="1:25" ht="15.75" customHeight="1" x14ac:dyDescent="0.25">
      <c r="A269" s="168" t="s">
        <v>7</v>
      </c>
      <c r="B269" s="538" t="s">
        <v>8</v>
      </c>
      <c r="C269" s="538"/>
      <c r="D269" s="168" t="s">
        <v>9</v>
      </c>
      <c r="E269" s="168" t="s">
        <v>10</v>
      </c>
      <c r="F269" s="541" t="s">
        <v>11</v>
      </c>
      <c r="G269" s="541" t="s">
        <v>12</v>
      </c>
      <c r="H269" s="168" t="s">
        <v>13</v>
      </c>
      <c r="I269" s="168"/>
      <c r="J269" s="168" t="s">
        <v>15</v>
      </c>
      <c r="K269" s="168" t="s">
        <v>16</v>
      </c>
      <c r="L269" s="544" t="s">
        <v>17</v>
      </c>
      <c r="M269" s="544"/>
      <c r="N269" s="544"/>
      <c r="O269" s="168" t="s">
        <v>18</v>
      </c>
      <c r="P269" s="214"/>
      <c r="Q269" s="217" t="str">
        <f t="shared" si="15"/>
        <v>Nama Barang</v>
      </c>
      <c r="R269" s="217"/>
      <c r="S269" s="218" t="str">
        <f t="shared" si="16"/>
        <v xml:space="preserve">Tahun </v>
      </c>
      <c r="T269" s="218" t="str">
        <f t="shared" si="17"/>
        <v xml:space="preserve">Jumlah </v>
      </c>
      <c r="U269" s="217"/>
      <c r="V269" s="218"/>
      <c r="W269" s="222"/>
      <c r="X269" s="13"/>
      <c r="Y269" s="13"/>
    </row>
    <row r="270" spans="1:25" ht="18" x14ac:dyDescent="0.25">
      <c r="A270" s="542" t="s">
        <v>19</v>
      </c>
      <c r="B270" s="546" t="s">
        <v>20</v>
      </c>
      <c r="C270" s="547"/>
      <c r="D270" s="542" t="s">
        <v>21</v>
      </c>
      <c r="E270" s="542" t="s">
        <v>22</v>
      </c>
      <c r="F270" s="542"/>
      <c r="G270" s="542"/>
      <c r="H270" s="104" t="s">
        <v>23</v>
      </c>
      <c r="I270" s="104" t="s">
        <v>14</v>
      </c>
      <c r="J270" s="104" t="s">
        <v>24</v>
      </c>
      <c r="K270" s="104" t="s">
        <v>25</v>
      </c>
      <c r="L270" s="104" t="s">
        <v>26</v>
      </c>
      <c r="M270" s="104" t="s">
        <v>27</v>
      </c>
      <c r="N270" s="104" t="s">
        <v>28</v>
      </c>
      <c r="O270" s="539" t="s">
        <v>29</v>
      </c>
      <c r="P270" s="214"/>
      <c r="Q270" s="217" t="str">
        <f t="shared" si="15"/>
        <v>Jenis Barang</v>
      </c>
      <c r="R270" s="217"/>
      <c r="S270" s="218" t="str">
        <f t="shared" si="16"/>
        <v>Pembuatan</v>
      </c>
      <c r="T270" s="218" t="str">
        <f t="shared" si="17"/>
        <v>Barang</v>
      </c>
      <c r="U270" s="217"/>
      <c r="V270" s="218"/>
      <c r="W270" s="222"/>
      <c r="X270" s="13"/>
      <c r="Y270" s="13"/>
    </row>
    <row r="271" spans="1:25" ht="18" x14ac:dyDescent="0.25">
      <c r="A271" s="543"/>
      <c r="B271" s="548"/>
      <c r="C271" s="549"/>
      <c r="D271" s="543"/>
      <c r="E271" s="543"/>
      <c r="F271" s="543"/>
      <c r="G271" s="543"/>
      <c r="H271" s="105" t="s">
        <v>30</v>
      </c>
      <c r="I271" s="105"/>
      <c r="J271" s="105" t="s">
        <v>31</v>
      </c>
      <c r="K271" s="105" t="s">
        <v>32</v>
      </c>
      <c r="L271" s="105" t="s">
        <v>33</v>
      </c>
      <c r="M271" s="105" t="s">
        <v>34</v>
      </c>
      <c r="N271" s="105" t="s">
        <v>35</v>
      </c>
      <c r="O271" s="540"/>
      <c r="P271" s="214"/>
      <c r="Q271" s="217">
        <f t="shared" si="15"/>
        <v>0</v>
      </c>
      <c r="R271" s="217"/>
      <c r="S271" s="218" t="str">
        <f t="shared" si="16"/>
        <v>Atau Pembelian</v>
      </c>
      <c r="T271" s="218" t="str">
        <f t="shared" si="17"/>
        <v>Register x)</v>
      </c>
      <c r="U271" s="217"/>
      <c r="V271" s="218"/>
      <c r="W271" s="222"/>
      <c r="X271" s="13"/>
      <c r="Y271" s="13"/>
    </row>
    <row r="272" spans="1:25" ht="18" x14ac:dyDescent="0.25">
      <c r="A272" s="47">
        <v>1</v>
      </c>
      <c r="B272" s="536">
        <v>2</v>
      </c>
      <c r="C272" s="537"/>
      <c r="D272" s="166">
        <v>3</v>
      </c>
      <c r="E272" s="166">
        <v>4</v>
      </c>
      <c r="F272" s="167">
        <v>5</v>
      </c>
      <c r="G272" s="167">
        <v>6</v>
      </c>
      <c r="H272" s="104">
        <v>7</v>
      </c>
      <c r="I272" s="104">
        <v>8</v>
      </c>
      <c r="J272" s="104">
        <v>9</v>
      </c>
      <c r="K272" s="104">
        <v>10</v>
      </c>
      <c r="L272" s="104">
        <v>11</v>
      </c>
      <c r="M272" s="104">
        <v>12</v>
      </c>
      <c r="N272" s="104">
        <v>13</v>
      </c>
      <c r="O272" s="166">
        <v>14</v>
      </c>
      <c r="P272" s="214"/>
      <c r="Q272" s="217">
        <f t="shared" si="15"/>
        <v>2</v>
      </c>
      <c r="R272" s="217"/>
      <c r="S272" s="218">
        <f t="shared" si="16"/>
        <v>7</v>
      </c>
      <c r="T272" s="218">
        <f t="shared" si="17"/>
        <v>9</v>
      </c>
      <c r="U272" s="217"/>
      <c r="V272" s="218"/>
      <c r="W272" s="222"/>
      <c r="X272" s="13"/>
      <c r="Y272" s="13"/>
    </row>
    <row r="273" spans="1:25" ht="47.25" x14ac:dyDescent="0.25">
      <c r="A273" s="47">
        <f>A260+1</f>
        <v>162</v>
      </c>
      <c r="B273" s="534" t="s">
        <v>142</v>
      </c>
      <c r="C273" s="535"/>
      <c r="D273" s="40" t="s">
        <v>261</v>
      </c>
      <c r="E273" s="41"/>
      <c r="F273" s="41"/>
      <c r="G273" s="42" t="s">
        <v>214</v>
      </c>
      <c r="H273" s="43">
        <v>2010</v>
      </c>
      <c r="I273" s="43" t="s">
        <v>144</v>
      </c>
      <c r="J273" s="44" t="s">
        <v>117</v>
      </c>
      <c r="K273" s="63">
        <v>485000</v>
      </c>
      <c r="L273" s="43" t="s">
        <v>26</v>
      </c>
      <c r="M273" s="41"/>
      <c r="N273" s="45"/>
      <c r="O273" s="109" t="s">
        <v>292</v>
      </c>
      <c r="P273" s="214"/>
      <c r="Q273" s="217"/>
      <c r="R273" s="217"/>
      <c r="S273" s="218"/>
      <c r="T273" s="218"/>
      <c r="U273" s="217"/>
      <c r="V273" s="218"/>
      <c r="W273" s="222"/>
      <c r="X273" s="13"/>
      <c r="Y273" s="13"/>
    </row>
    <row r="274" spans="1:25" ht="47.25" x14ac:dyDescent="0.25">
      <c r="A274" s="47">
        <f>A273+1</f>
        <v>163</v>
      </c>
      <c r="B274" s="443" t="s">
        <v>142</v>
      </c>
      <c r="C274" s="444"/>
      <c r="D274" s="26" t="s">
        <v>206</v>
      </c>
      <c r="E274" s="12"/>
      <c r="F274" s="12"/>
      <c r="G274" s="9" t="s">
        <v>207</v>
      </c>
      <c r="H274" s="9">
        <v>2008</v>
      </c>
      <c r="I274" s="9" t="s">
        <v>144</v>
      </c>
      <c r="J274" s="11" t="s">
        <v>130</v>
      </c>
      <c r="K274" s="172">
        <v>562500</v>
      </c>
      <c r="L274" s="9" t="s">
        <v>26</v>
      </c>
      <c r="M274" s="12"/>
      <c r="N274" s="12"/>
      <c r="O274" s="26" t="s">
        <v>515</v>
      </c>
      <c r="P274" s="214"/>
      <c r="Q274" s="217"/>
      <c r="R274" s="217"/>
      <c r="S274" s="218"/>
      <c r="T274" s="218"/>
      <c r="U274" s="217"/>
      <c r="V274" s="218"/>
      <c r="W274" s="222"/>
      <c r="X274" s="13"/>
      <c r="Y274" s="13"/>
    </row>
    <row r="275" spans="1:25" ht="47.25" x14ac:dyDescent="0.25">
      <c r="A275" s="47">
        <f>A274+1</f>
        <v>164</v>
      </c>
      <c r="B275" s="534" t="s">
        <v>142</v>
      </c>
      <c r="C275" s="535"/>
      <c r="D275" s="40" t="s">
        <v>255</v>
      </c>
      <c r="E275" s="41"/>
      <c r="F275" s="41"/>
      <c r="G275" s="42" t="s">
        <v>214</v>
      </c>
      <c r="H275" s="43">
        <v>2010</v>
      </c>
      <c r="I275" s="43" t="s">
        <v>144</v>
      </c>
      <c r="J275" s="44" t="s">
        <v>64</v>
      </c>
      <c r="K275" s="63">
        <v>275000</v>
      </c>
      <c r="L275" s="43" t="s">
        <v>26</v>
      </c>
      <c r="M275" s="41"/>
      <c r="N275" s="45"/>
      <c r="O275" s="109" t="s">
        <v>492</v>
      </c>
      <c r="P275" s="214"/>
      <c r="Q275" s="217"/>
      <c r="R275" s="217"/>
      <c r="S275" s="218"/>
      <c r="T275" s="218"/>
      <c r="U275" s="217"/>
      <c r="V275" s="218"/>
      <c r="W275" s="222"/>
      <c r="X275" s="13"/>
      <c r="Y275" s="13"/>
    </row>
    <row r="276" spans="1:25" ht="63" x14ac:dyDescent="0.25">
      <c r="A276" s="47">
        <f>A275+1</f>
        <v>165</v>
      </c>
      <c r="B276" s="534" t="s">
        <v>142</v>
      </c>
      <c r="C276" s="535"/>
      <c r="D276" s="40" t="s">
        <v>249</v>
      </c>
      <c r="E276" s="41"/>
      <c r="F276" s="41"/>
      <c r="G276" s="42" t="s">
        <v>214</v>
      </c>
      <c r="H276" s="43">
        <v>2016</v>
      </c>
      <c r="I276" s="43" t="s">
        <v>144</v>
      </c>
      <c r="J276" s="44" t="s">
        <v>120</v>
      </c>
      <c r="K276" s="63">
        <v>2282609</v>
      </c>
      <c r="L276" s="43" t="s">
        <v>26</v>
      </c>
      <c r="M276" s="41"/>
      <c r="N276" s="45"/>
      <c r="O276" s="109" t="s">
        <v>491</v>
      </c>
      <c r="P276" s="214"/>
      <c r="Q276" s="217"/>
      <c r="R276" s="217"/>
      <c r="S276" s="218"/>
      <c r="T276" s="218"/>
      <c r="U276" s="217"/>
      <c r="V276" s="218"/>
      <c r="W276" s="222"/>
      <c r="X276" s="13"/>
      <c r="Y276" s="13"/>
    </row>
    <row r="277" spans="1:25" ht="63" x14ac:dyDescent="0.25">
      <c r="A277" s="47">
        <f>A276+1</f>
        <v>166</v>
      </c>
      <c r="B277" s="534" t="s">
        <v>142</v>
      </c>
      <c r="C277" s="535"/>
      <c r="D277" s="40" t="s">
        <v>249</v>
      </c>
      <c r="E277" s="41"/>
      <c r="F277" s="41"/>
      <c r="G277" s="42" t="s">
        <v>214</v>
      </c>
      <c r="H277" s="43">
        <v>2016</v>
      </c>
      <c r="I277" s="43" t="s">
        <v>144</v>
      </c>
      <c r="J277" s="44" t="s">
        <v>93</v>
      </c>
      <c r="K277" s="63">
        <v>2282609</v>
      </c>
      <c r="L277" s="43" t="s">
        <v>26</v>
      </c>
      <c r="M277" s="41"/>
      <c r="N277" s="45"/>
      <c r="O277" s="109" t="s">
        <v>504</v>
      </c>
      <c r="P277" s="214"/>
      <c r="Q277" s="217"/>
      <c r="R277" s="217"/>
      <c r="S277" s="218"/>
      <c r="T277" s="218"/>
      <c r="U277" s="217"/>
      <c r="V277" s="218"/>
      <c r="W277" s="222"/>
      <c r="X277" s="13"/>
      <c r="Y277" s="13"/>
    </row>
    <row r="278" spans="1:25" ht="62.25" customHeight="1" x14ac:dyDescent="0.25">
      <c r="A278" s="47">
        <f>A277+1</f>
        <v>167</v>
      </c>
      <c r="B278" s="534" t="s">
        <v>142</v>
      </c>
      <c r="C278" s="535"/>
      <c r="D278" s="40" t="s">
        <v>249</v>
      </c>
      <c r="E278" s="41"/>
      <c r="F278" s="41"/>
      <c r="G278" s="42" t="s">
        <v>214</v>
      </c>
      <c r="H278" s="43">
        <v>2017</v>
      </c>
      <c r="I278" s="43" t="s">
        <v>144</v>
      </c>
      <c r="J278" s="44" t="s">
        <v>257</v>
      </c>
      <c r="K278" s="63">
        <v>2284351</v>
      </c>
      <c r="L278" s="43" t="s">
        <v>26</v>
      </c>
      <c r="M278" s="41"/>
      <c r="N278" s="45"/>
      <c r="O278" s="109" t="s">
        <v>496</v>
      </c>
      <c r="P278" s="214"/>
      <c r="Q278" s="217" t="str">
        <f t="shared" si="15"/>
        <v>Meja Kerja Pejabat Eselon IV</v>
      </c>
      <c r="R278" s="217"/>
      <c r="S278" s="218">
        <f t="shared" si="16"/>
        <v>2017</v>
      </c>
      <c r="T278" s="218" t="str">
        <f t="shared" si="17"/>
        <v>0034</v>
      </c>
      <c r="U278" s="217"/>
      <c r="V278" s="218"/>
      <c r="W278" s="222"/>
      <c r="X278" s="13"/>
      <c r="Y278" s="13"/>
    </row>
    <row r="279" spans="1:25" ht="62.25" customHeight="1" x14ac:dyDescent="0.25">
      <c r="A279" s="47">
        <f t="shared" si="14"/>
        <v>168</v>
      </c>
      <c r="B279" s="534" t="s">
        <v>142</v>
      </c>
      <c r="C279" s="535"/>
      <c r="D279" s="40" t="s">
        <v>265</v>
      </c>
      <c r="E279" s="41"/>
      <c r="F279" s="41"/>
      <c r="G279" s="42"/>
      <c r="H279" s="43">
        <v>2017</v>
      </c>
      <c r="I279" s="43" t="s">
        <v>144</v>
      </c>
      <c r="J279" s="44" t="s">
        <v>132</v>
      </c>
      <c r="K279" s="63">
        <v>1116794</v>
      </c>
      <c r="L279" s="43" t="s">
        <v>26</v>
      </c>
      <c r="M279" s="41"/>
      <c r="N279" s="45"/>
      <c r="O279" s="109" t="s">
        <v>494</v>
      </c>
      <c r="P279" s="214"/>
      <c r="Q279" s="217" t="str">
        <f t="shared" si="15"/>
        <v>Meja Kerja Pejabat Eselon IV</v>
      </c>
      <c r="R279" s="217"/>
      <c r="S279" s="218">
        <f t="shared" si="16"/>
        <v>2017</v>
      </c>
      <c r="T279" s="218" t="str">
        <f t="shared" si="17"/>
        <v>0035</v>
      </c>
      <c r="U279" s="217"/>
      <c r="V279" s="218"/>
      <c r="W279" s="222"/>
      <c r="X279" s="13"/>
      <c r="Y279" s="13"/>
    </row>
    <row r="280" spans="1:25" ht="48.75" customHeight="1" x14ac:dyDescent="0.25">
      <c r="A280" s="47">
        <f t="shared" si="14"/>
        <v>169</v>
      </c>
      <c r="B280" s="534" t="s">
        <v>142</v>
      </c>
      <c r="C280" s="535"/>
      <c r="D280" s="40" t="s">
        <v>265</v>
      </c>
      <c r="E280" s="41"/>
      <c r="F280" s="41"/>
      <c r="G280" s="42"/>
      <c r="H280" s="43">
        <v>2017</v>
      </c>
      <c r="I280" s="43" t="s">
        <v>144</v>
      </c>
      <c r="J280" s="44" t="s">
        <v>264</v>
      </c>
      <c r="K280" s="63">
        <v>1116794</v>
      </c>
      <c r="L280" s="43" t="s">
        <v>26</v>
      </c>
      <c r="M280" s="41"/>
      <c r="N280" s="45"/>
      <c r="O280" s="109" t="s">
        <v>505</v>
      </c>
      <c r="P280" s="214"/>
      <c r="Q280" s="217" t="str">
        <f t="shared" si="15"/>
        <v>Meja Kerja Pejabat Eselon IV</v>
      </c>
      <c r="R280" s="217"/>
      <c r="S280" s="218">
        <f t="shared" si="16"/>
        <v>2017</v>
      </c>
      <c r="T280" s="218" t="str">
        <f t="shared" si="17"/>
        <v>0036</v>
      </c>
      <c r="U280" s="217"/>
      <c r="V280" s="218"/>
      <c r="W280" s="222"/>
      <c r="X280" s="13"/>
      <c r="Y280" s="13"/>
    </row>
    <row r="281" spans="1:25" ht="32.25" customHeight="1" x14ac:dyDescent="0.25">
      <c r="A281" s="47">
        <f t="shared" si="14"/>
        <v>170</v>
      </c>
      <c r="B281" s="534" t="s">
        <v>142</v>
      </c>
      <c r="C281" s="535"/>
      <c r="D281" s="40" t="s">
        <v>248</v>
      </c>
      <c r="E281" s="41"/>
      <c r="F281" s="41"/>
      <c r="G281" s="42"/>
      <c r="H281" s="43">
        <v>2018</v>
      </c>
      <c r="I281" s="43" t="s">
        <v>144</v>
      </c>
      <c r="J281" s="44" t="s">
        <v>247</v>
      </c>
      <c r="K281" s="63">
        <v>2019589</v>
      </c>
      <c r="L281" s="43" t="s">
        <v>26</v>
      </c>
      <c r="M281" s="41"/>
      <c r="N281" s="45"/>
      <c r="O281" s="109" t="s">
        <v>495</v>
      </c>
      <c r="P281" s="214"/>
      <c r="Q281" s="217" t="str">
        <f t="shared" si="15"/>
        <v>Meja Kerja Pejabat Eselon IV</v>
      </c>
      <c r="R281" s="217"/>
      <c r="S281" s="218">
        <f t="shared" si="16"/>
        <v>2018</v>
      </c>
      <c r="T281" s="218" t="str">
        <f t="shared" si="17"/>
        <v>0037</v>
      </c>
      <c r="U281" s="217"/>
      <c r="V281" s="218"/>
      <c r="W281" s="222"/>
      <c r="X281" s="13"/>
      <c r="Y281" s="13"/>
    </row>
    <row r="282" spans="1:25" ht="32.25" customHeight="1" x14ac:dyDescent="0.25">
      <c r="A282" s="47">
        <f t="shared" si="14"/>
        <v>171</v>
      </c>
      <c r="B282" s="534" t="s">
        <v>142</v>
      </c>
      <c r="C282" s="535"/>
      <c r="D282" s="40" t="s">
        <v>248</v>
      </c>
      <c r="E282" s="41"/>
      <c r="F282" s="41"/>
      <c r="G282" s="42"/>
      <c r="H282" s="43">
        <v>2018</v>
      </c>
      <c r="I282" s="43" t="s">
        <v>144</v>
      </c>
      <c r="J282" s="44" t="s">
        <v>63</v>
      </c>
      <c r="K282" s="63">
        <v>2019589</v>
      </c>
      <c r="L282" s="43" t="s">
        <v>26</v>
      </c>
      <c r="M282" s="41"/>
      <c r="N282" s="45"/>
      <c r="O282" s="109" t="s">
        <v>506</v>
      </c>
      <c r="P282" s="214"/>
      <c r="Q282" s="217" t="str">
        <f t="shared" si="15"/>
        <v>Meja Kerja Pejabat Eselon IV</v>
      </c>
      <c r="R282" s="217"/>
      <c r="S282" s="218">
        <f t="shared" si="16"/>
        <v>2018</v>
      </c>
      <c r="T282" s="218" t="str">
        <f t="shared" si="17"/>
        <v>0038</v>
      </c>
      <c r="U282" s="217"/>
      <c r="V282" s="218"/>
      <c r="W282" s="222"/>
      <c r="X282" s="13"/>
      <c r="Y282" s="13"/>
    </row>
    <row r="283" spans="1:25" ht="31.5" x14ac:dyDescent="0.25">
      <c r="A283" s="47">
        <f t="shared" si="14"/>
        <v>172</v>
      </c>
      <c r="B283" s="534" t="s">
        <v>142</v>
      </c>
      <c r="C283" s="535"/>
      <c r="D283" s="40" t="s">
        <v>248</v>
      </c>
      <c r="E283" s="41"/>
      <c r="F283" s="41"/>
      <c r="G283" s="42"/>
      <c r="H283" s="43">
        <v>2018</v>
      </c>
      <c r="I283" s="43" t="s">
        <v>144</v>
      </c>
      <c r="J283" s="44" t="s">
        <v>250</v>
      </c>
      <c r="K283" s="63">
        <v>2019589</v>
      </c>
      <c r="L283" s="43" t="s">
        <v>26</v>
      </c>
      <c r="M283" s="41"/>
      <c r="N283" s="45"/>
      <c r="O283" s="109" t="s">
        <v>493</v>
      </c>
      <c r="P283" s="214"/>
      <c r="Q283" s="217" t="str">
        <f t="shared" si="15"/>
        <v>Meja Kerja Pejabat Eselon IV</v>
      </c>
      <c r="R283" s="217"/>
      <c r="S283" s="218">
        <f t="shared" si="16"/>
        <v>2018</v>
      </c>
      <c r="T283" s="218" t="str">
        <f t="shared" si="17"/>
        <v>0039</v>
      </c>
      <c r="U283" s="217"/>
      <c r="V283" s="218"/>
      <c r="W283" s="222"/>
      <c r="X283" s="13"/>
      <c r="Y283" s="13"/>
    </row>
    <row r="284" spans="1:25" ht="31.5" x14ac:dyDescent="0.25">
      <c r="A284" s="47">
        <f t="shared" si="14"/>
        <v>173</v>
      </c>
      <c r="B284" s="443" t="s">
        <v>142</v>
      </c>
      <c r="C284" s="444"/>
      <c r="D284" s="26" t="s">
        <v>161</v>
      </c>
      <c r="E284" s="32"/>
      <c r="F284" s="32"/>
      <c r="G284" s="9"/>
      <c r="H284" s="9">
        <v>2019</v>
      </c>
      <c r="I284" s="9" t="s">
        <v>144</v>
      </c>
      <c r="J284" s="11" t="s">
        <v>162</v>
      </c>
      <c r="K284" s="89">
        <v>2245000</v>
      </c>
      <c r="L284" s="9" t="s">
        <v>26</v>
      </c>
      <c r="M284" s="32"/>
      <c r="N284" s="32"/>
      <c r="O284" s="50" t="s">
        <v>525</v>
      </c>
      <c r="P284" s="214"/>
      <c r="Q284" s="217" t="str">
        <f t="shared" si="15"/>
        <v>Meja Kerja Pejabat Eselon IV</v>
      </c>
      <c r="R284" s="217"/>
      <c r="S284" s="218">
        <f t="shared" si="16"/>
        <v>2019</v>
      </c>
      <c r="T284" s="218" t="str">
        <f t="shared" si="17"/>
        <v>0040</v>
      </c>
      <c r="U284" s="217"/>
      <c r="V284" s="218"/>
      <c r="W284" s="222"/>
      <c r="X284" s="13"/>
      <c r="Y284" s="13"/>
    </row>
    <row r="285" spans="1:25" ht="47.25" x14ac:dyDescent="0.25">
      <c r="A285" s="47">
        <f t="shared" si="14"/>
        <v>174</v>
      </c>
      <c r="B285" s="443" t="s">
        <v>112</v>
      </c>
      <c r="C285" s="444"/>
      <c r="D285" s="26" t="s">
        <v>113</v>
      </c>
      <c r="E285" s="32"/>
      <c r="F285" s="32"/>
      <c r="G285" s="30"/>
      <c r="H285" s="9">
        <v>2020</v>
      </c>
      <c r="I285" s="9" t="s">
        <v>114</v>
      </c>
      <c r="J285" s="11" t="s">
        <v>403</v>
      </c>
      <c r="K285" s="20">
        <v>7053750</v>
      </c>
      <c r="L285" s="9" t="s">
        <v>26</v>
      </c>
      <c r="M285" s="32"/>
      <c r="N285" s="32"/>
      <c r="O285" s="50" t="s">
        <v>533</v>
      </c>
      <c r="P285" s="214"/>
      <c r="Q285" s="217" t="str">
        <f t="shared" si="15"/>
        <v>Meja Kerja Pejabat Lain-lain</v>
      </c>
      <c r="R285" s="217"/>
      <c r="S285" s="218">
        <f t="shared" si="16"/>
        <v>2020</v>
      </c>
      <c r="T285" s="218" t="str">
        <f t="shared" si="17"/>
        <v xml:space="preserve">0001 </v>
      </c>
      <c r="U285" s="217"/>
      <c r="V285" s="218"/>
      <c r="W285" s="222"/>
      <c r="X285" s="13"/>
      <c r="Y285" s="13"/>
    </row>
    <row r="286" spans="1:25" ht="47.25" x14ac:dyDescent="0.25">
      <c r="A286" s="47">
        <f t="shared" si="14"/>
        <v>175</v>
      </c>
      <c r="B286" s="443" t="s">
        <v>112</v>
      </c>
      <c r="C286" s="444"/>
      <c r="D286" s="26" t="s">
        <v>113</v>
      </c>
      <c r="E286" s="32"/>
      <c r="F286" s="32"/>
      <c r="G286" s="30"/>
      <c r="H286" s="9">
        <v>2020</v>
      </c>
      <c r="I286" s="9" t="s">
        <v>114</v>
      </c>
      <c r="J286" s="11" t="s">
        <v>54</v>
      </c>
      <c r="K286" s="20">
        <v>7053750</v>
      </c>
      <c r="L286" s="9" t="s">
        <v>26</v>
      </c>
      <c r="M286" s="32"/>
      <c r="N286" s="32"/>
      <c r="O286" s="50" t="s">
        <v>527</v>
      </c>
      <c r="P286" s="214"/>
      <c r="Q286" s="217" t="str">
        <f t="shared" si="15"/>
        <v>Meja Kerja Pejabat Lain-lain</v>
      </c>
      <c r="R286" s="217"/>
      <c r="S286" s="218">
        <f t="shared" si="16"/>
        <v>2020</v>
      </c>
      <c r="T286" s="218" t="str">
        <f t="shared" si="17"/>
        <v>0002</v>
      </c>
      <c r="U286" s="217"/>
      <c r="V286" s="218"/>
      <c r="W286" s="222"/>
      <c r="X286" s="13"/>
      <c r="Y286" s="13"/>
    </row>
    <row r="287" spans="1:25" ht="47.25" x14ac:dyDescent="0.25">
      <c r="A287" s="47">
        <f t="shared" si="14"/>
        <v>176</v>
      </c>
      <c r="B287" s="443" t="s">
        <v>112</v>
      </c>
      <c r="C287" s="444"/>
      <c r="D287" s="26" t="s">
        <v>113</v>
      </c>
      <c r="E287" s="32"/>
      <c r="F287" s="32"/>
      <c r="G287" s="30"/>
      <c r="H287" s="9">
        <v>2020</v>
      </c>
      <c r="I287" s="9" t="s">
        <v>114</v>
      </c>
      <c r="J287" s="11" t="s">
        <v>107</v>
      </c>
      <c r="K287" s="20">
        <v>7053750</v>
      </c>
      <c r="L287" s="9" t="s">
        <v>26</v>
      </c>
      <c r="M287" s="32"/>
      <c r="N287" s="32"/>
      <c r="O287" s="50" t="s">
        <v>528</v>
      </c>
      <c r="P287" s="214"/>
      <c r="Q287" s="217" t="str">
        <f t="shared" si="15"/>
        <v>Meja Kerja Pejabat Lain-lain</v>
      </c>
      <c r="R287" s="217"/>
      <c r="S287" s="218">
        <f t="shared" si="16"/>
        <v>2020</v>
      </c>
      <c r="T287" s="218" t="str">
        <f t="shared" si="17"/>
        <v>0003</v>
      </c>
      <c r="U287" s="217"/>
      <c r="V287" s="218"/>
      <c r="W287" s="222"/>
      <c r="X287" s="13"/>
      <c r="Y287" s="13"/>
    </row>
    <row r="288" spans="1:25" ht="18" x14ac:dyDescent="0.25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231">
        <f>SUM(K273:K287)</f>
        <v>39870674</v>
      </c>
      <c r="L288" s="75"/>
      <c r="M288" s="75"/>
      <c r="N288" s="75"/>
      <c r="O288" s="75"/>
      <c r="P288" s="214"/>
      <c r="Q288" s="217" t="str">
        <f t="shared" ref="Q288:Q293" si="18">B301</f>
        <v>Meja Kerja Pejabat Lain-lain</v>
      </c>
      <c r="R288" s="217"/>
      <c r="S288" s="218">
        <f t="shared" ref="S288:S293" si="19">H301</f>
        <v>2020</v>
      </c>
      <c r="T288" s="218" t="str">
        <f t="shared" ref="T288:T293" si="20">J301</f>
        <v>0004</v>
      </c>
      <c r="U288" s="217"/>
      <c r="V288" s="218"/>
      <c r="W288" s="222"/>
      <c r="X288" s="13"/>
      <c r="Y288" s="13"/>
    </row>
    <row r="289" spans="1:25" ht="18" x14ac:dyDescent="0.25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214"/>
      <c r="Q289" s="217" t="str">
        <f t="shared" si="18"/>
        <v>Meja Kerja Pejabat Lain-lain</v>
      </c>
      <c r="R289" s="217"/>
      <c r="S289" s="218">
        <f t="shared" si="19"/>
        <v>2020</v>
      </c>
      <c r="T289" s="218" t="str">
        <f t="shared" si="20"/>
        <v>0005</v>
      </c>
      <c r="U289" s="217"/>
      <c r="V289" s="218"/>
      <c r="W289" s="222"/>
      <c r="X289" s="13"/>
      <c r="Y289" s="13"/>
    </row>
    <row r="290" spans="1:25" ht="18" x14ac:dyDescent="0.25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214"/>
      <c r="Q290" s="217" t="str">
        <f t="shared" si="18"/>
        <v>Meja Kerja Pejabat Lain-lain</v>
      </c>
      <c r="R290" s="217"/>
      <c r="S290" s="218">
        <f t="shared" si="19"/>
        <v>2020</v>
      </c>
      <c r="T290" s="218" t="str">
        <f t="shared" si="20"/>
        <v>0006</v>
      </c>
      <c r="U290" s="217"/>
      <c r="V290" s="218"/>
      <c r="W290" s="222"/>
      <c r="X290" s="13"/>
      <c r="Y290" s="13"/>
    </row>
    <row r="291" spans="1:25" ht="18" x14ac:dyDescent="0.25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214"/>
      <c r="Q291" s="217" t="str">
        <f t="shared" si="18"/>
        <v>Meja Kerja Pejabat Lain-lain</v>
      </c>
      <c r="R291" s="217"/>
      <c r="S291" s="218">
        <f t="shared" si="19"/>
        <v>2020</v>
      </c>
      <c r="T291" s="218" t="str">
        <f t="shared" si="20"/>
        <v>0007</v>
      </c>
      <c r="U291" s="217"/>
      <c r="V291" s="218"/>
      <c r="W291" s="222"/>
      <c r="X291" s="13"/>
      <c r="Y291" s="13"/>
    </row>
    <row r="292" spans="1:25" ht="18" x14ac:dyDescent="0.25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214"/>
      <c r="Q292" s="217" t="str">
        <f t="shared" si="18"/>
        <v>Meja Kerja Pejabat Lain-lain</v>
      </c>
      <c r="R292" s="217"/>
      <c r="S292" s="218">
        <f t="shared" si="19"/>
        <v>2020</v>
      </c>
      <c r="T292" s="218" t="str">
        <f t="shared" si="20"/>
        <v>0008</v>
      </c>
      <c r="U292" s="217"/>
      <c r="V292" s="218"/>
      <c r="W292" s="222"/>
      <c r="X292" s="13"/>
      <c r="Y292" s="13"/>
    </row>
    <row r="293" spans="1:25" ht="18" x14ac:dyDescent="0.25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214"/>
      <c r="Q293" s="217" t="str">
        <f t="shared" si="18"/>
        <v>Meja Rapat Pejabat Lain-Lain</v>
      </c>
      <c r="R293" s="217"/>
      <c r="S293" s="218">
        <f t="shared" si="19"/>
        <v>2020</v>
      </c>
      <c r="T293" s="218" t="str">
        <f t="shared" si="20"/>
        <v>0001</v>
      </c>
      <c r="U293" s="217"/>
      <c r="V293" s="218"/>
      <c r="W293" s="222"/>
      <c r="X293" s="13"/>
      <c r="Y293" s="13"/>
    </row>
    <row r="294" spans="1:25" ht="18" x14ac:dyDescent="0.25">
      <c r="A294" s="157"/>
      <c r="B294" s="96"/>
      <c r="C294" s="96"/>
      <c r="D294" s="159"/>
      <c r="E294" s="201"/>
      <c r="F294" s="201"/>
      <c r="G294" s="202"/>
      <c r="H294" s="202"/>
      <c r="I294" s="202"/>
      <c r="J294" s="203"/>
      <c r="K294" s="204"/>
      <c r="L294" s="202"/>
      <c r="M294" s="201"/>
      <c r="N294" s="201"/>
      <c r="O294" s="192"/>
      <c r="P294" s="214"/>
      <c r="Q294" s="217">
        <f t="shared" si="15"/>
        <v>0</v>
      </c>
      <c r="R294" s="217"/>
      <c r="S294" s="218">
        <f t="shared" si="16"/>
        <v>0</v>
      </c>
      <c r="T294" s="218">
        <f t="shared" si="17"/>
        <v>0</v>
      </c>
      <c r="U294" s="217"/>
      <c r="V294" s="218"/>
      <c r="W294" s="222"/>
      <c r="X294" s="13"/>
      <c r="Y294" s="13"/>
    </row>
    <row r="295" spans="1:25" ht="18" x14ac:dyDescent="0.25">
      <c r="A295" s="157"/>
      <c r="B295" s="96"/>
      <c r="C295" s="96"/>
      <c r="D295" s="159"/>
      <c r="E295" s="201"/>
      <c r="F295" s="201"/>
      <c r="G295" s="202"/>
      <c r="H295" s="202"/>
      <c r="I295" s="202"/>
      <c r="J295" s="203"/>
      <c r="K295" s="204"/>
      <c r="L295" s="202"/>
      <c r="M295" s="201"/>
      <c r="N295" s="201"/>
      <c r="O295" s="192"/>
      <c r="P295" s="214"/>
      <c r="Q295" s="217">
        <f t="shared" si="15"/>
        <v>0</v>
      </c>
      <c r="R295" s="217"/>
      <c r="S295" s="218">
        <f t="shared" si="16"/>
        <v>0</v>
      </c>
      <c r="T295" s="218">
        <f t="shared" si="17"/>
        <v>0</v>
      </c>
      <c r="U295" s="217"/>
      <c r="V295" s="218"/>
      <c r="W295" s="222"/>
      <c r="X295" s="13"/>
      <c r="Y295" s="13"/>
    </row>
    <row r="296" spans="1:25" ht="18" x14ac:dyDescent="0.25">
      <c r="A296" s="186"/>
      <c r="B296" s="205"/>
      <c r="C296" s="205"/>
      <c r="D296" s="191"/>
      <c r="E296" s="206"/>
      <c r="F296" s="206"/>
      <c r="G296" s="207"/>
      <c r="H296" s="207"/>
      <c r="I296" s="207"/>
      <c r="J296" s="208"/>
      <c r="K296" s="209"/>
      <c r="L296" s="207"/>
      <c r="M296" s="206"/>
      <c r="N296" s="206"/>
      <c r="O296" s="193"/>
      <c r="P296" s="214"/>
      <c r="Q296" s="217">
        <f t="shared" si="15"/>
        <v>0</v>
      </c>
      <c r="R296" s="217"/>
      <c r="S296" s="218">
        <f t="shared" si="16"/>
        <v>0</v>
      </c>
      <c r="T296" s="218">
        <f t="shared" si="17"/>
        <v>0</v>
      </c>
      <c r="U296" s="217"/>
      <c r="V296" s="218"/>
      <c r="W296" s="222"/>
      <c r="X296" s="13"/>
      <c r="Y296" s="13"/>
    </row>
    <row r="297" spans="1:25" ht="18" x14ac:dyDescent="0.25">
      <c r="A297" s="168" t="s">
        <v>7</v>
      </c>
      <c r="B297" s="538" t="s">
        <v>8</v>
      </c>
      <c r="C297" s="538"/>
      <c r="D297" s="168" t="s">
        <v>9</v>
      </c>
      <c r="E297" s="168" t="s">
        <v>10</v>
      </c>
      <c r="F297" s="541" t="s">
        <v>11</v>
      </c>
      <c r="G297" s="541" t="s">
        <v>12</v>
      </c>
      <c r="H297" s="168" t="s">
        <v>13</v>
      </c>
      <c r="I297" s="168"/>
      <c r="J297" s="168" t="s">
        <v>15</v>
      </c>
      <c r="K297" s="168" t="s">
        <v>16</v>
      </c>
      <c r="L297" s="544" t="s">
        <v>17</v>
      </c>
      <c r="M297" s="544"/>
      <c r="N297" s="544"/>
      <c r="O297" s="168" t="s">
        <v>18</v>
      </c>
      <c r="P297" s="214"/>
      <c r="Q297" s="217" t="str">
        <f t="shared" si="15"/>
        <v>Nama Barang</v>
      </c>
      <c r="R297" s="217"/>
      <c r="S297" s="218" t="str">
        <f t="shared" si="16"/>
        <v xml:space="preserve">Tahun </v>
      </c>
      <c r="T297" s="218" t="str">
        <f t="shared" si="17"/>
        <v xml:space="preserve">Jumlah </v>
      </c>
      <c r="U297" s="217"/>
      <c r="V297" s="218"/>
      <c r="W297" s="222"/>
      <c r="X297" s="13"/>
      <c r="Y297" s="13"/>
    </row>
    <row r="298" spans="1:25" ht="18" x14ac:dyDescent="0.25">
      <c r="A298" s="542" t="s">
        <v>19</v>
      </c>
      <c r="B298" s="546" t="s">
        <v>20</v>
      </c>
      <c r="C298" s="547"/>
      <c r="D298" s="542" t="s">
        <v>21</v>
      </c>
      <c r="E298" s="542" t="s">
        <v>22</v>
      </c>
      <c r="F298" s="542"/>
      <c r="G298" s="542"/>
      <c r="H298" s="104" t="s">
        <v>23</v>
      </c>
      <c r="I298" s="104" t="s">
        <v>14</v>
      </c>
      <c r="J298" s="104" t="s">
        <v>24</v>
      </c>
      <c r="K298" s="104" t="s">
        <v>25</v>
      </c>
      <c r="L298" s="104" t="s">
        <v>26</v>
      </c>
      <c r="M298" s="104" t="s">
        <v>27</v>
      </c>
      <c r="N298" s="104" t="s">
        <v>28</v>
      </c>
      <c r="O298" s="539" t="s">
        <v>29</v>
      </c>
      <c r="P298" s="214"/>
      <c r="Q298" s="217" t="str">
        <f t="shared" si="15"/>
        <v>Jenis Barang</v>
      </c>
      <c r="R298" s="217"/>
      <c r="S298" s="218" t="str">
        <f t="shared" si="16"/>
        <v>Pembuatan</v>
      </c>
      <c r="T298" s="218" t="str">
        <f t="shared" si="17"/>
        <v>Barang</v>
      </c>
      <c r="U298" s="217"/>
      <c r="V298" s="218"/>
      <c r="W298" s="222"/>
      <c r="X298" s="13"/>
      <c r="Y298" s="13"/>
    </row>
    <row r="299" spans="1:25" ht="18" x14ac:dyDescent="0.25">
      <c r="A299" s="543"/>
      <c r="B299" s="548"/>
      <c r="C299" s="549"/>
      <c r="D299" s="543"/>
      <c r="E299" s="543"/>
      <c r="F299" s="543"/>
      <c r="G299" s="543"/>
      <c r="H299" s="105" t="s">
        <v>30</v>
      </c>
      <c r="I299" s="105"/>
      <c r="J299" s="105" t="s">
        <v>31</v>
      </c>
      <c r="K299" s="105" t="s">
        <v>32</v>
      </c>
      <c r="L299" s="105" t="s">
        <v>33</v>
      </c>
      <c r="M299" s="105" t="s">
        <v>34</v>
      </c>
      <c r="N299" s="105" t="s">
        <v>35</v>
      </c>
      <c r="O299" s="540"/>
      <c r="P299" s="214"/>
      <c r="Q299" s="217">
        <f t="shared" si="15"/>
        <v>0</v>
      </c>
      <c r="R299" s="217"/>
      <c r="S299" s="218" t="str">
        <f t="shared" si="16"/>
        <v>Atau Pembelian</v>
      </c>
      <c r="T299" s="218" t="str">
        <f t="shared" si="17"/>
        <v>Register x)</v>
      </c>
      <c r="U299" s="217"/>
      <c r="V299" s="218"/>
      <c r="W299" s="222"/>
      <c r="X299" s="13"/>
      <c r="Y299" s="13"/>
    </row>
    <row r="300" spans="1:25" ht="18" x14ac:dyDescent="0.25">
      <c r="A300" s="47">
        <v>1</v>
      </c>
      <c r="B300" s="536">
        <v>2</v>
      </c>
      <c r="C300" s="537"/>
      <c r="D300" s="166">
        <v>3</v>
      </c>
      <c r="E300" s="166">
        <v>4</v>
      </c>
      <c r="F300" s="167">
        <v>5</v>
      </c>
      <c r="G300" s="167">
        <v>6</v>
      </c>
      <c r="H300" s="104">
        <v>7</v>
      </c>
      <c r="I300" s="104">
        <v>8</v>
      </c>
      <c r="J300" s="104">
        <v>9</v>
      </c>
      <c r="K300" s="104">
        <v>10</v>
      </c>
      <c r="L300" s="104">
        <v>11</v>
      </c>
      <c r="M300" s="104">
        <v>12</v>
      </c>
      <c r="N300" s="104">
        <v>13</v>
      </c>
      <c r="O300" s="166">
        <v>14</v>
      </c>
      <c r="P300" s="214"/>
      <c r="Q300" s="217">
        <f t="shared" si="15"/>
        <v>2</v>
      </c>
      <c r="R300" s="217"/>
      <c r="S300" s="218">
        <f t="shared" si="16"/>
        <v>7</v>
      </c>
      <c r="T300" s="218">
        <f t="shared" si="17"/>
        <v>9</v>
      </c>
      <c r="U300" s="217"/>
      <c r="V300" s="218"/>
      <c r="W300" s="222"/>
      <c r="X300" s="13"/>
      <c r="Y300" s="13"/>
    </row>
    <row r="301" spans="1:25" ht="47.25" x14ac:dyDescent="0.25">
      <c r="A301" s="47">
        <f>A287+1</f>
        <v>177</v>
      </c>
      <c r="B301" s="443" t="s">
        <v>112</v>
      </c>
      <c r="C301" s="444"/>
      <c r="D301" s="26" t="s">
        <v>113</v>
      </c>
      <c r="E301" s="32"/>
      <c r="F301" s="32"/>
      <c r="G301" s="30"/>
      <c r="H301" s="9">
        <v>2020</v>
      </c>
      <c r="I301" s="9" t="s">
        <v>114</v>
      </c>
      <c r="J301" s="11" t="s">
        <v>125</v>
      </c>
      <c r="K301" s="20">
        <v>7053750</v>
      </c>
      <c r="L301" s="9" t="s">
        <v>26</v>
      </c>
      <c r="M301" s="32"/>
      <c r="N301" s="32"/>
      <c r="O301" s="50" t="s">
        <v>531</v>
      </c>
      <c r="P301" s="214"/>
      <c r="Q301" s="217"/>
      <c r="R301" s="217"/>
      <c r="S301" s="218"/>
      <c r="T301" s="218"/>
      <c r="U301" s="217"/>
      <c r="V301" s="218"/>
      <c r="W301" s="222"/>
      <c r="X301" s="13"/>
      <c r="Y301" s="13"/>
    </row>
    <row r="302" spans="1:25" ht="47.25" x14ac:dyDescent="0.25">
      <c r="A302" s="47">
        <f t="shared" ref="A302:A309" si="21">A301+1</f>
        <v>178</v>
      </c>
      <c r="B302" s="443" t="s">
        <v>112</v>
      </c>
      <c r="C302" s="444"/>
      <c r="D302" s="26" t="s">
        <v>113</v>
      </c>
      <c r="E302" s="32"/>
      <c r="F302" s="32"/>
      <c r="G302" s="30"/>
      <c r="H302" s="9">
        <v>2020</v>
      </c>
      <c r="I302" s="9" t="s">
        <v>114</v>
      </c>
      <c r="J302" s="11" t="s">
        <v>67</v>
      </c>
      <c r="K302" s="20">
        <v>7053750</v>
      </c>
      <c r="L302" s="9" t="s">
        <v>26</v>
      </c>
      <c r="M302" s="32"/>
      <c r="N302" s="32"/>
      <c r="O302" s="50" t="s">
        <v>529</v>
      </c>
      <c r="P302" s="214"/>
      <c r="Q302" s="217"/>
      <c r="R302" s="217"/>
      <c r="S302" s="218"/>
      <c r="T302" s="218"/>
      <c r="U302" s="217"/>
      <c r="V302" s="218"/>
      <c r="W302" s="222"/>
      <c r="X302" s="13"/>
      <c r="Y302" s="13"/>
    </row>
    <row r="303" spans="1:25" ht="47.25" x14ac:dyDescent="0.25">
      <c r="A303" s="47">
        <f t="shared" si="21"/>
        <v>179</v>
      </c>
      <c r="B303" s="443" t="s">
        <v>112</v>
      </c>
      <c r="C303" s="444"/>
      <c r="D303" s="26" t="s">
        <v>113</v>
      </c>
      <c r="E303" s="32"/>
      <c r="F303" s="32"/>
      <c r="G303" s="30"/>
      <c r="H303" s="9">
        <v>2020</v>
      </c>
      <c r="I303" s="9" t="s">
        <v>114</v>
      </c>
      <c r="J303" s="11" t="s">
        <v>74</v>
      </c>
      <c r="K303" s="20">
        <v>7053750</v>
      </c>
      <c r="L303" s="9" t="s">
        <v>26</v>
      </c>
      <c r="M303" s="32"/>
      <c r="N303" s="32"/>
      <c r="O303" s="50" t="s">
        <v>530</v>
      </c>
      <c r="P303" s="214"/>
      <c r="Q303" s="217"/>
      <c r="R303" s="217"/>
      <c r="S303" s="218"/>
      <c r="T303" s="218"/>
      <c r="U303" s="217"/>
      <c r="V303" s="218"/>
      <c r="W303" s="222"/>
      <c r="X303" s="13"/>
      <c r="Y303" s="13"/>
    </row>
    <row r="304" spans="1:25" ht="47.25" x14ac:dyDescent="0.25">
      <c r="A304" s="47">
        <f t="shared" si="21"/>
        <v>180</v>
      </c>
      <c r="B304" s="443" t="s">
        <v>112</v>
      </c>
      <c r="C304" s="444"/>
      <c r="D304" s="26" t="s">
        <v>113</v>
      </c>
      <c r="E304" s="32"/>
      <c r="F304" s="32"/>
      <c r="G304" s="30"/>
      <c r="H304" s="9">
        <v>2020</v>
      </c>
      <c r="I304" s="9" t="s">
        <v>114</v>
      </c>
      <c r="J304" s="11" t="s">
        <v>58</v>
      </c>
      <c r="K304" s="20">
        <v>7053750</v>
      </c>
      <c r="L304" s="9" t="s">
        <v>26</v>
      </c>
      <c r="M304" s="32"/>
      <c r="N304" s="32"/>
      <c r="O304" s="50" t="s">
        <v>532</v>
      </c>
      <c r="P304" s="214"/>
      <c r="Q304" s="217"/>
      <c r="R304" s="217"/>
      <c r="S304" s="218"/>
      <c r="T304" s="218"/>
      <c r="U304" s="217"/>
      <c r="V304" s="218"/>
      <c r="W304" s="222"/>
      <c r="X304" s="13"/>
      <c r="Y304" s="13"/>
    </row>
    <row r="305" spans="1:25" ht="63" x14ac:dyDescent="0.25">
      <c r="A305" s="47">
        <f t="shared" si="21"/>
        <v>181</v>
      </c>
      <c r="B305" s="443" t="s">
        <v>112</v>
      </c>
      <c r="C305" s="444"/>
      <c r="D305" s="26" t="s">
        <v>113</v>
      </c>
      <c r="E305" s="32"/>
      <c r="F305" s="32"/>
      <c r="G305" s="30"/>
      <c r="H305" s="9">
        <v>2020</v>
      </c>
      <c r="I305" s="9" t="s">
        <v>114</v>
      </c>
      <c r="J305" s="11" t="s">
        <v>97</v>
      </c>
      <c r="K305" s="20">
        <v>7053750</v>
      </c>
      <c r="L305" s="9" t="s">
        <v>26</v>
      </c>
      <c r="M305" s="32"/>
      <c r="N305" s="32"/>
      <c r="O305" s="50" t="s">
        <v>534</v>
      </c>
      <c r="P305" s="214"/>
      <c r="Q305" s="217"/>
      <c r="R305" s="217"/>
      <c r="S305" s="218"/>
      <c r="T305" s="218"/>
      <c r="U305" s="217"/>
      <c r="V305" s="218"/>
      <c r="W305" s="222"/>
      <c r="X305" s="13"/>
      <c r="Y305" s="13"/>
    </row>
    <row r="306" spans="1:25" ht="31.5" x14ac:dyDescent="0.25">
      <c r="A306" s="47">
        <f t="shared" si="21"/>
        <v>182</v>
      </c>
      <c r="B306" s="443" t="s">
        <v>182</v>
      </c>
      <c r="C306" s="444"/>
      <c r="D306" s="26" t="s">
        <v>183</v>
      </c>
      <c r="E306" s="12"/>
      <c r="F306" s="12"/>
      <c r="G306" s="30"/>
      <c r="H306" s="9">
        <v>2020</v>
      </c>
      <c r="I306" s="9" t="s">
        <v>521</v>
      </c>
      <c r="J306" s="11" t="s">
        <v>43</v>
      </c>
      <c r="K306" s="20">
        <v>4125800</v>
      </c>
      <c r="L306" s="9" t="s">
        <v>26</v>
      </c>
      <c r="M306" s="12"/>
      <c r="N306" s="12"/>
      <c r="O306" s="26" t="s">
        <v>520</v>
      </c>
      <c r="P306" s="214"/>
      <c r="Q306" s="217"/>
      <c r="R306" s="217"/>
      <c r="S306" s="218"/>
      <c r="T306" s="218"/>
      <c r="U306" s="217"/>
      <c r="V306" s="218"/>
      <c r="W306" s="222"/>
      <c r="X306" s="13"/>
      <c r="Y306" s="13"/>
    </row>
    <row r="307" spans="1:25" ht="31.5" x14ac:dyDescent="0.25">
      <c r="A307" s="47">
        <f t="shared" si="21"/>
        <v>183</v>
      </c>
      <c r="B307" s="447" t="s">
        <v>49</v>
      </c>
      <c r="C307" s="448"/>
      <c r="D307" s="40" t="s">
        <v>280</v>
      </c>
      <c r="E307" s="60"/>
      <c r="F307" s="60"/>
      <c r="G307" s="39" t="s">
        <v>50</v>
      </c>
      <c r="H307" s="39">
        <v>2011</v>
      </c>
      <c r="I307" s="39" t="s">
        <v>51</v>
      </c>
      <c r="J307" s="56" t="s">
        <v>74</v>
      </c>
      <c r="K307" s="155">
        <v>1485000</v>
      </c>
      <c r="L307" s="39" t="s">
        <v>26</v>
      </c>
      <c r="M307" s="60"/>
      <c r="N307" s="60"/>
      <c r="O307" s="50" t="s">
        <v>237</v>
      </c>
      <c r="P307" s="214"/>
      <c r="Q307" s="217"/>
      <c r="R307" s="217"/>
      <c r="S307" s="218"/>
      <c r="T307" s="218"/>
      <c r="U307" s="217"/>
      <c r="V307" s="218"/>
      <c r="W307" s="222"/>
      <c r="X307" s="13"/>
      <c r="Y307" s="13"/>
    </row>
    <row r="308" spans="1:25" ht="31.5" x14ac:dyDescent="0.25">
      <c r="A308" s="47">
        <f t="shared" si="21"/>
        <v>184</v>
      </c>
      <c r="B308" s="443" t="s">
        <v>49</v>
      </c>
      <c r="C308" s="444"/>
      <c r="D308" s="26" t="s">
        <v>241</v>
      </c>
      <c r="E308" s="32"/>
      <c r="F308" s="32"/>
      <c r="G308" s="9" t="s">
        <v>50</v>
      </c>
      <c r="H308" s="9">
        <v>2011</v>
      </c>
      <c r="I308" s="9" t="s">
        <v>51</v>
      </c>
      <c r="J308" s="11" t="s">
        <v>58</v>
      </c>
      <c r="K308" s="20">
        <v>1485000</v>
      </c>
      <c r="L308" s="9" t="s">
        <v>26</v>
      </c>
      <c r="M308" s="32"/>
      <c r="N308" s="32"/>
      <c r="O308" s="40" t="s">
        <v>238</v>
      </c>
      <c r="P308" s="214"/>
      <c r="Q308" s="217" t="str">
        <f t="shared" si="15"/>
        <v>Kursi Kerja Pejabat Eselon III</v>
      </c>
      <c r="R308" s="217"/>
      <c r="S308" s="218">
        <f t="shared" si="16"/>
        <v>2011</v>
      </c>
      <c r="T308" s="218" t="str">
        <f t="shared" si="17"/>
        <v>0007</v>
      </c>
      <c r="U308" s="217"/>
      <c r="V308" s="218"/>
      <c r="W308" s="222"/>
      <c r="X308" s="13"/>
      <c r="Y308" s="13"/>
    </row>
    <row r="309" spans="1:25" ht="31.5" x14ac:dyDescent="0.25">
      <c r="A309" s="47">
        <f t="shared" si="21"/>
        <v>185</v>
      </c>
      <c r="B309" s="443" t="s">
        <v>49</v>
      </c>
      <c r="C309" s="444"/>
      <c r="D309" s="121" t="s">
        <v>289</v>
      </c>
      <c r="E309" s="12"/>
      <c r="F309" s="12"/>
      <c r="G309" s="9" t="s">
        <v>50</v>
      </c>
      <c r="H309" s="9">
        <v>1997</v>
      </c>
      <c r="I309" s="9" t="s">
        <v>51</v>
      </c>
      <c r="J309" s="11" t="s">
        <v>149</v>
      </c>
      <c r="K309" s="172">
        <v>539000</v>
      </c>
      <c r="L309" s="30" t="s">
        <v>27</v>
      </c>
      <c r="M309" s="12"/>
      <c r="N309" s="12"/>
      <c r="O309" s="10" t="s">
        <v>515</v>
      </c>
      <c r="P309" s="214"/>
      <c r="Q309" s="217" t="str">
        <f t="shared" si="15"/>
        <v>Kursi Kerja Pejabat Eselon III</v>
      </c>
      <c r="R309" s="217"/>
      <c r="S309" s="218">
        <f t="shared" si="16"/>
        <v>1997</v>
      </c>
      <c r="T309" s="218" t="str">
        <f t="shared" si="17"/>
        <v>0011</v>
      </c>
      <c r="U309" s="217"/>
      <c r="V309" s="218"/>
      <c r="W309" s="222"/>
      <c r="X309" s="13"/>
      <c r="Y309" s="13"/>
    </row>
    <row r="310" spans="1:25" ht="31.5" x14ac:dyDescent="0.25">
      <c r="A310" s="47">
        <f t="shared" si="14"/>
        <v>186</v>
      </c>
      <c r="B310" s="534" t="s">
        <v>49</v>
      </c>
      <c r="C310" s="535"/>
      <c r="D310" s="48" t="s">
        <v>259</v>
      </c>
      <c r="E310" s="41"/>
      <c r="F310" s="41"/>
      <c r="G310" s="43" t="s">
        <v>50</v>
      </c>
      <c r="H310" s="43">
        <v>2015</v>
      </c>
      <c r="I310" s="43" t="s">
        <v>51</v>
      </c>
      <c r="J310" s="44" t="s">
        <v>111</v>
      </c>
      <c r="K310" s="63">
        <v>2400000</v>
      </c>
      <c r="L310" s="43" t="s">
        <v>26</v>
      </c>
      <c r="M310" s="41"/>
      <c r="N310" s="41"/>
      <c r="O310" s="109" t="s">
        <v>507</v>
      </c>
      <c r="P310" s="214"/>
      <c r="Q310" s="217" t="str">
        <f t="shared" si="15"/>
        <v>Kursi Kerja Pejabat Eselon III</v>
      </c>
      <c r="R310" s="217"/>
      <c r="S310" s="218">
        <f t="shared" si="16"/>
        <v>2015</v>
      </c>
      <c r="T310" s="218" t="str">
        <f t="shared" si="17"/>
        <v>0013</v>
      </c>
      <c r="U310" s="217"/>
      <c r="V310" s="218"/>
      <c r="W310" s="222"/>
      <c r="X310" s="13"/>
      <c r="Y310" s="13"/>
    </row>
    <row r="311" spans="1:25" ht="31.5" x14ac:dyDescent="0.25">
      <c r="A311" s="47">
        <f t="shared" si="14"/>
        <v>187</v>
      </c>
      <c r="B311" s="553" t="s">
        <v>49</v>
      </c>
      <c r="C311" s="554"/>
      <c r="D311" s="174" t="s">
        <v>290</v>
      </c>
      <c r="E311" s="175"/>
      <c r="F311" s="175"/>
      <c r="G311" s="176" t="s">
        <v>50</v>
      </c>
      <c r="H311" s="176">
        <v>2018</v>
      </c>
      <c r="I311" s="176" t="s">
        <v>51</v>
      </c>
      <c r="J311" s="177" t="s">
        <v>83</v>
      </c>
      <c r="K311" s="178">
        <v>1969099</v>
      </c>
      <c r="L311" s="176" t="s">
        <v>26</v>
      </c>
      <c r="M311" s="175"/>
      <c r="N311" s="175"/>
      <c r="O311" s="179" t="s">
        <v>514</v>
      </c>
      <c r="P311" s="214"/>
      <c r="Q311" s="217" t="str">
        <f t="shared" si="15"/>
        <v>Kursi Kerja Pejabat Eselon III</v>
      </c>
      <c r="R311" s="217"/>
      <c r="S311" s="218">
        <f t="shared" si="16"/>
        <v>2018</v>
      </c>
      <c r="T311" s="218" t="str">
        <f t="shared" si="17"/>
        <v>0015</v>
      </c>
      <c r="U311" s="217"/>
      <c r="V311" s="218"/>
      <c r="W311" s="222"/>
      <c r="X311" s="13"/>
      <c r="Y311" s="13"/>
    </row>
    <row r="312" spans="1:25" ht="31.5" x14ac:dyDescent="0.25">
      <c r="A312" s="47">
        <f t="shared" si="14"/>
        <v>188</v>
      </c>
      <c r="B312" s="553" t="s">
        <v>49</v>
      </c>
      <c r="C312" s="554"/>
      <c r="D312" s="174" t="s">
        <v>278</v>
      </c>
      <c r="E312" s="175"/>
      <c r="F312" s="175"/>
      <c r="G312" s="176" t="s">
        <v>42</v>
      </c>
      <c r="H312" s="176">
        <v>2018</v>
      </c>
      <c r="I312" s="176" t="s">
        <v>51</v>
      </c>
      <c r="J312" s="177" t="s">
        <v>60</v>
      </c>
      <c r="K312" s="184">
        <v>1969099</v>
      </c>
      <c r="L312" s="176" t="s">
        <v>26</v>
      </c>
      <c r="M312" s="174"/>
      <c r="N312" s="175"/>
      <c r="O312" s="185" t="s">
        <v>524</v>
      </c>
      <c r="P312" s="214"/>
      <c r="Q312" s="217" t="str">
        <f t="shared" si="15"/>
        <v>Kursi Kerja Pejabat Eselon III</v>
      </c>
      <c r="R312" s="217"/>
      <c r="S312" s="218">
        <f t="shared" si="16"/>
        <v>2018</v>
      </c>
      <c r="T312" s="218" t="str">
        <f t="shared" si="17"/>
        <v>0014</v>
      </c>
      <c r="U312" s="217"/>
      <c r="V312" s="218"/>
      <c r="W312" s="222"/>
      <c r="X312" s="13"/>
      <c r="Y312" s="13"/>
    </row>
    <row r="313" spans="1:25" ht="31.5" x14ac:dyDescent="0.25">
      <c r="A313" s="47">
        <f t="shared" si="14"/>
        <v>189</v>
      </c>
      <c r="B313" s="553" t="s">
        <v>49</v>
      </c>
      <c r="C313" s="554"/>
      <c r="D313" s="179" t="s">
        <v>290</v>
      </c>
      <c r="E313" s="182"/>
      <c r="F313" s="182"/>
      <c r="G313" s="176" t="s">
        <v>50</v>
      </c>
      <c r="H313" s="176">
        <v>2018</v>
      </c>
      <c r="I313" s="176" t="s">
        <v>51</v>
      </c>
      <c r="J313" s="177" t="s">
        <v>83</v>
      </c>
      <c r="K313" s="178">
        <v>1969099</v>
      </c>
      <c r="L313" s="176" t="s">
        <v>26</v>
      </c>
      <c r="M313" s="182"/>
      <c r="N313" s="182"/>
      <c r="O313" s="179" t="s">
        <v>508</v>
      </c>
      <c r="P313" s="214"/>
      <c r="Q313" s="217" t="str">
        <f t="shared" si="15"/>
        <v>Kursi Kerja Pejabat Eselon III</v>
      </c>
      <c r="R313" s="217"/>
      <c r="S313" s="218">
        <f t="shared" si="16"/>
        <v>2018</v>
      </c>
      <c r="T313" s="218" t="str">
        <f t="shared" si="17"/>
        <v>0015</v>
      </c>
      <c r="U313" s="217"/>
      <c r="V313" s="218"/>
      <c r="W313" s="222"/>
      <c r="X313" s="13"/>
      <c r="Y313" s="13"/>
    </row>
    <row r="314" spans="1:25" ht="47.25" x14ac:dyDescent="0.25">
      <c r="A314" s="47">
        <f t="shared" si="14"/>
        <v>190</v>
      </c>
      <c r="B314" s="443" t="s">
        <v>146</v>
      </c>
      <c r="C314" s="444"/>
      <c r="D314" s="26" t="s">
        <v>430</v>
      </c>
      <c r="E314" s="32"/>
      <c r="F314" s="32"/>
      <c r="G314" s="9" t="s">
        <v>50</v>
      </c>
      <c r="H314" s="9">
        <v>2011</v>
      </c>
      <c r="I314" s="9" t="s">
        <v>147</v>
      </c>
      <c r="J314" s="11" t="s">
        <v>125</v>
      </c>
      <c r="K314" s="89">
        <v>1755000</v>
      </c>
      <c r="L314" s="9" t="s">
        <v>26</v>
      </c>
      <c r="M314" s="32"/>
      <c r="N314" s="32"/>
      <c r="O314" s="26" t="s">
        <v>520</v>
      </c>
      <c r="P314" s="214"/>
      <c r="Q314" s="217" t="str">
        <f t="shared" si="15"/>
        <v>Kursi Kerja Pejabat Eselon IV</v>
      </c>
      <c r="R314" s="217"/>
      <c r="S314" s="218">
        <f t="shared" si="16"/>
        <v>2011</v>
      </c>
      <c r="T314" s="218" t="str">
        <f t="shared" si="17"/>
        <v>0004</v>
      </c>
      <c r="U314" s="217"/>
      <c r="V314" s="218"/>
      <c r="W314" s="222"/>
      <c r="X314" s="13"/>
      <c r="Y314" s="13"/>
    </row>
    <row r="315" spans="1:25" ht="47.25" x14ac:dyDescent="0.25">
      <c r="A315" s="47">
        <f t="shared" si="14"/>
        <v>191</v>
      </c>
      <c r="B315" s="443" t="s">
        <v>146</v>
      </c>
      <c r="C315" s="444"/>
      <c r="D315" s="10" t="s">
        <v>260</v>
      </c>
      <c r="E315" s="12"/>
      <c r="F315" s="12"/>
      <c r="G315" s="9" t="s">
        <v>50</v>
      </c>
      <c r="H315" s="9">
        <v>2011</v>
      </c>
      <c r="I315" s="9" t="s">
        <v>147</v>
      </c>
      <c r="J315" s="11" t="s">
        <v>67</v>
      </c>
      <c r="K315" s="20">
        <v>585000</v>
      </c>
      <c r="L315" s="9" t="s">
        <v>26</v>
      </c>
      <c r="M315" s="12"/>
      <c r="N315" s="12"/>
      <c r="O315" s="32" t="s">
        <v>506</v>
      </c>
      <c r="P315" s="214"/>
      <c r="Q315" s="217" t="str">
        <f t="shared" si="15"/>
        <v>Kursi Kerja Pejabat Eselon IV</v>
      </c>
      <c r="R315" s="217"/>
      <c r="S315" s="218">
        <f t="shared" si="16"/>
        <v>2011</v>
      </c>
      <c r="T315" s="218" t="str">
        <f t="shared" si="17"/>
        <v>0005</v>
      </c>
      <c r="U315" s="217"/>
      <c r="V315" s="218"/>
      <c r="W315" s="222"/>
      <c r="X315" s="13"/>
      <c r="Y315" s="13"/>
    </row>
    <row r="316" spans="1:25" ht="47.25" x14ac:dyDescent="0.25">
      <c r="A316" s="47">
        <f t="shared" si="14"/>
        <v>192</v>
      </c>
      <c r="B316" s="534" t="s">
        <v>146</v>
      </c>
      <c r="C316" s="535"/>
      <c r="D316" s="48" t="s">
        <v>426</v>
      </c>
      <c r="E316" s="41"/>
      <c r="F316" s="41"/>
      <c r="G316" s="43" t="s">
        <v>50</v>
      </c>
      <c r="H316" s="43">
        <v>2010</v>
      </c>
      <c r="I316" s="43" t="s">
        <v>147</v>
      </c>
      <c r="J316" s="44" t="s">
        <v>74</v>
      </c>
      <c r="K316" s="63">
        <v>942500</v>
      </c>
      <c r="L316" s="43" t="s">
        <v>26</v>
      </c>
      <c r="M316" s="41"/>
      <c r="N316" s="41"/>
      <c r="O316" s="40" t="s">
        <v>378</v>
      </c>
      <c r="P316" s="214"/>
      <c r="Q316" s="217" t="str">
        <f t="shared" si="15"/>
        <v>Kursi Kerja Pejabat Eselon IV</v>
      </c>
      <c r="R316" s="217"/>
      <c r="S316" s="218">
        <f t="shared" si="16"/>
        <v>2010</v>
      </c>
      <c r="T316" s="218" t="str">
        <f t="shared" si="17"/>
        <v>0006</v>
      </c>
      <c r="U316" s="217"/>
      <c r="V316" s="218"/>
      <c r="W316" s="222"/>
      <c r="X316" s="13"/>
      <c r="Y316" s="13"/>
    </row>
    <row r="317" spans="1:25" ht="63" x14ac:dyDescent="0.25">
      <c r="A317" s="47">
        <f>A316+1</f>
        <v>193</v>
      </c>
      <c r="B317" s="443" t="s">
        <v>146</v>
      </c>
      <c r="C317" s="444"/>
      <c r="D317" s="10" t="s">
        <v>221</v>
      </c>
      <c r="E317" s="12"/>
      <c r="F317" s="12"/>
      <c r="G317" s="9" t="s">
        <v>214</v>
      </c>
      <c r="H317" s="9">
        <v>2015</v>
      </c>
      <c r="I317" s="9" t="s">
        <v>147</v>
      </c>
      <c r="J317" s="11" t="s">
        <v>58</v>
      </c>
      <c r="K317" s="172">
        <v>2181159</v>
      </c>
      <c r="L317" s="9" t="s">
        <v>26</v>
      </c>
      <c r="M317" s="12"/>
      <c r="N317" s="12"/>
      <c r="O317" s="26" t="s">
        <v>219</v>
      </c>
      <c r="P317" s="214"/>
      <c r="Q317" s="217"/>
      <c r="R317" s="217"/>
      <c r="S317" s="218"/>
      <c r="T317" s="218"/>
      <c r="U317" s="217"/>
      <c r="V317" s="218"/>
      <c r="W317" s="222"/>
      <c r="X317" s="13"/>
      <c r="Y317" s="13"/>
    </row>
    <row r="318" spans="1:25" ht="18" x14ac:dyDescent="0.25">
      <c r="A318" s="115"/>
      <c r="B318" s="128"/>
      <c r="C318" s="128"/>
      <c r="D318" s="129"/>
      <c r="E318" s="130"/>
      <c r="F318" s="130"/>
      <c r="G318" s="131"/>
      <c r="H318" s="131"/>
      <c r="I318" s="131"/>
      <c r="J318" s="132"/>
      <c r="K318" s="230">
        <f>SUM(K301:K317)</f>
        <v>56674506</v>
      </c>
      <c r="L318" s="131"/>
      <c r="M318" s="130"/>
      <c r="N318" s="130"/>
      <c r="O318" s="188"/>
      <c r="P318" s="214"/>
      <c r="Q318" s="217"/>
      <c r="R318" s="217"/>
      <c r="S318" s="218"/>
      <c r="T318" s="218"/>
      <c r="U318" s="217"/>
      <c r="V318" s="218"/>
      <c r="W318" s="222"/>
      <c r="X318" s="13"/>
      <c r="Y318" s="13"/>
    </row>
    <row r="319" spans="1:25" ht="18" x14ac:dyDescent="0.25">
      <c r="A319" s="157"/>
      <c r="B319" s="123"/>
      <c r="C319" s="123"/>
      <c r="D319" s="124"/>
      <c r="E319" s="125"/>
      <c r="F319" s="125"/>
      <c r="G319" s="94"/>
      <c r="H319" s="94"/>
      <c r="I319" s="94"/>
      <c r="J319" s="126"/>
      <c r="K319" s="134"/>
      <c r="L319" s="94"/>
      <c r="M319" s="125"/>
      <c r="N319" s="125"/>
      <c r="O319" s="159"/>
      <c r="P319" s="214"/>
      <c r="Q319" s="217"/>
      <c r="R319" s="217"/>
      <c r="S319" s="218"/>
      <c r="T319" s="218"/>
      <c r="U319" s="217"/>
      <c r="V319" s="218"/>
      <c r="W319" s="222"/>
      <c r="X319" s="13"/>
      <c r="Y319" s="13"/>
    </row>
    <row r="320" spans="1:25" ht="18" x14ac:dyDescent="0.25">
      <c r="A320" s="157"/>
      <c r="B320" s="123"/>
      <c r="C320" s="123"/>
      <c r="D320" s="124"/>
      <c r="E320" s="125"/>
      <c r="F320" s="125"/>
      <c r="G320" s="94"/>
      <c r="H320" s="94"/>
      <c r="I320" s="94"/>
      <c r="J320" s="126"/>
      <c r="K320" s="134"/>
      <c r="L320" s="94"/>
      <c r="M320" s="125"/>
      <c r="N320" s="125"/>
      <c r="O320" s="159"/>
      <c r="P320" s="214"/>
      <c r="Q320" s="217"/>
      <c r="R320" s="217"/>
      <c r="S320" s="218"/>
      <c r="T320" s="218"/>
      <c r="U320" s="217"/>
      <c r="V320" s="218"/>
      <c r="W320" s="222"/>
      <c r="X320" s="13"/>
      <c r="Y320" s="13"/>
    </row>
    <row r="321" spans="1:26" ht="18" x14ac:dyDescent="0.25">
      <c r="A321" s="157"/>
      <c r="B321" s="123"/>
      <c r="C321" s="123"/>
      <c r="D321" s="124"/>
      <c r="E321" s="125"/>
      <c r="F321" s="125"/>
      <c r="G321" s="94"/>
      <c r="H321" s="94"/>
      <c r="I321" s="94"/>
      <c r="J321" s="126"/>
      <c r="K321" s="134"/>
      <c r="L321" s="94"/>
      <c r="M321" s="125"/>
      <c r="N321" s="125"/>
      <c r="O321" s="159"/>
      <c r="P321" s="214"/>
      <c r="Q321" s="217"/>
      <c r="R321" s="217"/>
      <c r="S321" s="218"/>
      <c r="T321" s="218"/>
      <c r="U321" s="217"/>
      <c r="V321" s="218"/>
      <c r="W321" s="222"/>
      <c r="X321" s="13"/>
      <c r="Y321" s="13"/>
    </row>
    <row r="322" spans="1:26" ht="18" x14ac:dyDescent="0.25">
      <c r="A322" s="157"/>
      <c r="B322" s="123"/>
      <c r="C322" s="123"/>
      <c r="D322" s="124"/>
      <c r="E322" s="125"/>
      <c r="F322" s="125"/>
      <c r="G322" s="94"/>
      <c r="H322" s="94"/>
      <c r="I322" s="94"/>
      <c r="J322" s="126"/>
      <c r="K322" s="134"/>
      <c r="L322" s="94"/>
      <c r="M322" s="125"/>
      <c r="N322" s="125"/>
      <c r="O322" s="159"/>
      <c r="P322" s="214"/>
      <c r="Q322" s="217"/>
      <c r="R322" s="217"/>
      <c r="S322" s="218"/>
      <c r="T322" s="218"/>
      <c r="U322" s="217"/>
      <c r="V322" s="218"/>
      <c r="W322" s="222"/>
      <c r="X322" s="13"/>
      <c r="Y322" s="13"/>
    </row>
    <row r="323" spans="1:26" ht="18" x14ac:dyDescent="0.25">
      <c r="B323" s="157"/>
      <c r="C323" s="123"/>
      <c r="D323" s="123"/>
      <c r="E323" s="124"/>
      <c r="F323" s="125"/>
      <c r="G323" s="125"/>
      <c r="H323" s="94"/>
      <c r="I323" s="94"/>
      <c r="J323" s="94"/>
      <c r="K323" s="126"/>
      <c r="L323" s="134"/>
      <c r="M323" s="94"/>
      <c r="N323" s="125"/>
      <c r="O323" s="125"/>
      <c r="P323" s="159"/>
      <c r="Q323" s="214"/>
      <c r="R323" s="217"/>
      <c r="S323" s="217"/>
      <c r="T323" s="218"/>
      <c r="U323" s="218"/>
      <c r="V323" s="217"/>
      <c r="W323" s="218"/>
      <c r="X323" s="222"/>
      <c r="Y323" s="13"/>
      <c r="Z323" s="13"/>
    </row>
    <row r="324" spans="1:26" ht="18" x14ac:dyDescent="0.25">
      <c r="B324" s="157"/>
      <c r="C324" s="123"/>
      <c r="D324" s="123"/>
      <c r="E324" s="124"/>
      <c r="F324" s="125"/>
      <c r="G324" s="125"/>
      <c r="H324" s="94"/>
      <c r="I324" s="94"/>
      <c r="J324" s="94"/>
      <c r="K324" s="126"/>
      <c r="L324" s="134"/>
      <c r="M324" s="94"/>
      <c r="N324" s="125"/>
      <c r="O324" s="125"/>
      <c r="P324" s="159"/>
      <c r="Q324" s="214"/>
      <c r="R324" s="217"/>
      <c r="S324" s="217"/>
      <c r="T324" s="218"/>
      <c r="U324" s="218"/>
      <c r="V324" s="217"/>
      <c r="W324" s="218"/>
      <c r="X324" s="222"/>
      <c r="Y324" s="13"/>
      <c r="Z324" s="13"/>
    </row>
    <row r="325" spans="1:26" ht="18" x14ac:dyDescent="0.25">
      <c r="B325" s="157"/>
      <c r="C325" s="123"/>
      <c r="D325" s="123"/>
      <c r="E325" s="124"/>
      <c r="F325" s="125"/>
      <c r="G325" s="125"/>
      <c r="H325" s="94"/>
      <c r="I325" s="94"/>
      <c r="J325" s="94"/>
      <c r="K325" s="126"/>
      <c r="L325" s="134"/>
      <c r="M325" s="94"/>
      <c r="N325" s="125"/>
      <c r="O325" s="125"/>
      <c r="P325" s="159"/>
      <c r="Q325" s="214"/>
      <c r="R325" s="217"/>
      <c r="S325" s="217"/>
      <c r="T325" s="218"/>
      <c r="U325" s="218"/>
      <c r="V325" s="217"/>
      <c r="W325" s="218"/>
      <c r="X325" s="222"/>
      <c r="Y325" s="13"/>
      <c r="Z325" s="13"/>
    </row>
    <row r="326" spans="1:26" ht="18" x14ac:dyDescent="0.25">
      <c r="A326" s="210" t="s">
        <v>7</v>
      </c>
      <c r="B326" s="538" t="s">
        <v>8</v>
      </c>
      <c r="C326" s="538"/>
      <c r="D326" s="210" t="s">
        <v>9</v>
      </c>
      <c r="E326" s="210" t="s">
        <v>10</v>
      </c>
      <c r="F326" s="541" t="s">
        <v>11</v>
      </c>
      <c r="G326" s="541" t="s">
        <v>12</v>
      </c>
      <c r="H326" s="210" t="s">
        <v>13</v>
      </c>
      <c r="I326" s="210"/>
      <c r="J326" s="210" t="s">
        <v>15</v>
      </c>
      <c r="K326" s="210" t="s">
        <v>16</v>
      </c>
      <c r="L326" s="544" t="s">
        <v>17</v>
      </c>
      <c r="M326" s="544"/>
      <c r="N326" s="544"/>
      <c r="O326" s="210" t="s">
        <v>18</v>
      </c>
      <c r="P326" s="214"/>
      <c r="Q326" s="217"/>
      <c r="R326" s="217"/>
      <c r="S326" s="218"/>
      <c r="T326" s="218"/>
      <c r="U326" s="217"/>
      <c r="V326" s="218"/>
      <c r="W326" s="222"/>
      <c r="X326" s="13"/>
      <c r="Y326" s="13"/>
    </row>
    <row r="327" spans="1:26" ht="18" x14ac:dyDescent="0.25">
      <c r="A327" s="542" t="s">
        <v>19</v>
      </c>
      <c r="B327" s="546" t="s">
        <v>20</v>
      </c>
      <c r="C327" s="547"/>
      <c r="D327" s="542" t="s">
        <v>21</v>
      </c>
      <c r="E327" s="542" t="s">
        <v>22</v>
      </c>
      <c r="F327" s="542"/>
      <c r="G327" s="542"/>
      <c r="H327" s="104" t="s">
        <v>23</v>
      </c>
      <c r="I327" s="104" t="s">
        <v>14</v>
      </c>
      <c r="J327" s="104" t="s">
        <v>24</v>
      </c>
      <c r="K327" s="104" t="s">
        <v>25</v>
      </c>
      <c r="L327" s="104" t="s">
        <v>26</v>
      </c>
      <c r="M327" s="104" t="s">
        <v>27</v>
      </c>
      <c r="N327" s="104" t="s">
        <v>28</v>
      </c>
      <c r="O327" s="539" t="s">
        <v>29</v>
      </c>
      <c r="P327" s="214"/>
      <c r="Q327" s="217"/>
      <c r="R327" s="217"/>
      <c r="S327" s="218"/>
      <c r="T327" s="218"/>
      <c r="U327" s="217"/>
      <c r="V327" s="218"/>
      <c r="W327" s="222"/>
      <c r="X327" s="13"/>
      <c r="Y327" s="13"/>
    </row>
    <row r="328" spans="1:26" ht="18" x14ac:dyDescent="0.25">
      <c r="A328" s="543"/>
      <c r="B328" s="548"/>
      <c r="C328" s="549"/>
      <c r="D328" s="543"/>
      <c r="E328" s="543"/>
      <c r="F328" s="543"/>
      <c r="G328" s="543"/>
      <c r="H328" s="105" t="s">
        <v>30</v>
      </c>
      <c r="I328" s="105"/>
      <c r="J328" s="105" t="s">
        <v>31</v>
      </c>
      <c r="K328" s="105" t="s">
        <v>32</v>
      </c>
      <c r="L328" s="105" t="s">
        <v>33</v>
      </c>
      <c r="M328" s="105" t="s">
        <v>34</v>
      </c>
      <c r="N328" s="105" t="s">
        <v>35</v>
      </c>
      <c r="O328" s="540"/>
      <c r="P328" s="214"/>
      <c r="Q328" s="217"/>
      <c r="R328" s="217"/>
      <c r="S328" s="218"/>
      <c r="T328" s="218"/>
      <c r="U328" s="217"/>
      <c r="V328" s="218"/>
      <c r="W328" s="222"/>
      <c r="X328" s="13"/>
      <c r="Y328" s="13"/>
    </row>
    <row r="329" spans="1:26" ht="18" x14ac:dyDescent="0.25">
      <c r="A329" s="47">
        <v>1</v>
      </c>
      <c r="B329" s="536">
        <v>2</v>
      </c>
      <c r="C329" s="537"/>
      <c r="D329" s="211">
        <v>3</v>
      </c>
      <c r="E329" s="211">
        <v>4</v>
      </c>
      <c r="F329" s="212">
        <v>5</v>
      </c>
      <c r="G329" s="212">
        <v>6</v>
      </c>
      <c r="H329" s="104">
        <v>7</v>
      </c>
      <c r="I329" s="104">
        <v>8</v>
      </c>
      <c r="J329" s="104">
        <v>9</v>
      </c>
      <c r="K329" s="104">
        <v>10</v>
      </c>
      <c r="L329" s="104">
        <v>11</v>
      </c>
      <c r="M329" s="104">
        <v>12</v>
      </c>
      <c r="N329" s="104">
        <v>13</v>
      </c>
      <c r="O329" s="211">
        <v>14</v>
      </c>
      <c r="P329" s="214"/>
      <c r="Q329" s="217" t="str">
        <f>B317</f>
        <v>Kursi Kerja Pejabat Eselon IV</v>
      </c>
      <c r="R329" s="217"/>
      <c r="S329" s="218">
        <f>H317</f>
        <v>2015</v>
      </c>
      <c r="T329" s="218" t="str">
        <f>J317</f>
        <v>0007</v>
      </c>
      <c r="U329" s="217"/>
      <c r="V329" s="218"/>
      <c r="W329" s="222"/>
      <c r="X329" s="13"/>
      <c r="Y329" s="13"/>
    </row>
    <row r="330" spans="1:26" ht="63" x14ac:dyDescent="0.25">
      <c r="A330" s="47">
        <f>A317+1</f>
        <v>194</v>
      </c>
      <c r="B330" s="443" t="s">
        <v>146</v>
      </c>
      <c r="C330" s="444"/>
      <c r="D330" s="26" t="s">
        <v>296</v>
      </c>
      <c r="E330" s="32"/>
      <c r="F330" s="32"/>
      <c r="G330" s="9" t="s">
        <v>42</v>
      </c>
      <c r="H330" s="9">
        <v>2016</v>
      </c>
      <c r="I330" s="9" t="s">
        <v>147</v>
      </c>
      <c r="J330" s="11" t="s">
        <v>97</v>
      </c>
      <c r="K330" s="89">
        <v>2181159</v>
      </c>
      <c r="L330" s="9" t="s">
        <v>26</v>
      </c>
      <c r="M330" s="32"/>
      <c r="N330" s="32"/>
      <c r="O330" s="26" t="s">
        <v>526</v>
      </c>
      <c r="P330" s="214"/>
      <c r="Q330" s="217" t="str">
        <f t="shared" si="15"/>
        <v>Kursi Kerja Pejabat Eselon IV</v>
      </c>
      <c r="R330" s="217"/>
      <c r="S330" s="218">
        <f t="shared" si="16"/>
        <v>2016</v>
      </c>
      <c r="T330" s="218" t="str">
        <f t="shared" si="17"/>
        <v>0008</v>
      </c>
      <c r="U330" s="217"/>
      <c r="V330" s="218"/>
      <c r="W330" s="222"/>
      <c r="X330" s="13"/>
      <c r="Y330" s="13"/>
    </row>
    <row r="331" spans="1:26" ht="47.25" x14ac:dyDescent="0.25">
      <c r="A331" s="47">
        <f t="shared" ref="A331:A335" si="22">A330+1</f>
        <v>195</v>
      </c>
      <c r="B331" s="443" t="s">
        <v>146</v>
      </c>
      <c r="C331" s="444"/>
      <c r="D331" s="26" t="s">
        <v>429</v>
      </c>
      <c r="E331" s="32"/>
      <c r="F331" s="32"/>
      <c r="G331" s="9" t="s">
        <v>42</v>
      </c>
      <c r="H331" s="9">
        <v>2017</v>
      </c>
      <c r="I331" s="9" t="s">
        <v>147</v>
      </c>
      <c r="J331" s="11" t="s">
        <v>166</v>
      </c>
      <c r="K331" s="89">
        <v>1066031</v>
      </c>
      <c r="L331" s="9" t="s">
        <v>26</v>
      </c>
      <c r="M331" s="32"/>
      <c r="N331" s="32"/>
      <c r="O331" s="26" t="s">
        <v>520</v>
      </c>
      <c r="P331" s="214"/>
      <c r="Q331" s="217" t="str">
        <f t="shared" si="15"/>
        <v>Kursi Kerja Pejabat Eselon IV</v>
      </c>
      <c r="R331" s="217"/>
      <c r="S331" s="218">
        <f t="shared" si="16"/>
        <v>2017</v>
      </c>
      <c r="T331" s="218" t="str">
        <f t="shared" si="17"/>
        <v>0009</v>
      </c>
      <c r="U331" s="217"/>
      <c r="V331" s="218"/>
      <c r="W331" s="222"/>
      <c r="X331" s="13"/>
      <c r="Y331" s="13"/>
    </row>
    <row r="332" spans="1:26" ht="47.25" x14ac:dyDescent="0.25">
      <c r="A332" s="47">
        <f t="shared" si="22"/>
        <v>196</v>
      </c>
      <c r="B332" s="555" t="s">
        <v>146</v>
      </c>
      <c r="C332" s="556"/>
      <c r="D332" s="26" t="s">
        <v>300</v>
      </c>
      <c r="E332" s="32"/>
      <c r="F332" s="32"/>
      <c r="G332" s="30" t="s">
        <v>42</v>
      </c>
      <c r="H332" s="9">
        <v>2017</v>
      </c>
      <c r="I332" s="9" t="s">
        <v>147</v>
      </c>
      <c r="J332" s="11" t="s">
        <v>110</v>
      </c>
      <c r="K332" s="20">
        <v>1066031</v>
      </c>
      <c r="L332" s="9" t="s">
        <v>26</v>
      </c>
      <c r="M332" s="32"/>
      <c r="N332" s="32"/>
      <c r="O332" s="26" t="s">
        <v>523</v>
      </c>
      <c r="P332" s="214"/>
      <c r="Q332" s="217" t="str">
        <f t="shared" si="15"/>
        <v>Kursi Kerja Pejabat Eselon IV</v>
      </c>
      <c r="R332" s="217"/>
      <c r="S332" s="218">
        <f t="shared" si="16"/>
        <v>2017</v>
      </c>
      <c r="T332" s="218" t="str">
        <f t="shared" si="17"/>
        <v>0010</v>
      </c>
      <c r="U332" s="217"/>
      <c r="V332" s="218"/>
      <c r="W332" s="222"/>
      <c r="X332" s="13"/>
      <c r="Y332" s="13"/>
    </row>
    <row r="333" spans="1:26" ht="31.5" x14ac:dyDescent="0.25">
      <c r="A333" s="47">
        <f t="shared" si="22"/>
        <v>197</v>
      </c>
      <c r="B333" s="443" t="s">
        <v>188</v>
      </c>
      <c r="C333" s="444"/>
      <c r="D333" s="26" t="s">
        <v>189</v>
      </c>
      <c r="E333" s="12"/>
      <c r="F333" s="12"/>
      <c r="G333" s="9"/>
      <c r="H333" s="9">
        <v>2020</v>
      </c>
      <c r="I333" s="9" t="s">
        <v>190</v>
      </c>
      <c r="J333" s="11" t="s">
        <v>191</v>
      </c>
      <c r="K333" s="20">
        <v>9468480</v>
      </c>
      <c r="L333" s="9" t="s">
        <v>26</v>
      </c>
      <c r="M333" s="12"/>
      <c r="N333" s="12"/>
      <c r="O333" s="26" t="s">
        <v>520</v>
      </c>
      <c r="P333" s="214"/>
      <c r="Q333" s="217" t="str">
        <f t="shared" si="15"/>
        <v>Kursi Rapat Pejabat Lain-lain</v>
      </c>
      <c r="R333" s="217"/>
      <c r="S333" s="218">
        <f t="shared" si="16"/>
        <v>2020</v>
      </c>
      <c r="T333" s="218" t="str">
        <f t="shared" si="17"/>
        <v>0001 s/d 0030</v>
      </c>
      <c r="U333" s="217"/>
      <c r="V333" s="218"/>
      <c r="W333" s="222"/>
      <c r="X333" s="13"/>
      <c r="Y333" s="13"/>
    </row>
    <row r="334" spans="1:26" ht="63" x14ac:dyDescent="0.25">
      <c r="A334" s="47">
        <f t="shared" si="22"/>
        <v>198</v>
      </c>
      <c r="B334" s="449" t="s">
        <v>75</v>
      </c>
      <c r="C334" s="450"/>
      <c r="D334" s="59" t="s">
        <v>76</v>
      </c>
      <c r="E334" s="60"/>
      <c r="F334" s="60"/>
      <c r="G334" s="39" t="s">
        <v>42</v>
      </c>
      <c r="H334" s="39">
        <v>2016</v>
      </c>
      <c r="I334" s="39" t="s">
        <v>77</v>
      </c>
      <c r="J334" s="56" t="s">
        <v>43</v>
      </c>
      <c r="K334" s="155">
        <v>2739.13</v>
      </c>
      <c r="L334" s="39" t="s">
        <v>26</v>
      </c>
      <c r="M334" s="60"/>
      <c r="N334" s="60"/>
      <c r="O334" s="59" t="s">
        <v>237</v>
      </c>
      <c r="P334" s="214"/>
      <c r="Q334" s="217" t="str">
        <f t="shared" si="15"/>
        <v>Lemari dan Arsip Pejabat Lain-lain</v>
      </c>
      <c r="R334" s="217"/>
      <c r="S334" s="218">
        <f t="shared" si="16"/>
        <v>2016</v>
      </c>
      <c r="T334" s="218" t="str">
        <f t="shared" si="17"/>
        <v>0001</v>
      </c>
      <c r="U334" s="217"/>
      <c r="V334" s="218"/>
      <c r="W334" s="222"/>
      <c r="X334" s="13"/>
      <c r="Y334" s="13"/>
    </row>
    <row r="335" spans="1:26" ht="31.5" x14ac:dyDescent="0.25">
      <c r="A335" s="47">
        <f t="shared" si="22"/>
        <v>199</v>
      </c>
      <c r="B335" s="552" t="s">
        <v>478</v>
      </c>
      <c r="C335" s="552"/>
      <c r="D335" s="40" t="s">
        <v>479</v>
      </c>
      <c r="E335" s="109"/>
      <c r="F335" s="109"/>
      <c r="G335" s="42" t="s">
        <v>50</v>
      </c>
      <c r="H335" s="43">
        <v>2019</v>
      </c>
      <c r="I335" s="43" t="s">
        <v>480</v>
      </c>
      <c r="J335" s="44" t="s">
        <v>54</v>
      </c>
      <c r="K335" s="63">
        <v>15090000</v>
      </c>
      <c r="L335" s="43" t="s">
        <v>26</v>
      </c>
      <c r="M335" s="43"/>
      <c r="N335" s="109"/>
      <c r="O335" s="26" t="s">
        <v>520</v>
      </c>
      <c r="P335" s="214"/>
      <c r="Q335" s="217" t="str">
        <f t="shared" si="15"/>
        <v>Proyektor + Attachment</v>
      </c>
      <c r="R335" s="217"/>
      <c r="S335" s="218">
        <f t="shared" si="16"/>
        <v>2019</v>
      </c>
      <c r="T335" s="218" t="str">
        <f t="shared" si="17"/>
        <v>0002</v>
      </c>
      <c r="U335" s="217"/>
      <c r="V335" s="218"/>
      <c r="W335" s="222"/>
      <c r="X335" s="13"/>
      <c r="Y335" s="13"/>
    </row>
    <row r="336" spans="1:26" ht="18" x14ac:dyDescent="0.25">
      <c r="A336" s="47"/>
      <c r="B336" s="552"/>
      <c r="C336" s="552"/>
      <c r="D336" s="40"/>
      <c r="E336" s="109"/>
      <c r="F336" s="109"/>
      <c r="G336" s="42"/>
      <c r="H336" s="43"/>
      <c r="I336" s="43"/>
      <c r="J336" s="44"/>
      <c r="K336" s="63">
        <f>K31+K62+K94+K124+K157+K188+K209+K237+K261+K288+K318+J337</f>
        <v>664901169.26999998</v>
      </c>
      <c r="L336" s="43"/>
      <c r="M336" s="43"/>
      <c r="N336" s="109"/>
      <c r="O336" s="26"/>
      <c r="P336" s="214"/>
      <c r="Q336" s="215"/>
      <c r="R336" s="215"/>
      <c r="S336" s="215"/>
      <c r="T336" s="215"/>
      <c r="U336" s="215"/>
      <c r="V336" s="218"/>
      <c r="W336" s="222"/>
      <c r="X336" s="13"/>
      <c r="Y336" s="13"/>
    </row>
    <row r="337" spans="1:25" ht="18" x14ac:dyDescent="0.25">
      <c r="A337" s="66"/>
      <c r="B337" s="123"/>
      <c r="C337" s="123"/>
      <c r="D337" s="124"/>
      <c r="E337" s="125"/>
      <c r="F337" s="125"/>
      <c r="G337" s="94"/>
      <c r="H337" s="94"/>
      <c r="I337" s="94"/>
      <c r="J337" s="237">
        <f>SUM(K330:K335)</f>
        <v>28874440.130000003</v>
      </c>
      <c r="K337" s="238">
        <v>664901169.26999998</v>
      </c>
      <c r="L337" s="94"/>
      <c r="M337" s="125"/>
      <c r="N337" s="125"/>
      <c r="O337" s="125"/>
      <c r="P337" s="214"/>
      <c r="Q337" s="215"/>
      <c r="R337" s="215"/>
      <c r="S337" s="215"/>
      <c r="T337" s="215"/>
      <c r="U337" s="215"/>
      <c r="V337" s="218"/>
      <c r="W337" s="222"/>
      <c r="X337" s="13"/>
      <c r="Y337" s="13"/>
    </row>
    <row r="338" spans="1:25" ht="18" x14ac:dyDescent="0.25">
      <c r="A338" s="66"/>
      <c r="B338" s="123"/>
      <c r="C338" s="123"/>
      <c r="D338" s="124"/>
      <c r="E338" s="125"/>
      <c r="F338" s="125"/>
      <c r="G338" s="94"/>
      <c r="H338" s="94"/>
      <c r="I338" s="94"/>
      <c r="J338" s="235"/>
      <c r="K338" s="236">
        <f>K336-K337</f>
        <v>0</v>
      </c>
      <c r="L338" s="94"/>
      <c r="M338" s="125"/>
      <c r="N338" s="125"/>
      <c r="O338" s="125"/>
      <c r="P338" s="214"/>
      <c r="Q338" s="215"/>
      <c r="R338" s="215"/>
      <c r="S338" s="215"/>
      <c r="T338" s="215"/>
      <c r="U338" s="215"/>
      <c r="V338" s="218"/>
      <c r="W338" s="222"/>
      <c r="X338" s="13"/>
      <c r="Y338" s="13"/>
    </row>
    <row r="339" spans="1:25" ht="18" x14ac:dyDescent="0.25">
      <c r="C339" s="5" t="s">
        <v>36</v>
      </c>
      <c r="L339" s="23" t="s">
        <v>575</v>
      </c>
      <c r="P339" s="214"/>
      <c r="Q339" s="215"/>
      <c r="R339" s="215"/>
      <c r="S339" s="215"/>
      <c r="T339" s="215"/>
      <c r="U339" s="215"/>
      <c r="V339" s="218"/>
      <c r="W339" s="222"/>
      <c r="X339" s="13"/>
      <c r="Y339" s="13"/>
    </row>
    <row r="340" spans="1:25" ht="18" x14ac:dyDescent="0.25">
      <c r="C340" s="5" t="s">
        <v>572</v>
      </c>
      <c r="L340" s="5" t="s">
        <v>580</v>
      </c>
      <c r="P340" s="214"/>
      <c r="Q340" s="215"/>
      <c r="R340" s="215"/>
      <c r="S340" s="215"/>
      <c r="T340" s="215"/>
      <c r="U340" s="215"/>
      <c r="V340" s="218"/>
      <c r="W340" s="222"/>
      <c r="X340" s="13"/>
      <c r="Y340" s="13"/>
    </row>
    <row r="341" spans="1:25" ht="18" x14ac:dyDescent="0.25">
      <c r="C341" s="5"/>
      <c r="L341" s="5"/>
      <c r="P341" s="214"/>
      <c r="Q341" s="215"/>
      <c r="R341" s="215"/>
      <c r="S341" s="215"/>
      <c r="T341" s="215"/>
      <c r="U341" s="215"/>
      <c r="V341" s="216"/>
      <c r="W341" s="221"/>
    </row>
    <row r="342" spans="1:25" ht="18" x14ac:dyDescent="0.25">
      <c r="C342" s="5"/>
      <c r="F342" s="13"/>
      <c r="L342" s="5"/>
      <c r="P342" s="214"/>
      <c r="Q342" s="215"/>
      <c r="R342" s="215"/>
      <c r="S342" s="215"/>
      <c r="T342" s="215"/>
      <c r="U342" s="215"/>
      <c r="V342" s="216"/>
      <c r="W342" s="221"/>
    </row>
    <row r="343" spans="1:25" ht="18" x14ac:dyDescent="0.25">
      <c r="C343" s="5"/>
      <c r="L343" s="5"/>
      <c r="P343" s="214"/>
      <c r="Q343" s="215"/>
      <c r="R343" s="215"/>
      <c r="S343" s="215"/>
      <c r="T343" s="215"/>
      <c r="U343" s="215"/>
      <c r="V343" s="216"/>
      <c r="W343" s="221"/>
    </row>
    <row r="344" spans="1:25" ht="18" x14ac:dyDescent="0.25">
      <c r="C344" s="6" t="s">
        <v>573</v>
      </c>
      <c r="L344" s="6" t="s">
        <v>576</v>
      </c>
      <c r="P344" s="214"/>
      <c r="Q344" s="215"/>
      <c r="R344" s="215"/>
      <c r="S344" s="215"/>
      <c r="T344" s="215"/>
      <c r="U344" s="215"/>
      <c r="V344" s="214"/>
    </row>
    <row r="345" spans="1:25" ht="18" x14ac:dyDescent="0.25">
      <c r="C345" s="5" t="s">
        <v>39</v>
      </c>
      <c r="L345" s="23" t="str">
        <f>'RUANG DEPAN BIDANG (2)'!L81</f>
        <v>NIP. 19721124 200604 2 005</v>
      </c>
      <c r="P345" s="214"/>
      <c r="Q345" s="215"/>
      <c r="R345" s="215"/>
      <c r="S345" s="215"/>
      <c r="T345" s="215"/>
      <c r="U345" s="215"/>
      <c r="V345" s="214"/>
    </row>
    <row r="346" spans="1:25" ht="18" x14ac:dyDescent="0.25">
      <c r="C346" s="23" t="s">
        <v>574</v>
      </c>
      <c r="P346" s="214"/>
      <c r="Q346" s="215"/>
      <c r="R346" s="215"/>
      <c r="S346" s="215"/>
      <c r="T346" s="215"/>
      <c r="U346" s="215"/>
      <c r="V346" s="214"/>
    </row>
  </sheetData>
  <mergeCells count="325">
    <mergeCell ref="B329:C329"/>
    <mergeCell ref="Q9:R9"/>
    <mergeCell ref="Q10:R11"/>
    <mergeCell ref="B326:C326"/>
    <mergeCell ref="F326:F328"/>
    <mergeCell ref="G326:G328"/>
    <mergeCell ref="L326:N326"/>
    <mergeCell ref="A327:A328"/>
    <mergeCell ref="B327:C328"/>
    <mergeCell ref="D327:D328"/>
    <mergeCell ref="E327:E328"/>
    <mergeCell ref="O327:O328"/>
    <mergeCell ref="A10:A11"/>
    <mergeCell ref="B10:C11"/>
    <mergeCell ref="D10:D11"/>
    <mergeCell ref="E10:E11"/>
    <mergeCell ref="B76:C76"/>
    <mergeCell ref="B90:C90"/>
    <mergeCell ref="F39:F41"/>
    <mergeCell ref="G39:G41"/>
    <mergeCell ref="L39:N39"/>
    <mergeCell ref="F69:F71"/>
    <mergeCell ref="B282:C282"/>
    <mergeCell ref="B248:C248"/>
    <mergeCell ref="A3:B3"/>
    <mergeCell ref="A4:B4"/>
    <mergeCell ref="A5:B5"/>
    <mergeCell ref="A6:B6"/>
    <mergeCell ref="B9:C9"/>
    <mergeCell ref="O10:O11"/>
    <mergeCell ref="B12:C12"/>
    <mergeCell ref="B27:C27"/>
    <mergeCell ref="B29:C29"/>
    <mergeCell ref="G9:G11"/>
    <mergeCell ref="L9:N9"/>
    <mergeCell ref="F9:F11"/>
    <mergeCell ref="B14:C14"/>
    <mergeCell ref="B15:C15"/>
    <mergeCell ref="B19:C19"/>
    <mergeCell ref="B13:C13"/>
    <mergeCell ref="B24:C24"/>
    <mergeCell ref="B16:C16"/>
    <mergeCell ref="B20:C20"/>
    <mergeCell ref="B18:C18"/>
    <mergeCell ref="B23:C23"/>
    <mergeCell ref="B25:C25"/>
    <mergeCell ref="B28:C28"/>
    <mergeCell ref="B17:C17"/>
    <mergeCell ref="B314:C314"/>
    <mergeCell ref="B39:C39"/>
    <mergeCell ref="B69:C69"/>
    <mergeCell ref="B317:C317"/>
    <mergeCell ref="B26:C26"/>
    <mergeCell ref="B50:C50"/>
    <mergeCell ref="B311:C311"/>
    <mergeCell ref="B51:C51"/>
    <mergeCell ref="B52:C52"/>
    <mergeCell ref="B81:C81"/>
    <mergeCell ref="B313:C313"/>
    <mergeCell ref="B315:C315"/>
    <mergeCell ref="B48:C48"/>
    <mergeCell ref="B77:C77"/>
    <mergeCell ref="B79:C79"/>
    <mergeCell ref="B182:C182"/>
    <mergeCell ref="B253:C253"/>
    <mergeCell ref="B283:C283"/>
    <mergeCell ref="B310:C310"/>
    <mergeCell ref="B277:C277"/>
    <mergeCell ref="B278:C278"/>
    <mergeCell ref="B279:C279"/>
    <mergeCell ref="B280:C280"/>
    <mergeCell ref="B281:C281"/>
    <mergeCell ref="B252:C252"/>
    <mergeCell ref="B21:C21"/>
    <mergeCell ref="B155:C155"/>
    <mergeCell ref="B254:C254"/>
    <mergeCell ref="B22:C22"/>
    <mergeCell ref="B260:C260"/>
    <mergeCell ref="B273:C273"/>
    <mergeCell ref="B275:C275"/>
    <mergeCell ref="B276:C276"/>
    <mergeCell ref="B205:C205"/>
    <mergeCell ref="B231:C231"/>
    <mergeCell ref="B87:C87"/>
    <mergeCell ref="B180:C180"/>
    <mergeCell ref="B257:C257"/>
    <mergeCell ref="B201:C201"/>
    <mergeCell ref="B203:C203"/>
    <mergeCell ref="B109:C109"/>
    <mergeCell ref="B110:C110"/>
    <mergeCell ref="B117:C117"/>
    <mergeCell ref="B118:C118"/>
    <mergeCell ref="B140:C140"/>
    <mergeCell ref="B144:C144"/>
    <mergeCell ref="B225:C225"/>
    <mergeCell ref="B227:C227"/>
    <mergeCell ref="B224:C224"/>
    <mergeCell ref="B233:C233"/>
    <mergeCell ref="B150:C150"/>
    <mergeCell ref="B173:C173"/>
    <mergeCell ref="B112:C112"/>
    <mergeCell ref="B206:C206"/>
    <mergeCell ref="B228:C228"/>
    <mergeCell ref="B232:C232"/>
    <mergeCell ref="B138:C138"/>
    <mergeCell ref="B141:C141"/>
    <mergeCell ref="B142:C142"/>
    <mergeCell ref="B186:C186"/>
    <mergeCell ref="B187:C187"/>
    <mergeCell ref="B137:C137"/>
    <mergeCell ref="B113:C113"/>
    <mergeCell ref="B123:C123"/>
    <mergeCell ref="B143:C143"/>
    <mergeCell ref="B148:C148"/>
    <mergeCell ref="B146:C146"/>
    <mergeCell ref="B174:C174"/>
    <mergeCell ref="B172:C172"/>
    <mergeCell ref="B149:C149"/>
    <mergeCell ref="B151:C151"/>
    <mergeCell ref="B154:C154"/>
    <mergeCell ref="B331:C331"/>
    <mergeCell ref="B207:C207"/>
    <mergeCell ref="B135:C135"/>
    <mergeCell ref="B107:C107"/>
    <mergeCell ref="B88:C88"/>
    <mergeCell ref="B181:C181"/>
    <mergeCell ref="B75:C75"/>
    <mergeCell ref="B82:C82"/>
    <mergeCell ref="B83:C83"/>
    <mergeCell ref="B85:C85"/>
    <mergeCell ref="B86:C86"/>
    <mergeCell ref="B105:C105"/>
    <mergeCell ref="B256:C256"/>
    <mergeCell ref="B274:C274"/>
    <mergeCell ref="B309:C309"/>
    <mergeCell ref="B251:C251"/>
    <mergeCell ref="B308:C308"/>
    <mergeCell ref="B306:C306"/>
    <mergeCell ref="B106:C106"/>
    <mergeCell ref="B108:C108"/>
    <mergeCell ref="B111:C111"/>
    <mergeCell ref="B185:C185"/>
    <mergeCell ref="B176:C176"/>
    <mergeCell ref="B316:C316"/>
    <mergeCell ref="B58:C58"/>
    <mergeCell ref="B59:C59"/>
    <mergeCell ref="B145:C145"/>
    <mergeCell ref="B74:C74"/>
    <mergeCell ref="B73:C73"/>
    <mergeCell ref="B115:C115"/>
    <mergeCell ref="B122:C122"/>
    <mergeCell ref="B78:C78"/>
    <mergeCell ref="B84:C84"/>
    <mergeCell ref="B30:C30"/>
    <mergeCell ref="B43:C43"/>
    <mergeCell ref="B46:C46"/>
    <mergeCell ref="B49:C49"/>
    <mergeCell ref="F242:F244"/>
    <mergeCell ref="E243:E244"/>
    <mergeCell ref="B242:C242"/>
    <mergeCell ref="B136:C136"/>
    <mergeCell ref="B170:C170"/>
    <mergeCell ref="B222:C222"/>
    <mergeCell ref="B223:C223"/>
    <mergeCell ref="B226:C226"/>
    <mergeCell ref="B229:C229"/>
    <mergeCell ref="B204:C204"/>
    <mergeCell ref="B220:C220"/>
    <mergeCell ref="B221:C221"/>
    <mergeCell ref="B171:C171"/>
    <mergeCell ref="B178:C178"/>
    <mergeCell ref="B116:C116"/>
    <mergeCell ref="B120:C120"/>
    <mergeCell ref="B101:C101"/>
    <mergeCell ref="B197:C197"/>
    <mergeCell ref="B53:C53"/>
    <mergeCell ref="B56:C56"/>
    <mergeCell ref="A243:A244"/>
    <mergeCell ref="B243:C244"/>
    <mergeCell ref="D243:D244"/>
    <mergeCell ref="O243:O244"/>
    <mergeCell ref="B245:C245"/>
    <mergeCell ref="B301:C301"/>
    <mergeCell ref="B169:C169"/>
    <mergeCell ref="B179:C179"/>
    <mergeCell ref="B247:C247"/>
    <mergeCell ref="B250:C250"/>
    <mergeCell ref="B230:C230"/>
    <mergeCell ref="B235:C235"/>
    <mergeCell ref="B236:C236"/>
    <mergeCell ref="B246:C246"/>
    <mergeCell ref="B249:C249"/>
    <mergeCell ref="B285:C285"/>
    <mergeCell ref="B208:C208"/>
    <mergeCell ref="L242:N242"/>
    <mergeCell ref="G242:G244"/>
    <mergeCell ref="B286:C286"/>
    <mergeCell ref="B287:C287"/>
    <mergeCell ref="B199:C199"/>
    <mergeCell ref="B259:C259"/>
    <mergeCell ref="B284:C284"/>
    <mergeCell ref="B336:C336"/>
    <mergeCell ref="B216:C216"/>
    <mergeCell ref="B297:C297"/>
    <mergeCell ref="B304:C304"/>
    <mergeCell ref="B305:C305"/>
    <mergeCell ref="B156:C156"/>
    <mergeCell ref="B152:C152"/>
    <mergeCell ref="B153:C153"/>
    <mergeCell ref="B165:C165"/>
    <mergeCell ref="B307:C307"/>
    <mergeCell ref="B334:C334"/>
    <mergeCell ref="B302:C302"/>
    <mergeCell ref="B303:C303"/>
    <mergeCell ref="B330:C330"/>
    <mergeCell ref="B177:C177"/>
    <mergeCell ref="B234:C234"/>
    <mergeCell ref="B255:C255"/>
    <mergeCell ref="B312:C312"/>
    <mergeCell ref="B202:C202"/>
    <mergeCell ref="B258:C258"/>
    <mergeCell ref="B332:C332"/>
    <mergeCell ref="B333:C333"/>
    <mergeCell ref="B335:C335"/>
    <mergeCell ref="B200:C200"/>
    <mergeCell ref="O40:O41"/>
    <mergeCell ref="B42:C42"/>
    <mergeCell ref="B183:C183"/>
    <mergeCell ref="B184:C184"/>
    <mergeCell ref="B198:C198"/>
    <mergeCell ref="B60:C60"/>
    <mergeCell ref="B119:C119"/>
    <mergeCell ref="B91:C91"/>
    <mergeCell ref="B92:C92"/>
    <mergeCell ref="B93:C93"/>
    <mergeCell ref="B121:C121"/>
    <mergeCell ref="B139:C139"/>
    <mergeCell ref="B114:C114"/>
    <mergeCell ref="B131:C131"/>
    <mergeCell ref="F131:F133"/>
    <mergeCell ref="G131:G133"/>
    <mergeCell ref="L131:N131"/>
    <mergeCell ref="F165:F167"/>
    <mergeCell ref="O70:O71"/>
    <mergeCell ref="B72:C72"/>
    <mergeCell ref="G69:G71"/>
    <mergeCell ref="L69:N69"/>
    <mergeCell ref="O132:O133"/>
    <mergeCell ref="B134:C134"/>
    <mergeCell ref="A70:A71"/>
    <mergeCell ref="B70:C71"/>
    <mergeCell ref="D70:D71"/>
    <mergeCell ref="E70:E71"/>
    <mergeCell ref="A40:A41"/>
    <mergeCell ref="B40:C41"/>
    <mergeCell ref="D40:D41"/>
    <mergeCell ref="E40:E41"/>
    <mergeCell ref="A132:A133"/>
    <mergeCell ref="B132:C133"/>
    <mergeCell ref="D132:D133"/>
    <mergeCell ref="E132:E133"/>
    <mergeCell ref="A102:A103"/>
    <mergeCell ref="B102:C103"/>
    <mergeCell ref="D102:D103"/>
    <mergeCell ref="E102:E103"/>
    <mergeCell ref="B89:C89"/>
    <mergeCell ref="B47:C47"/>
    <mergeCell ref="B57:C57"/>
    <mergeCell ref="B45:C45"/>
    <mergeCell ref="B61:C61"/>
    <mergeCell ref="B44:C44"/>
    <mergeCell ref="B54:C54"/>
    <mergeCell ref="B55:C55"/>
    <mergeCell ref="O102:O103"/>
    <mergeCell ref="B104:C104"/>
    <mergeCell ref="F101:F103"/>
    <mergeCell ref="G101:G103"/>
    <mergeCell ref="L101:N101"/>
    <mergeCell ref="A195:A196"/>
    <mergeCell ref="B195:C196"/>
    <mergeCell ref="D195:D196"/>
    <mergeCell ref="E195:E196"/>
    <mergeCell ref="O195:O196"/>
    <mergeCell ref="O166:O167"/>
    <mergeCell ref="B168:C168"/>
    <mergeCell ref="B194:C194"/>
    <mergeCell ref="F194:F196"/>
    <mergeCell ref="G194:G196"/>
    <mergeCell ref="L194:N194"/>
    <mergeCell ref="G165:G167"/>
    <mergeCell ref="L165:N165"/>
    <mergeCell ref="A166:A167"/>
    <mergeCell ref="B166:C167"/>
    <mergeCell ref="D166:D167"/>
    <mergeCell ref="E166:E167"/>
    <mergeCell ref="B147:C147"/>
    <mergeCell ref="B175:C175"/>
    <mergeCell ref="O217:O218"/>
    <mergeCell ref="B219:C219"/>
    <mergeCell ref="F216:F218"/>
    <mergeCell ref="G216:G218"/>
    <mergeCell ref="L216:N216"/>
    <mergeCell ref="A217:A218"/>
    <mergeCell ref="B217:C218"/>
    <mergeCell ref="D217:D218"/>
    <mergeCell ref="E217:E218"/>
    <mergeCell ref="A270:A271"/>
    <mergeCell ref="B270:C271"/>
    <mergeCell ref="D270:D271"/>
    <mergeCell ref="E270:E271"/>
    <mergeCell ref="O270:O271"/>
    <mergeCell ref="B272:C272"/>
    <mergeCell ref="B269:C269"/>
    <mergeCell ref="F269:F271"/>
    <mergeCell ref="G269:G271"/>
    <mergeCell ref="L269:N269"/>
    <mergeCell ref="O298:O299"/>
    <mergeCell ref="B300:C300"/>
    <mergeCell ref="F297:F299"/>
    <mergeCell ref="G297:G299"/>
    <mergeCell ref="L297:N297"/>
    <mergeCell ref="A298:A299"/>
    <mergeCell ref="B298:C299"/>
    <mergeCell ref="D298:D299"/>
    <mergeCell ref="E298:E299"/>
  </mergeCells>
  <printOptions horizontalCentered="1"/>
  <pageMargins left="0.11811023622047245" right="0.35433070866141736" top="0.19685039370078741" bottom="0.15748031496062992" header="0" footer="0"/>
  <pageSetup paperSize="14" scale="65" orientation="landscape" horizontalDpi="180" verticalDpi="180" r:id="rId1"/>
  <headerFooter alignWithMargins="0">
    <oddFooter>&amp;L&amp;9&amp;F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59"/>
  <sheetViews>
    <sheetView view="pageBreakPreview" topLeftCell="A34" zoomScaleNormal="55" workbookViewId="0">
      <selection activeCell="H47" sqref="H47"/>
    </sheetView>
  </sheetViews>
  <sheetFormatPr defaultRowHeight="15.75" x14ac:dyDescent="0.25"/>
  <cols>
    <col min="2" max="2" width="7" customWidth="1"/>
    <col min="3" max="3" width="17.75" customWidth="1"/>
    <col min="4" max="4" width="10.875" customWidth="1"/>
    <col min="5" max="5" width="11.25" customWidth="1"/>
    <col min="6" max="6" width="11.5" customWidth="1"/>
    <col min="7" max="7" width="11.625" customWidth="1"/>
    <col min="8" max="8" width="15.5" customWidth="1"/>
    <col min="9" max="9" width="18.75" customWidth="1"/>
    <col min="10" max="10" width="15.375" customWidth="1"/>
    <col min="11" max="11" width="15.125" customWidth="1"/>
    <col min="13" max="13" width="11" customWidth="1"/>
    <col min="14" max="14" width="10.625" customWidth="1"/>
    <col min="15" max="15" width="9.625" customWidth="1"/>
    <col min="258" max="258" width="7" customWidth="1"/>
    <col min="259" max="259" width="17.75" customWidth="1"/>
    <col min="260" max="260" width="10.875" customWidth="1"/>
    <col min="261" max="261" width="11.25" customWidth="1"/>
    <col min="262" max="262" width="11.5" customWidth="1"/>
    <col min="263" max="263" width="11.625" customWidth="1"/>
    <col min="264" max="264" width="15.5" customWidth="1"/>
    <col min="265" max="265" width="18.75" customWidth="1"/>
    <col min="266" max="266" width="15.375" customWidth="1"/>
    <col min="267" max="267" width="15.125" customWidth="1"/>
    <col min="269" max="269" width="11" customWidth="1"/>
    <col min="270" max="270" width="10.625" customWidth="1"/>
    <col min="271" max="271" width="9.625" customWidth="1"/>
    <col min="514" max="514" width="7" customWidth="1"/>
    <col min="515" max="515" width="17.75" customWidth="1"/>
    <col min="516" max="516" width="10.875" customWidth="1"/>
    <col min="517" max="517" width="11.25" customWidth="1"/>
    <col min="518" max="518" width="11.5" customWidth="1"/>
    <col min="519" max="519" width="11.625" customWidth="1"/>
    <col min="520" max="520" width="15.5" customWidth="1"/>
    <col min="521" max="521" width="18.75" customWidth="1"/>
    <col min="522" max="522" width="15.375" customWidth="1"/>
    <col min="523" max="523" width="15.125" customWidth="1"/>
    <col min="525" max="525" width="11" customWidth="1"/>
    <col min="526" max="526" width="10.625" customWidth="1"/>
    <col min="527" max="527" width="9.625" customWidth="1"/>
    <col min="770" max="770" width="7" customWidth="1"/>
    <col min="771" max="771" width="17.75" customWidth="1"/>
    <col min="772" max="772" width="10.875" customWidth="1"/>
    <col min="773" max="773" width="11.25" customWidth="1"/>
    <col min="774" max="774" width="11.5" customWidth="1"/>
    <col min="775" max="775" width="11.625" customWidth="1"/>
    <col min="776" max="776" width="15.5" customWidth="1"/>
    <col min="777" max="777" width="18.75" customWidth="1"/>
    <col min="778" max="778" width="15.375" customWidth="1"/>
    <col min="779" max="779" width="15.125" customWidth="1"/>
    <col min="781" max="781" width="11" customWidth="1"/>
    <col min="782" max="782" width="10.625" customWidth="1"/>
    <col min="783" max="783" width="9.625" customWidth="1"/>
    <col min="1026" max="1026" width="7" customWidth="1"/>
    <col min="1027" max="1027" width="17.75" customWidth="1"/>
    <col min="1028" max="1028" width="10.875" customWidth="1"/>
    <col min="1029" max="1029" width="11.25" customWidth="1"/>
    <col min="1030" max="1030" width="11.5" customWidth="1"/>
    <col min="1031" max="1031" width="11.625" customWidth="1"/>
    <col min="1032" max="1032" width="15.5" customWidth="1"/>
    <col min="1033" max="1033" width="18.75" customWidth="1"/>
    <col min="1034" max="1034" width="15.375" customWidth="1"/>
    <col min="1035" max="1035" width="15.125" customWidth="1"/>
    <col min="1037" max="1037" width="11" customWidth="1"/>
    <col min="1038" max="1038" width="10.625" customWidth="1"/>
    <col min="1039" max="1039" width="9.625" customWidth="1"/>
    <col min="1282" max="1282" width="7" customWidth="1"/>
    <col min="1283" max="1283" width="17.75" customWidth="1"/>
    <col min="1284" max="1284" width="10.875" customWidth="1"/>
    <col min="1285" max="1285" width="11.25" customWidth="1"/>
    <col min="1286" max="1286" width="11.5" customWidth="1"/>
    <col min="1287" max="1287" width="11.625" customWidth="1"/>
    <col min="1288" max="1288" width="15.5" customWidth="1"/>
    <col min="1289" max="1289" width="18.75" customWidth="1"/>
    <col min="1290" max="1290" width="15.375" customWidth="1"/>
    <col min="1291" max="1291" width="15.125" customWidth="1"/>
    <col min="1293" max="1293" width="11" customWidth="1"/>
    <col min="1294" max="1294" width="10.625" customWidth="1"/>
    <col min="1295" max="1295" width="9.625" customWidth="1"/>
    <col min="1538" max="1538" width="7" customWidth="1"/>
    <col min="1539" max="1539" width="17.75" customWidth="1"/>
    <col min="1540" max="1540" width="10.875" customWidth="1"/>
    <col min="1541" max="1541" width="11.25" customWidth="1"/>
    <col min="1542" max="1542" width="11.5" customWidth="1"/>
    <col min="1543" max="1543" width="11.625" customWidth="1"/>
    <col min="1544" max="1544" width="15.5" customWidth="1"/>
    <col min="1545" max="1545" width="18.75" customWidth="1"/>
    <col min="1546" max="1546" width="15.375" customWidth="1"/>
    <col min="1547" max="1547" width="15.125" customWidth="1"/>
    <col min="1549" max="1549" width="11" customWidth="1"/>
    <col min="1550" max="1550" width="10.625" customWidth="1"/>
    <col min="1551" max="1551" width="9.625" customWidth="1"/>
    <col min="1794" max="1794" width="7" customWidth="1"/>
    <col min="1795" max="1795" width="17.75" customWidth="1"/>
    <col min="1796" max="1796" width="10.875" customWidth="1"/>
    <col min="1797" max="1797" width="11.25" customWidth="1"/>
    <col min="1798" max="1798" width="11.5" customWidth="1"/>
    <col min="1799" max="1799" width="11.625" customWidth="1"/>
    <col min="1800" max="1800" width="15.5" customWidth="1"/>
    <col min="1801" max="1801" width="18.75" customWidth="1"/>
    <col min="1802" max="1802" width="15.375" customWidth="1"/>
    <col min="1803" max="1803" width="15.125" customWidth="1"/>
    <col min="1805" max="1805" width="11" customWidth="1"/>
    <col min="1806" max="1806" width="10.625" customWidth="1"/>
    <col min="1807" max="1807" width="9.625" customWidth="1"/>
    <col min="2050" max="2050" width="7" customWidth="1"/>
    <col min="2051" max="2051" width="17.75" customWidth="1"/>
    <col min="2052" max="2052" width="10.875" customWidth="1"/>
    <col min="2053" max="2053" width="11.25" customWidth="1"/>
    <col min="2054" max="2054" width="11.5" customWidth="1"/>
    <col min="2055" max="2055" width="11.625" customWidth="1"/>
    <col min="2056" max="2056" width="15.5" customWidth="1"/>
    <col min="2057" max="2057" width="18.75" customWidth="1"/>
    <col min="2058" max="2058" width="15.375" customWidth="1"/>
    <col min="2059" max="2059" width="15.125" customWidth="1"/>
    <col min="2061" max="2061" width="11" customWidth="1"/>
    <col min="2062" max="2062" width="10.625" customWidth="1"/>
    <col min="2063" max="2063" width="9.625" customWidth="1"/>
    <col min="2306" max="2306" width="7" customWidth="1"/>
    <col min="2307" max="2307" width="17.75" customWidth="1"/>
    <col min="2308" max="2308" width="10.875" customWidth="1"/>
    <col min="2309" max="2309" width="11.25" customWidth="1"/>
    <col min="2310" max="2310" width="11.5" customWidth="1"/>
    <col min="2311" max="2311" width="11.625" customWidth="1"/>
    <col min="2312" max="2312" width="15.5" customWidth="1"/>
    <col min="2313" max="2313" width="18.75" customWidth="1"/>
    <col min="2314" max="2314" width="15.375" customWidth="1"/>
    <col min="2315" max="2315" width="15.125" customWidth="1"/>
    <col min="2317" max="2317" width="11" customWidth="1"/>
    <col min="2318" max="2318" width="10.625" customWidth="1"/>
    <col min="2319" max="2319" width="9.625" customWidth="1"/>
    <col min="2562" max="2562" width="7" customWidth="1"/>
    <col min="2563" max="2563" width="17.75" customWidth="1"/>
    <col min="2564" max="2564" width="10.875" customWidth="1"/>
    <col min="2565" max="2565" width="11.25" customWidth="1"/>
    <col min="2566" max="2566" width="11.5" customWidth="1"/>
    <col min="2567" max="2567" width="11.625" customWidth="1"/>
    <col min="2568" max="2568" width="15.5" customWidth="1"/>
    <col min="2569" max="2569" width="18.75" customWidth="1"/>
    <col min="2570" max="2570" width="15.375" customWidth="1"/>
    <col min="2571" max="2571" width="15.125" customWidth="1"/>
    <col min="2573" max="2573" width="11" customWidth="1"/>
    <col min="2574" max="2574" width="10.625" customWidth="1"/>
    <col min="2575" max="2575" width="9.625" customWidth="1"/>
    <col min="2818" max="2818" width="7" customWidth="1"/>
    <col min="2819" max="2819" width="17.75" customWidth="1"/>
    <col min="2820" max="2820" width="10.875" customWidth="1"/>
    <col min="2821" max="2821" width="11.25" customWidth="1"/>
    <col min="2822" max="2822" width="11.5" customWidth="1"/>
    <col min="2823" max="2823" width="11.625" customWidth="1"/>
    <col min="2824" max="2824" width="15.5" customWidth="1"/>
    <col min="2825" max="2825" width="18.75" customWidth="1"/>
    <col min="2826" max="2826" width="15.375" customWidth="1"/>
    <col min="2827" max="2827" width="15.125" customWidth="1"/>
    <col min="2829" max="2829" width="11" customWidth="1"/>
    <col min="2830" max="2830" width="10.625" customWidth="1"/>
    <col min="2831" max="2831" width="9.625" customWidth="1"/>
    <col min="3074" max="3074" width="7" customWidth="1"/>
    <col min="3075" max="3075" width="17.75" customWidth="1"/>
    <col min="3076" max="3076" width="10.875" customWidth="1"/>
    <col min="3077" max="3077" width="11.25" customWidth="1"/>
    <col min="3078" max="3078" width="11.5" customWidth="1"/>
    <col min="3079" max="3079" width="11.625" customWidth="1"/>
    <col min="3080" max="3080" width="15.5" customWidth="1"/>
    <col min="3081" max="3081" width="18.75" customWidth="1"/>
    <col min="3082" max="3082" width="15.375" customWidth="1"/>
    <col min="3083" max="3083" width="15.125" customWidth="1"/>
    <col min="3085" max="3085" width="11" customWidth="1"/>
    <col min="3086" max="3086" width="10.625" customWidth="1"/>
    <col min="3087" max="3087" width="9.625" customWidth="1"/>
    <col min="3330" max="3330" width="7" customWidth="1"/>
    <col min="3331" max="3331" width="17.75" customWidth="1"/>
    <col min="3332" max="3332" width="10.875" customWidth="1"/>
    <col min="3333" max="3333" width="11.25" customWidth="1"/>
    <col min="3334" max="3334" width="11.5" customWidth="1"/>
    <col min="3335" max="3335" width="11.625" customWidth="1"/>
    <col min="3336" max="3336" width="15.5" customWidth="1"/>
    <col min="3337" max="3337" width="18.75" customWidth="1"/>
    <col min="3338" max="3338" width="15.375" customWidth="1"/>
    <col min="3339" max="3339" width="15.125" customWidth="1"/>
    <col min="3341" max="3341" width="11" customWidth="1"/>
    <col min="3342" max="3342" width="10.625" customWidth="1"/>
    <col min="3343" max="3343" width="9.625" customWidth="1"/>
    <col min="3586" max="3586" width="7" customWidth="1"/>
    <col min="3587" max="3587" width="17.75" customWidth="1"/>
    <col min="3588" max="3588" width="10.875" customWidth="1"/>
    <col min="3589" max="3589" width="11.25" customWidth="1"/>
    <col min="3590" max="3590" width="11.5" customWidth="1"/>
    <col min="3591" max="3591" width="11.625" customWidth="1"/>
    <col min="3592" max="3592" width="15.5" customWidth="1"/>
    <col min="3593" max="3593" width="18.75" customWidth="1"/>
    <col min="3594" max="3594" width="15.375" customWidth="1"/>
    <col min="3595" max="3595" width="15.125" customWidth="1"/>
    <col min="3597" max="3597" width="11" customWidth="1"/>
    <col min="3598" max="3598" width="10.625" customWidth="1"/>
    <col min="3599" max="3599" width="9.625" customWidth="1"/>
    <col min="3842" max="3842" width="7" customWidth="1"/>
    <col min="3843" max="3843" width="17.75" customWidth="1"/>
    <col min="3844" max="3844" width="10.875" customWidth="1"/>
    <col min="3845" max="3845" width="11.25" customWidth="1"/>
    <col min="3846" max="3846" width="11.5" customWidth="1"/>
    <col min="3847" max="3847" width="11.625" customWidth="1"/>
    <col min="3848" max="3848" width="15.5" customWidth="1"/>
    <col min="3849" max="3849" width="18.75" customWidth="1"/>
    <col min="3850" max="3850" width="15.375" customWidth="1"/>
    <col min="3851" max="3851" width="15.125" customWidth="1"/>
    <col min="3853" max="3853" width="11" customWidth="1"/>
    <col min="3854" max="3854" width="10.625" customWidth="1"/>
    <col min="3855" max="3855" width="9.625" customWidth="1"/>
    <col min="4098" max="4098" width="7" customWidth="1"/>
    <col min="4099" max="4099" width="17.75" customWidth="1"/>
    <col min="4100" max="4100" width="10.875" customWidth="1"/>
    <col min="4101" max="4101" width="11.25" customWidth="1"/>
    <col min="4102" max="4102" width="11.5" customWidth="1"/>
    <col min="4103" max="4103" width="11.625" customWidth="1"/>
    <col min="4104" max="4104" width="15.5" customWidth="1"/>
    <col min="4105" max="4105" width="18.75" customWidth="1"/>
    <col min="4106" max="4106" width="15.375" customWidth="1"/>
    <col min="4107" max="4107" width="15.125" customWidth="1"/>
    <col min="4109" max="4109" width="11" customWidth="1"/>
    <col min="4110" max="4110" width="10.625" customWidth="1"/>
    <col min="4111" max="4111" width="9.625" customWidth="1"/>
    <col min="4354" max="4354" width="7" customWidth="1"/>
    <col min="4355" max="4355" width="17.75" customWidth="1"/>
    <col min="4356" max="4356" width="10.875" customWidth="1"/>
    <col min="4357" max="4357" width="11.25" customWidth="1"/>
    <col min="4358" max="4358" width="11.5" customWidth="1"/>
    <col min="4359" max="4359" width="11.625" customWidth="1"/>
    <col min="4360" max="4360" width="15.5" customWidth="1"/>
    <col min="4361" max="4361" width="18.75" customWidth="1"/>
    <col min="4362" max="4362" width="15.375" customWidth="1"/>
    <col min="4363" max="4363" width="15.125" customWidth="1"/>
    <col min="4365" max="4365" width="11" customWidth="1"/>
    <col min="4366" max="4366" width="10.625" customWidth="1"/>
    <col min="4367" max="4367" width="9.625" customWidth="1"/>
    <col min="4610" max="4610" width="7" customWidth="1"/>
    <col min="4611" max="4611" width="17.75" customWidth="1"/>
    <col min="4612" max="4612" width="10.875" customWidth="1"/>
    <col min="4613" max="4613" width="11.25" customWidth="1"/>
    <col min="4614" max="4614" width="11.5" customWidth="1"/>
    <col min="4615" max="4615" width="11.625" customWidth="1"/>
    <col min="4616" max="4616" width="15.5" customWidth="1"/>
    <col min="4617" max="4617" width="18.75" customWidth="1"/>
    <col min="4618" max="4618" width="15.375" customWidth="1"/>
    <col min="4619" max="4619" width="15.125" customWidth="1"/>
    <col min="4621" max="4621" width="11" customWidth="1"/>
    <col min="4622" max="4622" width="10.625" customWidth="1"/>
    <col min="4623" max="4623" width="9.625" customWidth="1"/>
    <col min="4866" max="4866" width="7" customWidth="1"/>
    <col min="4867" max="4867" width="17.75" customWidth="1"/>
    <col min="4868" max="4868" width="10.875" customWidth="1"/>
    <col min="4869" max="4869" width="11.25" customWidth="1"/>
    <col min="4870" max="4870" width="11.5" customWidth="1"/>
    <col min="4871" max="4871" width="11.625" customWidth="1"/>
    <col min="4872" max="4872" width="15.5" customWidth="1"/>
    <col min="4873" max="4873" width="18.75" customWidth="1"/>
    <col min="4874" max="4874" width="15.375" customWidth="1"/>
    <col min="4875" max="4875" width="15.125" customWidth="1"/>
    <col min="4877" max="4877" width="11" customWidth="1"/>
    <col min="4878" max="4878" width="10.625" customWidth="1"/>
    <col min="4879" max="4879" width="9.625" customWidth="1"/>
    <col min="5122" max="5122" width="7" customWidth="1"/>
    <col min="5123" max="5123" width="17.75" customWidth="1"/>
    <col min="5124" max="5124" width="10.875" customWidth="1"/>
    <col min="5125" max="5125" width="11.25" customWidth="1"/>
    <col min="5126" max="5126" width="11.5" customWidth="1"/>
    <col min="5127" max="5127" width="11.625" customWidth="1"/>
    <col min="5128" max="5128" width="15.5" customWidth="1"/>
    <col min="5129" max="5129" width="18.75" customWidth="1"/>
    <col min="5130" max="5130" width="15.375" customWidth="1"/>
    <col min="5131" max="5131" width="15.125" customWidth="1"/>
    <col min="5133" max="5133" width="11" customWidth="1"/>
    <col min="5134" max="5134" width="10.625" customWidth="1"/>
    <col min="5135" max="5135" width="9.625" customWidth="1"/>
    <col min="5378" max="5378" width="7" customWidth="1"/>
    <col min="5379" max="5379" width="17.75" customWidth="1"/>
    <col min="5380" max="5380" width="10.875" customWidth="1"/>
    <col min="5381" max="5381" width="11.25" customWidth="1"/>
    <col min="5382" max="5382" width="11.5" customWidth="1"/>
    <col min="5383" max="5383" width="11.625" customWidth="1"/>
    <col min="5384" max="5384" width="15.5" customWidth="1"/>
    <col min="5385" max="5385" width="18.75" customWidth="1"/>
    <col min="5386" max="5386" width="15.375" customWidth="1"/>
    <col min="5387" max="5387" width="15.125" customWidth="1"/>
    <col min="5389" max="5389" width="11" customWidth="1"/>
    <col min="5390" max="5390" width="10.625" customWidth="1"/>
    <col min="5391" max="5391" width="9.625" customWidth="1"/>
    <col min="5634" max="5634" width="7" customWidth="1"/>
    <col min="5635" max="5635" width="17.75" customWidth="1"/>
    <col min="5636" max="5636" width="10.875" customWidth="1"/>
    <col min="5637" max="5637" width="11.25" customWidth="1"/>
    <col min="5638" max="5638" width="11.5" customWidth="1"/>
    <col min="5639" max="5639" width="11.625" customWidth="1"/>
    <col min="5640" max="5640" width="15.5" customWidth="1"/>
    <col min="5641" max="5641" width="18.75" customWidth="1"/>
    <col min="5642" max="5642" width="15.375" customWidth="1"/>
    <col min="5643" max="5643" width="15.125" customWidth="1"/>
    <col min="5645" max="5645" width="11" customWidth="1"/>
    <col min="5646" max="5646" width="10.625" customWidth="1"/>
    <col min="5647" max="5647" width="9.625" customWidth="1"/>
    <col min="5890" max="5890" width="7" customWidth="1"/>
    <col min="5891" max="5891" width="17.75" customWidth="1"/>
    <col min="5892" max="5892" width="10.875" customWidth="1"/>
    <col min="5893" max="5893" width="11.25" customWidth="1"/>
    <col min="5894" max="5894" width="11.5" customWidth="1"/>
    <col min="5895" max="5895" width="11.625" customWidth="1"/>
    <col min="5896" max="5896" width="15.5" customWidth="1"/>
    <col min="5897" max="5897" width="18.75" customWidth="1"/>
    <col min="5898" max="5898" width="15.375" customWidth="1"/>
    <col min="5899" max="5899" width="15.125" customWidth="1"/>
    <col min="5901" max="5901" width="11" customWidth="1"/>
    <col min="5902" max="5902" width="10.625" customWidth="1"/>
    <col min="5903" max="5903" width="9.625" customWidth="1"/>
    <col min="6146" max="6146" width="7" customWidth="1"/>
    <col min="6147" max="6147" width="17.75" customWidth="1"/>
    <col min="6148" max="6148" width="10.875" customWidth="1"/>
    <col min="6149" max="6149" width="11.25" customWidth="1"/>
    <col min="6150" max="6150" width="11.5" customWidth="1"/>
    <col min="6151" max="6151" width="11.625" customWidth="1"/>
    <col min="6152" max="6152" width="15.5" customWidth="1"/>
    <col min="6153" max="6153" width="18.75" customWidth="1"/>
    <col min="6154" max="6154" width="15.375" customWidth="1"/>
    <col min="6155" max="6155" width="15.125" customWidth="1"/>
    <col min="6157" max="6157" width="11" customWidth="1"/>
    <col min="6158" max="6158" width="10.625" customWidth="1"/>
    <col min="6159" max="6159" width="9.625" customWidth="1"/>
    <col min="6402" max="6402" width="7" customWidth="1"/>
    <col min="6403" max="6403" width="17.75" customWidth="1"/>
    <col min="6404" max="6404" width="10.875" customWidth="1"/>
    <col min="6405" max="6405" width="11.25" customWidth="1"/>
    <col min="6406" max="6406" width="11.5" customWidth="1"/>
    <col min="6407" max="6407" width="11.625" customWidth="1"/>
    <col min="6408" max="6408" width="15.5" customWidth="1"/>
    <col min="6409" max="6409" width="18.75" customWidth="1"/>
    <col min="6410" max="6410" width="15.375" customWidth="1"/>
    <col min="6411" max="6411" width="15.125" customWidth="1"/>
    <col min="6413" max="6413" width="11" customWidth="1"/>
    <col min="6414" max="6414" width="10.625" customWidth="1"/>
    <col min="6415" max="6415" width="9.625" customWidth="1"/>
    <col min="6658" max="6658" width="7" customWidth="1"/>
    <col min="6659" max="6659" width="17.75" customWidth="1"/>
    <col min="6660" max="6660" width="10.875" customWidth="1"/>
    <col min="6661" max="6661" width="11.25" customWidth="1"/>
    <col min="6662" max="6662" width="11.5" customWidth="1"/>
    <col min="6663" max="6663" width="11.625" customWidth="1"/>
    <col min="6664" max="6664" width="15.5" customWidth="1"/>
    <col min="6665" max="6665" width="18.75" customWidth="1"/>
    <col min="6666" max="6666" width="15.375" customWidth="1"/>
    <col min="6667" max="6667" width="15.125" customWidth="1"/>
    <col min="6669" max="6669" width="11" customWidth="1"/>
    <col min="6670" max="6670" width="10.625" customWidth="1"/>
    <col min="6671" max="6671" width="9.625" customWidth="1"/>
    <col min="6914" max="6914" width="7" customWidth="1"/>
    <col min="6915" max="6915" width="17.75" customWidth="1"/>
    <col min="6916" max="6916" width="10.875" customWidth="1"/>
    <col min="6917" max="6917" width="11.25" customWidth="1"/>
    <col min="6918" max="6918" width="11.5" customWidth="1"/>
    <col min="6919" max="6919" width="11.625" customWidth="1"/>
    <col min="6920" max="6920" width="15.5" customWidth="1"/>
    <col min="6921" max="6921" width="18.75" customWidth="1"/>
    <col min="6922" max="6922" width="15.375" customWidth="1"/>
    <col min="6923" max="6923" width="15.125" customWidth="1"/>
    <col min="6925" max="6925" width="11" customWidth="1"/>
    <col min="6926" max="6926" width="10.625" customWidth="1"/>
    <col min="6927" max="6927" width="9.625" customWidth="1"/>
    <col min="7170" max="7170" width="7" customWidth="1"/>
    <col min="7171" max="7171" width="17.75" customWidth="1"/>
    <col min="7172" max="7172" width="10.875" customWidth="1"/>
    <col min="7173" max="7173" width="11.25" customWidth="1"/>
    <col min="7174" max="7174" width="11.5" customWidth="1"/>
    <col min="7175" max="7175" width="11.625" customWidth="1"/>
    <col min="7176" max="7176" width="15.5" customWidth="1"/>
    <col min="7177" max="7177" width="18.75" customWidth="1"/>
    <col min="7178" max="7178" width="15.375" customWidth="1"/>
    <col min="7179" max="7179" width="15.125" customWidth="1"/>
    <col min="7181" max="7181" width="11" customWidth="1"/>
    <col min="7182" max="7182" width="10.625" customWidth="1"/>
    <col min="7183" max="7183" width="9.625" customWidth="1"/>
    <col min="7426" max="7426" width="7" customWidth="1"/>
    <col min="7427" max="7427" width="17.75" customWidth="1"/>
    <col min="7428" max="7428" width="10.875" customWidth="1"/>
    <col min="7429" max="7429" width="11.25" customWidth="1"/>
    <col min="7430" max="7430" width="11.5" customWidth="1"/>
    <col min="7431" max="7431" width="11.625" customWidth="1"/>
    <col min="7432" max="7432" width="15.5" customWidth="1"/>
    <col min="7433" max="7433" width="18.75" customWidth="1"/>
    <col min="7434" max="7434" width="15.375" customWidth="1"/>
    <col min="7435" max="7435" width="15.125" customWidth="1"/>
    <col min="7437" max="7437" width="11" customWidth="1"/>
    <col min="7438" max="7438" width="10.625" customWidth="1"/>
    <col min="7439" max="7439" width="9.625" customWidth="1"/>
    <col min="7682" max="7682" width="7" customWidth="1"/>
    <col min="7683" max="7683" width="17.75" customWidth="1"/>
    <col min="7684" max="7684" width="10.875" customWidth="1"/>
    <col min="7685" max="7685" width="11.25" customWidth="1"/>
    <col min="7686" max="7686" width="11.5" customWidth="1"/>
    <col min="7687" max="7687" width="11.625" customWidth="1"/>
    <col min="7688" max="7688" width="15.5" customWidth="1"/>
    <col min="7689" max="7689" width="18.75" customWidth="1"/>
    <col min="7690" max="7690" width="15.375" customWidth="1"/>
    <col min="7691" max="7691" width="15.125" customWidth="1"/>
    <col min="7693" max="7693" width="11" customWidth="1"/>
    <col min="7694" max="7694" width="10.625" customWidth="1"/>
    <col min="7695" max="7695" width="9.625" customWidth="1"/>
    <col min="7938" max="7938" width="7" customWidth="1"/>
    <col min="7939" max="7939" width="17.75" customWidth="1"/>
    <col min="7940" max="7940" width="10.875" customWidth="1"/>
    <col min="7941" max="7941" width="11.25" customWidth="1"/>
    <col min="7942" max="7942" width="11.5" customWidth="1"/>
    <col min="7943" max="7943" width="11.625" customWidth="1"/>
    <col min="7944" max="7944" width="15.5" customWidth="1"/>
    <col min="7945" max="7945" width="18.75" customWidth="1"/>
    <col min="7946" max="7946" width="15.375" customWidth="1"/>
    <col min="7947" max="7947" width="15.125" customWidth="1"/>
    <col min="7949" max="7949" width="11" customWidth="1"/>
    <col min="7950" max="7950" width="10.625" customWidth="1"/>
    <col min="7951" max="7951" width="9.625" customWidth="1"/>
    <col min="8194" max="8194" width="7" customWidth="1"/>
    <col min="8195" max="8195" width="17.75" customWidth="1"/>
    <col min="8196" max="8196" width="10.875" customWidth="1"/>
    <col min="8197" max="8197" width="11.25" customWidth="1"/>
    <col min="8198" max="8198" width="11.5" customWidth="1"/>
    <col min="8199" max="8199" width="11.625" customWidth="1"/>
    <col min="8200" max="8200" width="15.5" customWidth="1"/>
    <col min="8201" max="8201" width="18.75" customWidth="1"/>
    <col min="8202" max="8202" width="15.375" customWidth="1"/>
    <col min="8203" max="8203" width="15.125" customWidth="1"/>
    <col min="8205" max="8205" width="11" customWidth="1"/>
    <col min="8206" max="8206" width="10.625" customWidth="1"/>
    <col min="8207" max="8207" width="9.625" customWidth="1"/>
    <col min="8450" max="8450" width="7" customWidth="1"/>
    <col min="8451" max="8451" width="17.75" customWidth="1"/>
    <col min="8452" max="8452" width="10.875" customWidth="1"/>
    <col min="8453" max="8453" width="11.25" customWidth="1"/>
    <col min="8454" max="8454" width="11.5" customWidth="1"/>
    <col min="8455" max="8455" width="11.625" customWidth="1"/>
    <col min="8456" max="8456" width="15.5" customWidth="1"/>
    <col min="8457" max="8457" width="18.75" customWidth="1"/>
    <col min="8458" max="8458" width="15.375" customWidth="1"/>
    <col min="8459" max="8459" width="15.125" customWidth="1"/>
    <col min="8461" max="8461" width="11" customWidth="1"/>
    <col min="8462" max="8462" width="10.625" customWidth="1"/>
    <col min="8463" max="8463" width="9.625" customWidth="1"/>
    <col min="8706" max="8706" width="7" customWidth="1"/>
    <col min="8707" max="8707" width="17.75" customWidth="1"/>
    <col min="8708" max="8708" width="10.875" customWidth="1"/>
    <col min="8709" max="8709" width="11.25" customWidth="1"/>
    <col min="8710" max="8710" width="11.5" customWidth="1"/>
    <col min="8711" max="8711" width="11.625" customWidth="1"/>
    <col min="8712" max="8712" width="15.5" customWidth="1"/>
    <col min="8713" max="8713" width="18.75" customWidth="1"/>
    <col min="8714" max="8714" width="15.375" customWidth="1"/>
    <col min="8715" max="8715" width="15.125" customWidth="1"/>
    <col min="8717" max="8717" width="11" customWidth="1"/>
    <col min="8718" max="8718" width="10.625" customWidth="1"/>
    <col min="8719" max="8719" width="9.625" customWidth="1"/>
    <col min="8962" max="8962" width="7" customWidth="1"/>
    <col min="8963" max="8963" width="17.75" customWidth="1"/>
    <col min="8964" max="8964" width="10.875" customWidth="1"/>
    <col min="8965" max="8965" width="11.25" customWidth="1"/>
    <col min="8966" max="8966" width="11.5" customWidth="1"/>
    <col min="8967" max="8967" width="11.625" customWidth="1"/>
    <col min="8968" max="8968" width="15.5" customWidth="1"/>
    <col min="8969" max="8969" width="18.75" customWidth="1"/>
    <col min="8970" max="8970" width="15.375" customWidth="1"/>
    <col min="8971" max="8971" width="15.125" customWidth="1"/>
    <col min="8973" max="8973" width="11" customWidth="1"/>
    <col min="8974" max="8974" width="10.625" customWidth="1"/>
    <col min="8975" max="8975" width="9.625" customWidth="1"/>
    <col min="9218" max="9218" width="7" customWidth="1"/>
    <col min="9219" max="9219" width="17.75" customWidth="1"/>
    <col min="9220" max="9220" width="10.875" customWidth="1"/>
    <col min="9221" max="9221" width="11.25" customWidth="1"/>
    <col min="9222" max="9222" width="11.5" customWidth="1"/>
    <col min="9223" max="9223" width="11.625" customWidth="1"/>
    <col min="9224" max="9224" width="15.5" customWidth="1"/>
    <col min="9225" max="9225" width="18.75" customWidth="1"/>
    <col min="9226" max="9226" width="15.375" customWidth="1"/>
    <col min="9227" max="9227" width="15.125" customWidth="1"/>
    <col min="9229" max="9229" width="11" customWidth="1"/>
    <col min="9230" max="9230" width="10.625" customWidth="1"/>
    <col min="9231" max="9231" width="9.625" customWidth="1"/>
    <col min="9474" max="9474" width="7" customWidth="1"/>
    <col min="9475" max="9475" width="17.75" customWidth="1"/>
    <col min="9476" max="9476" width="10.875" customWidth="1"/>
    <col min="9477" max="9477" width="11.25" customWidth="1"/>
    <col min="9478" max="9478" width="11.5" customWidth="1"/>
    <col min="9479" max="9479" width="11.625" customWidth="1"/>
    <col min="9480" max="9480" width="15.5" customWidth="1"/>
    <col min="9481" max="9481" width="18.75" customWidth="1"/>
    <col min="9482" max="9482" width="15.375" customWidth="1"/>
    <col min="9483" max="9483" width="15.125" customWidth="1"/>
    <col min="9485" max="9485" width="11" customWidth="1"/>
    <col min="9486" max="9486" width="10.625" customWidth="1"/>
    <col min="9487" max="9487" width="9.625" customWidth="1"/>
    <col min="9730" max="9730" width="7" customWidth="1"/>
    <col min="9731" max="9731" width="17.75" customWidth="1"/>
    <col min="9732" max="9732" width="10.875" customWidth="1"/>
    <col min="9733" max="9733" width="11.25" customWidth="1"/>
    <col min="9734" max="9734" width="11.5" customWidth="1"/>
    <col min="9735" max="9735" width="11.625" customWidth="1"/>
    <col min="9736" max="9736" width="15.5" customWidth="1"/>
    <col min="9737" max="9737" width="18.75" customWidth="1"/>
    <col min="9738" max="9738" width="15.375" customWidth="1"/>
    <col min="9739" max="9739" width="15.125" customWidth="1"/>
    <col min="9741" max="9741" width="11" customWidth="1"/>
    <col min="9742" max="9742" width="10.625" customWidth="1"/>
    <col min="9743" max="9743" width="9.625" customWidth="1"/>
    <col min="9986" max="9986" width="7" customWidth="1"/>
    <col min="9987" max="9987" width="17.75" customWidth="1"/>
    <col min="9988" max="9988" width="10.875" customWidth="1"/>
    <col min="9989" max="9989" width="11.25" customWidth="1"/>
    <col min="9990" max="9990" width="11.5" customWidth="1"/>
    <col min="9991" max="9991" width="11.625" customWidth="1"/>
    <col min="9992" max="9992" width="15.5" customWidth="1"/>
    <col min="9993" max="9993" width="18.75" customWidth="1"/>
    <col min="9994" max="9994" width="15.375" customWidth="1"/>
    <col min="9995" max="9995" width="15.125" customWidth="1"/>
    <col min="9997" max="9997" width="11" customWidth="1"/>
    <col min="9998" max="9998" width="10.625" customWidth="1"/>
    <col min="9999" max="9999" width="9.625" customWidth="1"/>
    <col min="10242" max="10242" width="7" customWidth="1"/>
    <col min="10243" max="10243" width="17.75" customWidth="1"/>
    <col min="10244" max="10244" width="10.875" customWidth="1"/>
    <col min="10245" max="10245" width="11.25" customWidth="1"/>
    <col min="10246" max="10246" width="11.5" customWidth="1"/>
    <col min="10247" max="10247" width="11.625" customWidth="1"/>
    <col min="10248" max="10248" width="15.5" customWidth="1"/>
    <col min="10249" max="10249" width="18.75" customWidth="1"/>
    <col min="10250" max="10250" width="15.375" customWidth="1"/>
    <col min="10251" max="10251" width="15.125" customWidth="1"/>
    <col min="10253" max="10253" width="11" customWidth="1"/>
    <col min="10254" max="10254" width="10.625" customWidth="1"/>
    <col min="10255" max="10255" width="9.625" customWidth="1"/>
    <col min="10498" max="10498" width="7" customWidth="1"/>
    <col min="10499" max="10499" width="17.75" customWidth="1"/>
    <col min="10500" max="10500" width="10.875" customWidth="1"/>
    <col min="10501" max="10501" width="11.25" customWidth="1"/>
    <col min="10502" max="10502" width="11.5" customWidth="1"/>
    <col min="10503" max="10503" width="11.625" customWidth="1"/>
    <col min="10504" max="10504" width="15.5" customWidth="1"/>
    <col min="10505" max="10505" width="18.75" customWidth="1"/>
    <col min="10506" max="10506" width="15.375" customWidth="1"/>
    <col min="10507" max="10507" width="15.125" customWidth="1"/>
    <col min="10509" max="10509" width="11" customWidth="1"/>
    <col min="10510" max="10510" width="10.625" customWidth="1"/>
    <col min="10511" max="10511" width="9.625" customWidth="1"/>
    <col min="10754" max="10754" width="7" customWidth="1"/>
    <col min="10755" max="10755" width="17.75" customWidth="1"/>
    <col min="10756" max="10756" width="10.875" customWidth="1"/>
    <col min="10757" max="10757" width="11.25" customWidth="1"/>
    <col min="10758" max="10758" width="11.5" customWidth="1"/>
    <col min="10759" max="10759" width="11.625" customWidth="1"/>
    <col min="10760" max="10760" width="15.5" customWidth="1"/>
    <col min="10761" max="10761" width="18.75" customWidth="1"/>
    <col min="10762" max="10762" width="15.375" customWidth="1"/>
    <col min="10763" max="10763" width="15.125" customWidth="1"/>
    <col min="10765" max="10765" width="11" customWidth="1"/>
    <col min="10766" max="10766" width="10.625" customWidth="1"/>
    <col min="10767" max="10767" width="9.625" customWidth="1"/>
    <col min="11010" max="11010" width="7" customWidth="1"/>
    <col min="11011" max="11011" width="17.75" customWidth="1"/>
    <col min="11012" max="11012" width="10.875" customWidth="1"/>
    <col min="11013" max="11013" width="11.25" customWidth="1"/>
    <col min="11014" max="11014" width="11.5" customWidth="1"/>
    <col min="11015" max="11015" width="11.625" customWidth="1"/>
    <col min="11016" max="11016" width="15.5" customWidth="1"/>
    <col min="11017" max="11017" width="18.75" customWidth="1"/>
    <col min="11018" max="11018" width="15.375" customWidth="1"/>
    <col min="11019" max="11019" width="15.125" customWidth="1"/>
    <col min="11021" max="11021" width="11" customWidth="1"/>
    <col min="11022" max="11022" width="10.625" customWidth="1"/>
    <col min="11023" max="11023" width="9.625" customWidth="1"/>
    <col min="11266" max="11266" width="7" customWidth="1"/>
    <col min="11267" max="11267" width="17.75" customWidth="1"/>
    <col min="11268" max="11268" width="10.875" customWidth="1"/>
    <col min="11269" max="11269" width="11.25" customWidth="1"/>
    <col min="11270" max="11270" width="11.5" customWidth="1"/>
    <col min="11271" max="11271" width="11.625" customWidth="1"/>
    <col min="11272" max="11272" width="15.5" customWidth="1"/>
    <col min="11273" max="11273" width="18.75" customWidth="1"/>
    <col min="11274" max="11274" width="15.375" customWidth="1"/>
    <col min="11275" max="11275" width="15.125" customWidth="1"/>
    <col min="11277" max="11277" width="11" customWidth="1"/>
    <col min="11278" max="11278" width="10.625" customWidth="1"/>
    <col min="11279" max="11279" width="9.625" customWidth="1"/>
    <col min="11522" max="11522" width="7" customWidth="1"/>
    <col min="11523" max="11523" width="17.75" customWidth="1"/>
    <col min="11524" max="11524" width="10.875" customWidth="1"/>
    <col min="11525" max="11525" width="11.25" customWidth="1"/>
    <col min="11526" max="11526" width="11.5" customWidth="1"/>
    <col min="11527" max="11527" width="11.625" customWidth="1"/>
    <col min="11528" max="11528" width="15.5" customWidth="1"/>
    <col min="11529" max="11529" width="18.75" customWidth="1"/>
    <col min="11530" max="11530" width="15.375" customWidth="1"/>
    <col min="11531" max="11531" width="15.125" customWidth="1"/>
    <col min="11533" max="11533" width="11" customWidth="1"/>
    <col min="11534" max="11534" width="10.625" customWidth="1"/>
    <col min="11535" max="11535" width="9.625" customWidth="1"/>
    <col min="11778" max="11778" width="7" customWidth="1"/>
    <col min="11779" max="11779" width="17.75" customWidth="1"/>
    <col min="11780" max="11780" width="10.875" customWidth="1"/>
    <col min="11781" max="11781" width="11.25" customWidth="1"/>
    <col min="11782" max="11782" width="11.5" customWidth="1"/>
    <col min="11783" max="11783" width="11.625" customWidth="1"/>
    <col min="11784" max="11784" width="15.5" customWidth="1"/>
    <col min="11785" max="11785" width="18.75" customWidth="1"/>
    <col min="11786" max="11786" width="15.375" customWidth="1"/>
    <col min="11787" max="11787" width="15.125" customWidth="1"/>
    <col min="11789" max="11789" width="11" customWidth="1"/>
    <col min="11790" max="11790" width="10.625" customWidth="1"/>
    <col min="11791" max="11791" width="9.625" customWidth="1"/>
    <col min="12034" max="12034" width="7" customWidth="1"/>
    <col min="12035" max="12035" width="17.75" customWidth="1"/>
    <col min="12036" max="12036" width="10.875" customWidth="1"/>
    <col min="12037" max="12037" width="11.25" customWidth="1"/>
    <col min="12038" max="12038" width="11.5" customWidth="1"/>
    <col min="12039" max="12039" width="11.625" customWidth="1"/>
    <col min="12040" max="12040" width="15.5" customWidth="1"/>
    <col min="12041" max="12041" width="18.75" customWidth="1"/>
    <col min="12042" max="12042" width="15.375" customWidth="1"/>
    <col min="12043" max="12043" width="15.125" customWidth="1"/>
    <col min="12045" max="12045" width="11" customWidth="1"/>
    <col min="12046" max="12046" width="10.625" customWidth="1"/>
    <col min="12047" max="12047" width="9.625" customWidth="1"/>
    <col min="12290" max="12290" width="7" customWidth="1"/>
    <col min="12291" max="12291" width="17.75" customWidth="1"/>
    <col min="12292" max="12292" width="10.875" customWidth="1"/>
    <col min="12293" max="12293" width="11.25" customWidth="1"/>
    <col min="12294" max="12294" width="11.5" customWidth="1"/>
    <col min="12295" max="12295" width="11.625" customWidth="1"/>
    <col min="12296" max="12296" width="15.5" customWidth="1"/>
    <col min="12297" max="12297" width="18.75" customWidth="1"/>
    <col min="12298" max="12298" width="15.375" customWidth="1"/>
    <col min="12299" max="12299" width="15.125" customWidth="1"/>
    <col min="12301" max="12301" width="11" customWidth="1"/>
    <col min="12302" max="12302" width="10.625" customWidth="1"/>
    <col min="12303" max="12303" width="9.625" customWidth="1"/>
    <col min="12546" max="12546" width="7" customWidth="1"/>
    <col min="12547" max="12547" width="17.75" customWidth="1"/>
    <col min="12548" max="12548" width="10.875" customWidth="1"/>
    <col min="12549" max="12549" width="11.25" customWidth="1"/>
    <col min="12550" max="12550" width="11.5" customWidth="1"/>
    <col min="12551" max="12551" width="11.625" customWidth="1"/>
    <col min="12552" max="12552" width="15.5" customWidth="1"/>
    <col min="12553" max="12553" width="18.75" customWidth="1"/>
    <col min="12554" max="12554" width="15.375" customWidth="1"/>
    <col min="12555" max="12555" width="15.125" customWidth="1"/>
    <col min="12557" max="12557" width="11" customWidth="1"/>
    <col min="12558" max="12558" width="10.625" customWidth="1"/>
    <col min="12559" max="12559" width="9.625" customWidth="1"/>
    <col min="12802" max="12802" width="7" customWidth="1"/>
    <col min="12803" max="12803" width="17.75" customWidth="1"/>
    <col min="12804" max="12804" width="10.875" customWidth="1"/>
    <col min="12805" max="12805" width="11.25" customWidth="1"/>
    <col min="12806" max="12806" width="11.5" customWidth="1"/>
    <col min="12807" max="12807" width="11.625" customWidth="1"/>
    <col min="12808" max="12808" width="15.5" customWidth="1"/>
    <col min="12809" max="12809" width="18.75" customWidth="1"/>
    <col min="12810" max="12810" width="15.375" customWidth="1"/>
    <col min="12811" max="12811" width="15.125" customWidth="1"/>
    <col min="12813" max="12813" width="11" customWidth="1"/>
    <col min="12814" max="12814" width="10.625" customWidth="1"/>
    <col min="12815" max="12815" width="9.625" customWidth="1"/>
    <col min="13058" max="13058" width="7" customWidth="1"/>
    <col min="13059" max="13059" width="17.75" customWidth="1"/>
    <col min="13060" max="13060" width="10.875" customWidth="1"/>
    <col min="13061" max="13061" width="11.25" customWidth="1"/>
    <col min="13062" max="13062" width="11.5" customWidth="1"/>
    <col min="13063" max="13063" width="11.625" customWidth="1"/>
    <col min="13064" max="13064" width="15.5" customWidth="1"/>
    <col min="13065" max="13065" width="18.75" customWidth="1"/>
    <col min="13066" max="13066" width="15.375" customWidth="1"/>
    <col min="13067" max="13067" width="15.125" customWidth="1"/>
    <col min="13069" max="13069" width="11" customWidth="1"/>
    <col min="13070" max="13070" width="10.625" customWidth="1"/>
    <col min="13071" max="13071" width="9.625" customWidth="1"/>
    <col min="13314" max="13314" width="7" customWidth="1"/>
    <col min="13315" max="13315" width="17.75" customWidth="1"/>
    <col min="13316" max="13316" width="10.875" customWidth="1"/>
    <col min="13317" max="13317" width="11.25" customWidth="1"/>
    <col min="13318" max="13318" width="11.5" customWidth="1"/>
    <col min="13319" max="13319" width="11.625" customWidth="1"/>
    <col min="13320" max="13320" width="15.5" customWidth="1"/>
    <col min="13321" max="13321" width="18.75" customWidth="1"/>
    <col min="13322" max="13322" width="15.375" customWidth="1"/>
    <col min="13323" max="13323" width="15.125" customWidth="1"/>
    <col min="13325" max="13325" width="11" customWidth="1"/>
    <col min="13326" max="13326" width="10.625" customWidth="1"/>
    <col min="13327" max="13327" width="9.625" customWidth="1"/>
    <col min="13570" max="13570" width="7" customWidth="1"/>
    <col min="13571" max="13571" width="17.75" customWidth="1"/>
    <col min="13572" max="13572" width="10.875" customWidth="1"/>
    <col min="13573" max="13573" width="11.25" customWidth="1"/>
    <col min="13574" max="13574" width="11.5" customWidth="1"/>
    <col min="13575" max="13575" width="11.625" customWidth="1"/>
    <col min="13576" max="13576" width="15.5" customWidth="1"/>
    <col min="13577" max="13577" width="18.75" customWidth="1"/>
    <col min="13578" max="13578" width="15.375" customWidth="1"/>
    <col min="13579" max="13579" width="15.125" customWidth="1"/>
    <col min="13581" max="13581" width="11" customWidth="1"/>
    <col min="13582" max="13582" width="10.625" customWidth="1"/>
    <col min="13583" max="13583" width="9.625" customWidth="1"/>
    <col min="13826" max="13826" width="7" customWidth="1"/>
    <col min="13827" max="13827" width="17.75" customWidth="1"/>
    <col min="13828" max="13828" width="10.875" customWidth="1"/>
    <col min="13829" max="13829" width="11.25" customWidth="1"/>
    <col min="13830" max="13830" width="11.5" customWidth="1"/>
    <col min="13831" max="13831" width="11.625" customWidth="1"/>
    <col min="13832" max="13832" width="15.5" customWidth="1"/>
    <col min="13833" max="13833" width="18.75" customWidth="1"/>
    <col min="13834" max="13834" width="15.375" customWidth="1"/>
    <col min="13835" max="13835" width="15.125" customWidth="1"/>
    <col min="13837" max="13837" width="11" customWidth="1"/>
    <col min="13838" max="13838" width="10.625" customWidth="1"/>
    <col min="13839" max="13839" width="9.625" customWidth="1"/>
    <col min="14082" max="14082" width="7" customWidth="1"/>
    <col min="14083" max="14083" width="17.75" customWidth="1"/>
    <col min="14084" max="14084" width="10.875" customWidth="1"/>
    <col min="14085" max="14085" width="11.25" customWidth="1"/>
    <col min="14086" max="14086" width="11.5" customWidth="1"/>
    <col min="14087" max="14087" width="11.625" customWidth="1"/>
    <col min="14088" max="14088" width="15.5" customWidth="1"/>
    <col min="14089" max="14089" width="18.75" customWidth="1"/>
    <col min="14090" max="14090" width="15.375" customWidth="1"/>
    <col min="14091" max="14091" width="15.125" customWidth="1"/>
    <col min="14093" max="14093" width="11" customWidth="1"/>
    <col min="14094" max="14094" width="10.625" customWidth="1"/>
    <col min="14095" max="14095" width="9.625" customWidth="1"/>
    <col min="14338" max="14338" width="7" customWidth="1"/>
    <col min="14339" max="14339" width="17.75" customWidth="1"/>
    <col min="14340" max="14340" width="10.875" customWidth="1"/>
    <col min="14341" max="14341" width="11.25" customWidth="1"/>
    <col min="14342" max="14342" width="11.5" customWidth="1"/>
    <col min="14343" max="14343" width="11.625" customWidth="1"/>
    <col min="14344" max="14344" width="15.5" customWidth="1"/>
    <col min="14345" max="14345" width="18.75" customWidth="1"/>
    <col min="14346" max="14346" width="15.375" customWidth="1"/>
    <col min="14347" max="14347" width="15.125" customWidth="1"/>
    <col min="14349" max="14349" width="11" customWidth="1"/>
    <col min="14350" max="14350" width="10.625" customWidth="1"/>
    <col min="14351" max="14351" width="9.625" customWidth="1"/>
    <col min="14594" max="14594" width="7" customWidth="1"/>
    <col min="14595" max="14595" width="17.75" customWidth="1"/>
    <col min="14596" max="14596" width="10.875" customWidth="1"/>
    <col min="14597" max="14597" width="11.25" customWidth="1"/>
    <col min="14598" max="14598" width="11.5" customWidth="1"/>
    <col min="14599" max="14599" width="11.625" customWidth="1"/>
    <col min="14600" max="14600" width="15.5" customWidth="1"/>
    <col min="14601" max="14601" width="18.75" customWidth="1"/>
    <col min="14602" max="14602" width="15.375" customWidth="1"/>
    <col min="14603" max="14603" width="15.125" customWidth="1"/>
    <col min="14605" max="14605" width="11" customWidth="1"/>
    <col min="14606" max="14606" width="10.625" customWidth="1"/>
    <col min="14607" max="14607" width="9.625" customWidth="1"/>
    <col min="14850" max="14850" width="7" customWidth="1"/>
    <col min="14851" max="14851" width="17.75" customWidth="1"/>
    <col min="14852" max="14852" width="10.875" customWidth="1"/>
    <col min="14853" max="14853" width="11.25" customWidth="1"/>
    <col min="14854" max="14854" width="11.5" customWidth="1"/>
    <col min="14855" max="14855" width="11.625" customWidth="1"/>
    <col min="14856" max="14856" width="15.5" customWidth="1"/>
    <col min="14857" max="14857" width="18.75" customWidth="1"/>
    <col min="14858" max="14858" width="15.375" customWidth="1"/>
    <col min="14859" max="14859" width="15.125" customWidth="1"/>
    <col min="14861" max="14861" width="11" customWidth="1"/>
    <col min="14862" max="14862" width="10.625" customWidth="1"/>
    <col min="14863" max="14863" width="9.625" customWidth="1"/>
    <col min="15106" max="15106" width="7" customWidth="1"/>
    <col min="15107" max="15107" width="17.75" customWidth="1"/>
    <col min="15108" max="15108" width="10.875" customWidth="1"/>
    <col min="15109" max="15109" width="11.25" customWidth="1"/>
    <col min="15110" max="15110" width="11.5" customWidth="1"/>
    <col min="15111" max="15111" width="11.625" customWidth="1"/>
    <col min="15112" max="15112" width="15.5" customWidth="1"/>
    <col min="15113" max="15113" width="18.75" customWidth="1"/>
    <col min="15114" max="15114" width="15.375" customWidth="1"/>
    <col min="15115" max="15115" width="15.125" customWidth="1"/>
    <col min="15117" max="15117" width="11" customWidth="1"/>
    <col min="15118" max="15118" width="10.625" customWidth="1"/>
    <col min="15119" max="15119" width="9.625" customWidth="1"/>
    <col min="15362" max="15362" width="7" customWidth="1"/>
    <col min="15363" max="15363" width="17.75" customWidth="1"/>
    <col min="15364" max="15364" width="10.875" customWidth="1"/>
    <col min="15365" max="15365" width="11.25" customWidth="1"/>
    <col min="15366" max="15366" width="11.5" customWidth="1"/>
    <col min="15367" max="15367" width="11.625" customWidth="1"/>
    <col min="15368" max="15368" width="15.5" customWidth="1"/>
    <col min="15369" max="15369" width="18.75" customWidth="1"/>
    <col min="15370" max="15370" width="15.375" customWidth="1"/>
    <col min="15371" max="15371" width="15.125" customWidth="1"/>
    <col min="15373" max="15373" width="11" customWidth="1"/>
    <col min="15374" max="15374" width="10.625" customWidth="1"/>
    <col min="15375" max="15375" width="9.625" customWidth="1"/>
    <col min="15618" max="15618" width="7" customWidth="1"/>
    <col min="15619" max="15619" width="17.75" customWidth="1"/>
    <col min="15620" max="15620" width="10.875" customWidth="1"/>
    <col min="15621" max="15621" width="11.25" customWidth="1"/>
    <col min="15622" max="15622" width="11.5" customWidth="1"/>
    <col min="15623" max="15623" width="11.625" customWidth="1"/>
    <col min="15624" max="15624" width="15.5" customWidth="1"/>
    <col min="15625" max="15625" width="18.75" customWidth="1"/>
    <col min="15626" max="15626" width="15.375" customWidth="1"/>
    <col min="15627" max="15627" width="15.125" customWidth="1"/>
    <col min="15629" max="15629" width="11" customWidth="1"/>
    <col min="15630" max="15630" width="10.625" customWidth="1"/>
    <col min="15631" max="15631" width="9.625" customWidth="1"/>
    <col min="15874" max="15874" width="7" customWidth="1"/>
    <col min="15875" max="15875" width="17.75" customWidth="1"/>
    <col min="15876" max="15876" width="10.875" customWidth="1"/>
    <col min="15877" max="15877" width="11.25" customWidth="1"/>
    <col min="15878" max="15878" width="11.5" customWidth="1"/>
    <col min="15879" max="15879" width="11.625" customWidth="1"/>
    <col min="15880" max="15880" width="15.5" customWidth="1"/>
    <col min="15881" max="15881" width="18.75" customWidth="1"/>
    <col min="15882" max="15882" width="15.375" customWidth="1"/>
    <col min="15883" max="15883" width="15.125" customWidth="1"/>
    <col min="15885" max="15885" width="11" customWidth="1"/>
    <col min="15886" max="15886" width="10.625" customWidth="1"/>
    <col min="15887" max="15887" width="9.625" customWidth="1"/>
    <col min="16130" max="16130" width="7" customWidth="1"/>
    <col min="16131" max="16131" width="17.75" customWidth="1"/>
    <col min="16132" max="16132" width="10.875" customWidth="1"/>
    <col min="16133" max="16133" width="11.25" customWidth="1"/>
    <col min="16134" max="16134" width="11.5" customWidth="1"/>
    <col min="16135" max="16135" width="11.625" customWidth="1"/>
    <col min="16136" max="16136" width="15.5" customWidth="1"/>
    <col min="16137" max="16137" width="18.75" customWidth="1"/>
    <col min="16138" max="16138" width="15.375" customWidth="1"/>
    <col min="16139" max="16139" width="15.125" customWidth="1"/>
    <col min="16141" max="16141" width="11" customWidth="1"/>
    <col min="16142" max="16142" width="10.625" customWidth="1"/>
    <col min="16143" max="16143" width="9.625" customWidth="1"/>
  </cols>
  <sheetData>
    <row r="1" spans="1:15" ht="18.75" x14ac:dyDescent="0.3">
      <c r="G1" s="1" t="s">
        <v>0</v>
      </c>
      <c r="N1" t="s">
        <v>1</v>
      </c>
    </row>
    <row r="2" spans="1:15" ht="18.75" x14ac:dyDescent="0.3">
      <c r="G2" s="1"/>
    </row>
    <row r="3" spans="1:15" ht="18.75" x14ac:dyDescent="0.3">
      <c r="A3" s="545" t="s">
        <v>2</v>
      </c>
      <c r="B3" s="545"/>
      <c r="C3" s="108" t="s">
        <v>38</v>
      </c>
      <c r="G3" s="1"/>
    </row>
    <row r="4" spans="1:15" ht="18.75" x14ac:dyDescent="0.3">
      <c r="A4" s="545" t="s">
        <v>3</v>
      </c>
      <c r="B4" s="545"/>
      <c r="C4" s="108" t="s">
        <v>40</v>
      </c>
      <c r="G4" s="1"/>
    </row>
    <row r="5" spans="1:15" ht="18.75" x14ac:dyDescent="0.3">
      <c r="A5" s="545" t="s">
        <v>4</v>
      </c>
      <c r="B5" s="545"/>
      <c r="C5" s="108" t="s">
        <v>41</v>
      </c>
      <c r="G5" s="1"/>
    </row>
    <row r="6" spans="1:15" ht="18.75" x14ac:dyDescent="0.3">
      <c r="A6" s="545" t="s">
        <v>5</v>
      </c>
      <c r="B6" s="545"/>
      <c r="C6" s="108" t="s">
        <v>366</v>
      </c>
      <c r="G6" s="1"/>
    </row>
    <row r="7" spans="1:15" x14ac:dyDescent="0.25">
      <c r="A7" s="108"/>
      <c r="B7" s="108"/>
      <c r="C7" s="108"/>
    </row>
    <row r="8" spans="1:15" x14ac:dyDescent="0.25">
      <c r="A8" s="108" t="s">
        <v>6</v>
      </c>
      <c r="B8" s="108"/>
      <c r="C8" s="108"/>
    </row>
    <row r="9" spans="1:15" ht="24.75" customHeight="1" x14ac:dyDescent="0.25">
      <c r="A9" s="103" t="s">
        <v>7</v>
      </c>
      <c r="B9" s="538" t="s">
        <v>8</v>
      </c>
      <c r="C9" s="538"/>
      <c r="D9" s="103" t="s">
        <v>9</v>
      </c>
      <c r="E9" s="103" t="s">
        <v>10</v>
      </c>
      <c r="F9" s="541" t="s">
        <v>11</v>
      </c>
      <c r="G9" s="541" t="s">
        <v>12</v>
      </c>
      <c r="H9" s="103" t="s">
        <v>13</v>
      </c>
      <c r="I9" s="103"/>
      <c r="J9" s="103" t="s">
        <v>15</v>
      </c>
      <c r="K9" s="103" t="s">
        <v>16</v>
      </c>
      <c r="L9" s="544" t="s">
        <v>17</v>
      </c>
      <c r="M9" s="544"/>
      <c r="N9" s="544"/>
      <c r="O9" s="103" t="s">
        <v>18</v>
      </c>
    </row>
    <row r="10" spans="1:15" x14ac:dyDescent="0.25">
      <c r="A10" s="542" t="s">
        <v>19</v>
      </c>
      <c r="B10" s="546" t="s">
        <v>20</v>
      </c>
      <c r="C10" s="547"/>
      <c r="D10" s="542" t="s">
        <v>21</v>
      </c>
      <c r="E10" s="542" t="s">
        <v>22</v>
      </c>
      <c r="F10" s="542"/>
      <c r="G10" s="542"/>
      <c r="H10" s="104" t="s">
        <v>23</v>
      </c>
      <c r="I10" s="104" t="s">
        <v>14</v>
      </c>
      <c r="J10" s="104" t="s">
        <v>24</v>
      </c>
      <c r="K10" s="104" t="s">
        <v>25</v>
      </c>
      <c r="L10" s="104" t="s">
        <v>26</v>
      </c>
      <c r="M10" s="104" t="s">
        <v>27</v>
      </c>
      <c r="N10" s="104" t="s">
        <v>28</v>
      </c>
      <c r="O10" s="539" t="s">
        <v>29</v>
      </c>
    </row>
    <row r="11" spans="1:15" x14ac:dyDescent="0.25">
      <c r="A11" s="543"/>
      <c r="B11" s="548"/>
      <c r="C11" s="549"/>
      <c r="D11" s="543"/>
      <c r="E11" s="543"/>
      <c r="F11" s="543"/>
      <c r="G11" s="543"/>
      <c r="H11" s="105" t="s">
        <v>30</v>
      </c>
      <c r="I11" s="105"/>
      <c r="J11" s="105" t="s">
        <v>31</v>
      </c>
      <c r="K11" s="105" t="s">
        <v>32</v>
      </c>
      <c r="L11" s="105" t="s">
        <v>33</v>
      </c>
      <c r="M11" s="105" t="s">
        <v>34</v>
      </c>
      <c r="N11" s="105" t="s">
        <v>35</v>
      </c>
      <c r="O11" s="540"/>
    </row>
    <row r="12" spans="1:15" x14ac:dyDescent="0.25">
      <c r="A12" s="47">
        <v>1</v>
      </c>
      <c r="B12" s="561">
        <v>2</v>
      </c>
      <c r="C12" s="562"/>
      <c r="D12" s="106">
        <v>3</v>
      </c>
      <c r="E12" s="106">
        <v>4</v>
      </c>
      <c r="F12" s="107">
        <v>5</v>
      </c>
      <c r="G12" s="107">
        <v>6</v>
      </c>
      <c r="H12" s="104">
        <v>7</v>
      </c>
      <c r="I12" s="104">
        <v>8</v>
      </c>
      <c r="J12" s="104">
        <v>9</v>
      </c>
      <c r="K12" s="104">
        <v>10</v>
      </c>
      <c r="L12" s="104">
        <v>11</v>
      </c>
      <c r="M12" s="104">
        <v>12</v>
      </c>
      <c r="N12" s="104">
        <v>13</v>
      </c>
      <c r="O12" s="106">
        <v>14</v>
      </c>
    </row>
    <row r="13" spans="1:15" ht="63" x14ac:dyDescent="0.25">
      <c r="A13" s="7">
        <v>1</v>
      </c>
      <c r="B13" s="563" t="s">
        <v>85</v>
      </c>
      <c r="C13" s="563"/>
      <c r="D13" s="48" t="s">
        <v>412</v>
      </c>
      <c r="E13" s="41"/>
      <c r="F13" s="41"/>
      <c r="G13" s="43" t="s">
        <v>50</v>
      </c>
      <c r="H13" s="119">
        <v>2011</v>
      </c>
      <c r="I13" s="43" t="s">
        <v>87</v>
      </c>
      <c r="J13" s="44" t="s">
        <v>125</v>
      </c>
      <c r="K13" s="63">
        <v>4750000</v>
      </c>
      <c r="L13" s="43" t="s">
        <v>26</v>
      </c>
      <c r="M13" s="109"/>
      <c r="N13" s="109" t="s">
        <v>28</v>
      </c>
      <c r="O13" s="42" t="s">
        <v>393</v>
      </c>
    </row>
    <row r="14" spans="1:15" ht="47.25" x14ac:dyDescent="0.25">
      <c r="A14" s="7">
        <f>A13+1</f>
        <v>2</v>
      </c>
      <c r="B14" s="563" t="s">
        <v>85</v>
      </c>
      <c r="C14" s="563"/>
      <c r="D14" s="48" t="s">
        <v>413</v>
      </c>
      <c r="E14" s="41"/>
      <c r="F14" s="41"/>
      <c r="G14" s="43" t="s">
        <v>50</v>
      </c>
      <c r="H14" s="119">
        <v>2008</v>
      </c>
      <c r="I14" s="43" t="s">
        <v>87</v>
      </c>
      <c r="J14" s="44" t="s">
        <v>74</v>
      </c>
      <c r="K14" s="63">
        <v>10100000</v>
      </c>
      <c r="L14" s="43" t="s">
        <v>26</v>
      </c>
      <c r="M14" s="109"/>
      <c r="N14" s="109" t="s">
        <v>28</v>
      </c>
      <c r="O14" s="42" t="s">
        <v>393</v>
      </c>
    </row>
    <row r="15" spans="1:15" ht="47.25" x14ac:dyDescent="0.25">
      <c r="A15" s="7">
        <f t="shared" ref="A15:A27" si="0">A14+1</f>
        <v>3</v>
      </c>
      <c r="B15" s="563" t="s">
        <v>85</v>
      </c>
      <c r="C15" s="563"/>
      <c r="D15" s="48" t="s">
        <v>414</v>
      </c>
      <c r="E15" s="41"/>
      <c r="F15" s="41"/>
      <c r="G15" s="43" t="s">
        <v>50</v>
      </c>
      <c r="H15" s="119">
        <v>2009</v>
      </c>
      <c r="I15" s="43" t="s">
        <v>87</v>
      </c>
      <c r="J15" s="44" t="s">
        <v>166</v>
      </c>
      <c r="K15" s="63">
        <v>8450000</v>
      </c>
      <c r="L15" s="43" t="s">
        <v>26</v>
      </c>
      <c r="M15" s="109"/>
      <c r="N15" s="109" t="s">
        <v>28</v>
      </c>
      <c r="O15" s="42" t="s">
        <v>393</v>
      </c>
    </row>
    <row r="16" spans="1:15" ht="47.25" x14ac:dyDescent="0.25">
      <c r="A16" s="7">
        <f t="shared" si="0"/>
        <v>4</v>
      </c>
      <c r="B16" s="563" t="s">
        <v>85</v>
      </c>
      <c r="C16" s="563"/>
      <c r="D16" s="48" t="s">
        <v>262</v>
      </c>
      <c r="E16" s="41"/>
      <c r="F16" s="41"/>
      <c r="G16" s="43" t="s">
        <v>50</v>
      </c>
      <c r="H16" s="43">
        <v>2009</v>
      </c>
      <c r="I16" s="43" t="s">
        <v>87</v>
      </c>
      <c r="J16" s="44" t="s">
        <v>110</v>
      </c>
      <c r="K16" s="63">
        <v>13000000</v>
      </c>
      <c r="L16" s="43" t="s">
        <v>26</v>
      </c>
      <c r="M16" s="109"/>
      <c r="N16" s="109"/>
      <c r="O16" s="43" t="s">
        <v>263</v>
      </c>
    </row>
    <row r="17" spans="1:15" ht="63" x14ac:dyDescent="0.25">
      <c r="A17" s="7">
        <f t="shared" si="0"/>
        <v>5</v>
      </c>
      <c r="B17" s="563" t="s">
        <v>85</v>
      </c>
      <c r="C17" s="563"/>
      <c r="D17" s="48" t="s">
        <v>415</v>
      </c>
      <c r="E17" s="41"/>
      <c r="F17" s="41"/>
      <c r="G17" s="43" t="s">
        <v>50</v>
      </c>
      <c r="H17" s="119">
        <v>2012</v>
      </c>
      <c r="I17" s="43" t="s">
        <v>87</v>
      </c>
      <c r="J17" s="44" t="s">
        <v>149</v>
      </c>
      <c r="K17" s="63">
        <v>6375000</v>
      </c>
      <c r="L17" s="43" t="s">
        <v>26</v>
      </c>
      <c r="M17" s="109"/>
      <c r="N17" s="109" t="s">
        <v>28</v>
      </c>
      <c r="O17" s="42" t="s">
        <v>393</v>
      </c>
    </row>
    <row r="18" spans="1:15" ht="47.25" x14ac:dyDescent="0.25">
      <c r="A18" s="7">
        <f t="shared" si="0"/>
        <v>6</v>
      </c>
      <c r="B18" s="563" t="s">
        <v>85</v>
      </c>
      <c r="C18" s="563"/>
      <c r="D18" s="120" t="s">
        <v>416</v>
      </c>
      <c r="E18" s="41"/>
      <c r="F18" s="41"/>
      <c r="G18" s="43" t="s">
        <v>50</v>
      </c>
      <c r="H18" s="119">
        <v>2013</v>
      </c>
      <c r="I18" s="43" t="s">
        <v>87</v>
      </c>
      <c r="J18" s="44" t="s">
        <v>137</v>
      </c>
      <c r="K18" s="63">
        <v>6387278</v>
      </c>
      <c r="L18" s="43" t="s">
        <v>26</v>
      </c>
      <c r="M18" s="109"/>
      <c r="N18" s="109" t="s">
        <v>28</v>
      </c>
      <c r="O18" s="42" t="s">
        <v>393</v>
      </c>
    </row>
    <row r="19" spans="1:15" ht="47.25" x14ac:dyDescent="0.25">
      <c r="A19" s="7">
        <f t="shared" si="0"/>
        <v>7</v>
      </c>
      <c r="B19" s="563" t="s">
        <v>85</v>
      </c>
      <c r="C19" s="563"/>
      <c r="D19" s="120" t="s">
        <v>417</v>
      </c>
      <c r="E19" s="41"/>
      <c r="F19" s="41"/>
      <c r="G19" s="43" t="s">
        <v>50</v>
      </c>
      <c r="H19" s="119">
        <v>2013</v>
      </c>
      <c r="I19" s="43" t="s">
        <v>87</v>
      </c>
      <c r="J19" s="44" t="s">
        <v>111</v>
      </c>
      <c r="K19" s="63">
        <v>6940058.0599999996</v>
      </c>
      <c r="L19" s="43" t="s">
        <v>26</v>
      </c>
      <c r="M19" s="109"/>
      <c r="N19" s="109" t="s">
        <v>28</v>
      </c>
      <c r="O19" s="42" t="s">
        <v>393</v>
      </c>
    </row>
    <row r="20" spans="1:15" ht="31.5" x14ac:dyDescent="0.25">
      <c r="A20" s="7">
        <f t="shared" si="0"/>
        <v>8</v>
      </c>
      <c r="B20" s="564" t="s">
        <v>85</v>
      </c>
      <c r="C20" s="564"/>
      <c r="D20" s="40" t="s">
        <v>316</v>
      </c>
      <c r="E20" s="60"/>
      <c r="F20" s="60"/>
      <c r="G20" s="39" t="s">
        <v>50</v>
      </c>
      <c r="H20" s="39">
        <v>2014</v>
      </c>
      <c r="I20" s="39" t="s">
        <v>87</v>
      </c>
      <c r="J20" s="44" t="s">
        <v>60</v>
      </c>
      <c r="K20" s="90">
        <v>7809160</v>
      </c>
      <c r="L20" s="43" t="s">
        <v>26</v>
      </c>
      <c r="M20" s="60"/>
      <c r="N20" s="60"/>
      <c r="O20" s="43" t="s">
        <v>292</v>
      </c>
    </row>
    <row r="21" spans="1:15" ht="47.25" x14ac:dyDescent="0.25">
      <c r="A21" s="7">
        <f t="shared" si="0"/>
        <v>9</v>
      </c>
      <c r="B21" s="564" t="s">
        <v>85</v>
      </c>
      <c r="C21" s="564"/>
      <c r="D21" s="40" t="s">
        <v>419</v>
      </c>
      <c r="E21" s="60"/>
      <c r="F21" s="60"/>
      <c r="G21" s="39" t="s">
        <v>50</v>
      </c>
      <c r="H21" s="39">
        <v>2014</v>
      </c>
      <c r="I21" s="39" t="s">
        <v>87</v>
      </c>
      <c r="J21" s="177">
        <v>2015</v>
      </c>
      <c r="K21" s="90">
        <v>7809160</v>
      </c>
      <c r="L21" s="42" t="s">
        <v>28</v>
      </c>
      <c r="M21" s="60"/>
      <c r="N21" s="109" t="s">
        <v>28</v>
      </c>
      <c r="O21" s="42" t="s">
        <v>393</v>
      </c>
    </row>
    <row r="22" spans="1:15" ht="31.5" x14ac:dyDescent="0.25">
      <c r="A22" s="7">
        <f t="shared" si="0"/>
        <v>10</v>
      </c>
      <c r="B22" s="564" t="s">
        <v>85</v>
      </c>
      <c r="C22" s="564"/>
      <c r="D22" s="40" t="s">
        <v>316</v>
      </c>
      <c r="E22" s="60"/>
      <c r="F22" s="60"/>
      <c r="G22" s="39" t="s">
        <v>50</v>
      </c>
      <c r="H22" s="39">
        <v>2014</v>
      </c>
      <c r="I22" s="39" t="s">
        <v>87</v>
      </c>
      <c r="J22" s="44" t="s">
        <v>89</v>
      </c>
      <c r="K22" s="90">
        <v>7809160</v>
      </c>
      <c r="L22" s="43" t="s">
        <v>26</v>
      </c>
      <c r="M22" s="60"/>
      <c r="N22" s="60"/>
      <c r="O22" s="43" t="s">
        <v>317</v>
      </c>
    </row>
    <row r="23" spans="1:15" x14ac:dyDescent="0.25">
      <c r="A23" s="7">
        <f t="shared" si="0"/>
        <v>11</v>
      </c>
      <c r="B23" s="564" t="s">
        <v>85</v>
      </c>
      <c r="C23" s="564"/>
      <c r="D23" s="46" t="s">
        <v>86</v>
      </c>
      <c r="E23" s="60"/>
      <c r="F23" s="60"/>
      <c r="G23" s="39" t="s">
        <v>50</v>
      </c>
      <c r="H23" s="39">
        <v>2015</v>
      </c>
      <c r="I23" s="39" t="s">
        <v>87</v>
      </c>
      <c r="J23" s="44" t="s">
        <v>200</v>
      </c>
      <c r="K23" s="64">
        <v>6930263</v>
      </c>
      <c r="L23" s="43" t="s">
        <v>26</v>
      </c>
      <c r="M23" s="60"/>
      <c r="N23" s="60"/>
      <c r="O23" s="43" t="s">
        <v>410</v>
      </c>
    </row>
    <row r="24" spans="1:15" x14ac:dyDescent="0.25">
      <c r="A24" s="7">
        <f t="shared" si="0"/>
        <v>12</v>
      </c>
      <c r="B24" s="564" t="s">
        <v>85</v>
      </c>
      <c r="C24" s="564"/>
      <c r="D24" s="46" t="s">
        <v>86</v>
      </c>
      <c r="E24" s="46"/>
      <c r="F24" s="46"/>
      <c r="G24" s="49" t="s">
        <v>50</v>
      </c>
      <c r="H24" s="49">
        <v>2015</v>
      </c>
      <c r="I24" s="49" t="s">
        <v>87</v>
      </c>
      <c r="J24" s="56" t="s">
        <v>88</v>
      </c>
      <c r="K24" s="64">
        <v>6930263</v>
      </c>
      <c r="L24" s="58" t="s">
        <v>26</v>
      </c>
      <c r="M24" s="46"/>
      <c r="N24" s="46"/>
      <c r="O24" s="39" t="s">
        <v>239</v>
      </c>
    </row>
    <row r="25" spans="1:15" ht="47.25" x14ac:dyDescent="0.25">
      <c r="A25" s="7">
        <f t="shared" si="0"/>
        <v>13</v>
      </c>
      <c r="B25" s="564" t="s">
        <v>85</v>
      </c>
      <c r="C25" s="564"/>
      <c r="D25" s="46" t="s">
        <v>86</v>
      </c>
      <c r="E25" s="46"/>
      <c r="F25" s="46"/>
      <c r="G25" s="49" t="s">
        <v>50</v>
      </c>
      <c r="H25" s="49">
        <v>2015</v>
      </c>
      <c r="I25" s="49" t="s">
        <v>87</v>
      </c>
      <c r="J25" s="44" t="s">
        <v>382</v>
      </c>
      <c r="K25" s="64">
        <v>6930263</v>
      </c>
      <c r="L25" s="58"/>
      <c r="M25" s="42" t="s">
        <v>411</v>
      </c>
      <c r="N25" s="46"/>
      <c r="O25" s="43" t="s">
        <v>399</v>
      </c>
    </row>
    <row r="26" spans="1:15" ht="30" customHeight="1" x14ac:dyDescent="0.25">
      <c r="A26" s="7">
        <f t="shared" si="0"/>
        <v>14</v>
      </c>
      <c r="B26" s="564" t="s">
        <v>85</v>
      </c>
      <c r="C26" s="564"/>
      <c r="D26" s="46" t="s">
        <v>86</v>
      </c>
      <c r="E26" s="41"/>
      <c r="F26" s="41"/>
      <c r="G26" s="43" t="s">
        <v>50</v>
      </c>
      <c r="H26" s="43">
        <v>2015</v>
      </c>
      <c r="I26" s="43" t="s">
        <v>87</v>
      </c>
      <c r="J26" s="44" t="s">
        <v>140</v>
      </c>
      <c r="K26" s="63">
        <v>6650000</v>
      </c>
      <c r="L26" s="93" t="s">
        <v>27</v>
      </c>
      <c r="M26" s="41"/>
      <c r="N26" s="46"/>
      <c r="O26" s="43" t="s">
        <v>379</v>
      </c>
    </row>
    <row r="27" spans="1:15" ht="47.25" x14ac:dyDescent="0.25">
      <c r="A27" s="7">
        <f t="shared" si="0"/>
        <v>15</v>
      </c>
      <c r="B27" s="564" t="s">
        <v>85</v>
      </c>
      <c r="C27" s="564"/>
      <c r="D27" s="10" t="s">
        <v>173</v>
      </c>
      <c r="E27" s="12"/>
      <c r="F27" s="12"/>
      <c r="G27" s="9" t="s">
        <v>50</v>
      </c>
      <c r="H27" s="9">
        <v>2016</v>
      </c>
      <c r="I27" s="9" t="s">
        <v>87</v>
      </c>
      <c r="J27" s="11" t="s">
        <v>145</v>
      </c>
      <c r="K27" s="20">
        <v>6650000</v>
      </c>
      <c r="L27" s="42"/>
      <c r="M27" s="42" t="s">
        <v>27</v>
      </c>
      <c r="N27" s="4"/>
      <c r="O27" s="9" t="s">
        <v>291</v>
      </c>
    </row>
    <row r="28" spans="1:15" x14ac:dyDescent="0.25">
      <c r="K28" s="24"/>
    </row>
    <row r="29" spans="1:15" x14ac:dyDescent="0.25">
      <c r="A29" s="88"/>
      <c r="E29" s="88"/>
      <c r="K29" s="25"/>
    </row>
    <row r="30" spans="1:15" x14ac:dyDescent="0.25">
      <c r="A30" s="88"/>
      <c r="E30" s="88"/>
    </row>
    <row r="31" spans="1:15" x14ac:dyDescent="0.25">
      <c r="A31" s="88"/>
      <c r="E31" s="88"/>
    </row>
    <row r="32" spans="1:15" x14ac:dyDescent="0.25">
      <c r="A32" s="88"/>
      <c r="E32" s="88"/>
    </row>
    <row r="33" spans="1:15" x14ac:dyDescent="0.25">
      <c r="A33" s="88"/>
      <c r="E33" s="88"/>
    </row>
    <row r="34" spans="1:15" x14ac:dyDescent="0.25">
      <c r="A34" s="88"/>
      <c r="B34" s="88"/>
      <c r="C34" s="70"/>
      <c r="D34" s="70"/>
      <c r="E34" s="88"/>
      <c r="F34" s="88"/>
      <c r="G34" s="70"/>
      <c r="H34" s="70"/>
      <c r="I34" s="70"/>
      <c r="J34" s="71"/>
      <c r="K34" s="72"/>
      <c r="L34" s="94"/>
      <c r="M34" s="68"/>
      <c r="N34" s="79"/>
      <c r="O34" s="80"/>
    </row>
    <row r="35" spans="1:15" x14ac:dyDescent="0.25">
      <c r="A35" s="66"/>
      <c r="B35" s="96"/>
      <c r="C35" s="96"/>
      <c r="D35" s="97"/>
      <c r="E35" s="88"/>
      <c r="F35" s="88"/>
      <c r="G35" s="70"/>
      <c r="H35" s="70"/>
      <c r="I35" s="70"/>
      <c r="J35" s="71"/>
      <c r="K35" s="72"/>
      <c r="L35" s="94"/>
      <c r="M35" s="68"/>
      <c r="N35" s="79"/>
      <c r="O35" s="80"/>
    </row>
    <row r="36" spans="1:15" x14ac:dyDescent="0.25">
      <c r="A36" s="103" t="s">
        <v>7</v>
      </c>
      <c r="B36" s="538" t="s">
        <v>8</v>
      </c>
      <c r="C36" s="538"/>
      <c r="D36" s="103" t="s">
        <v>9</v>
      </c>
      <c r="E36" s="103" t="s">
        <v>10</v>
      </c>
      <c r="F36" s="541" t="s">
        <v>11</v>
      </c>
      <c r="G36" s="541" t="s">
        <v>12</v>
      </c>
      <c r="H36" s="103" t="s">
        <v>13</v>
      </c>
      <c r="I36" s="103"/>
      <c r="J36" s="103" t="s">
        <v>15</v>
      </c>
      <c r="K36" s="103" t="s">
        <v>16</v>
      </c>
      <c r="L36" s="544" t="s">
        <v>17</v>
      </c>
      <c r="M36" s="544"/>
      <c r="N36" s="544"/>
      <c r="O36" s="103" t="s">
        <v>18</v>
      </c>
    </row>
    <row r="37" spans="1:15" x14ac:dyDescent="0.25">
      <c r="A37" s="542" t="s">
        <v>19</v>
      </c>
      <c r="B37" s="546" t="s">
        <v>20</v>
      </c>
      <c r="C37" s="547"/>
      <c r="D37" s="542" t="s">
        <v>21</v>
      </c>
      <c r="E37" s="542" t="s">
        <v>22</v>
      </c>
      <c r="F37" s="542"/>
      <c r="G37" s="542"/>
      <c r="H37" s="104" t="s">
        <v>23</v>
      </c>
      <c r="I37" s="104" t="s">
        <v>14</v>
      </c>
      <c r="J37" s="104" t="s">
        <v>24</v>
      </c>
      <c r="K37" s="104" t="s">
        <v>25</v>
      </c>
      <c r="L37" s="104" t="s">
        <v>26</v>
      </c>
      <c r="M37" s="104" t="s">
        <v>27</v>
      </c>
      <c r="N37" s="104" t="s">
        <v>28</v>
      </c>
      <c r="O37" s="539" t="s">
        <v>29</v>
      </c>
    </row>
    <row r="38" spans="1:15" x14ac:dyDescent="0.25">
      <c r="A38" s="543"/>
      <c r="B38" s="548"/>
      <c r="C38" s="549"/>
      <c r="D38" s="543"/>
      <c r="E38" s="543"/>
      <c r="F38" s="543"/>
      <c r="G38" s="543"/>
      <c r="H38" s="105" t="s">
        <v>30</v>
      </c>
      <c r="I38" s="105"/>
      <c r="J38" s="105" t="s">
        <v>31</v>
      </c>
      <c r="K38" s="105" t="s">
        <v>32</v>
      </c>
      <c r="L38" s="105" t="s">
        <v>33</v>
      </c>
      <c r="M38" s="105" t="s">
        <v>34</v>
      </c>
      <c r="N38" s="105" t="s">
        <v>35</v>
      </c>
      <c r="O38" s="540"/>
    </row>
    <row r="39" spans="1:15" x14ac:dyDescent="0.25">
      <c r="A39" s="122">
        <v>1</v>
      </c>
      <c r="B39" s="561">
        <v>2</v>
      </c>
      <c r="C39" s="562"/>
      <c r="D39" s="106">
        <v>3</v>
      </c>
      <c r="E39" s="106">
        <v>4</v>
      </c>
      <c r="F39" s="107">
        <v>5</v>
      </c>
      <c r="G39" s="107">
        <v>6</v>
      </c>
      <c r="H39" s="104">
        <v>7</v>
      </c>
      <c r="I39" s="104">
        <v>8</v>
      </c>
      <c r="J39" s="104">
        <v>9</v>
      </c>
      <c r="K39" s="104">
        <v>10</v>
      </c>
      <c r="L39" s="104">
        <v>11</v>
      </c>
      <c r="M39" s="104">
        <v>12</v>
      </c>
      <c r="N39" s="104">
        <v>13</v>
      </c>
      <c r="O39" s="106">
        <v>14</v>
      </c>
    </row>
    <row r="40" spans="1:15" ht="63" x14ac:dyDescent="0.25">
      <c r="A40" s="7">
        <v>16</v>
      </c>
      <c r="B40" s="564" t="s">
        <v>85</v>
      </c>
      <c r="C40" s="564"/>
      <c r="D40" s="40" t="s">
        <v>420</v>
      </c>
      <c r="E40" s="12"/>
      <c r="F40" s="12"/>
      <c r="G40" s="9"/>
      <c r="H40" s="9">
        <v>2018</v>
      </c>
      <c r="I40" s="9" t="s">
        <v>87</v>
      </c>
      <c r="J40" s="11" t="s">
        <v>251</v>
      </c>
      <c r="K40" s="20">
        <v>7063443</v>
      </c>
      <c r="L40" s="43"/>
      <c r="M40" s="42"/>
      <c r="N40" s="109" t="s">
        <v>28</v>
      </c>
      <c r="O40" s="42" t="s">
        <v>418</v>
      </c>
    </row>
    <row r="41" spans="1:15" ht="31.5" x14ac:dyDescent="0.25">
      <c r="A41" s="7" t="e">
        <f>#REF!+1</f>
        <v>#REF!</v>
      </c>
      <c r="B41" s="563" t="s">
        <v>85</v>
      </c>
      <c r="C41" s="563"/>
      <c r="D41" s="10" t="s">
        <v>301</v>
      </c>
      <c r="E41" s="12"/>
      <c r="F41" s="12"/>
      <c r="G41" s="9" t="s">
        <v>50</v>
      </c>
      <c r="H41" s="9">
        <v>2019</v>
      </c>
      <c r="I41" s="9" t="s">
        <v>87</v>
      </c>
      <c r="J41" s="11" t="s">
        <v>215</v>
      </c>
      <c r="K41" s="20">
        <v>6795775</v>
      </c>
      <c r="L41" s="43" t="s">
        <v>26</v>
      </c>
      <c r="M41" s="12"/>
      <c r="N41" s="12"/>
      <c r="O41" s="9" t="s">
        <v>409</v>
      </c>
    </row>
    <row r="42" spans="1:15" ht="31.5" x14ac:dyDescent="0.25">
      <c r="A42" s="7" t="e">
        <f t="shared" ref="A42:A45" si="1">A41+1</f>
        <v>#REF!</v>
      </c>
      <c r="B42" s="447" t="s">
        <v>85</v>
      </c>
      <c r="C42" s="448"/>
      <c r="D42" s="48" t="s">
        <v>304</v>
      </c>
      <c r="E42" s="41"/>
      <c r="F42" s="41"/>
      <c r="G42" s="43" t="s">
        <v>91</v>
      </c>
      <c r="H42" s="43">
        <v>2020</v>
      </c>
      <c r="I42" s="43" t="s">
        <v>87</v>
      </c>
      <c r="J42" s="44" t="s">
        <v>128</v>
      </c>
      <c r="K42" s="63">
        <v>8048150</v>
      </c>
      <c r="L42" s="43" t="s">
        <v>26</v>
      </c>
      <c r="M42" s="41"/>
      <c r="N42" s="46"/>
      <c r="O42" s="42" t="s">
        <v>365</v>
      </c>
    </row>
    <row r="43" spans="1:15" ht="63" x14ac:dyDescent="0.25">
      <c r="A43" s="7" t="e">
        <f t="shared" si="1"/>
        <v>#REF!</v>
      </c>
      <c r="B43" s="447" t="s">
        <v>85</v>
      </c>
      <c r="C43" s="448"/>
      <c r="D43" s="48" t="s">
        <v>302</v>
      </c>
      <c r="E43" s="41"/>
      <c r="F43" s="41"/>
      <c r="G43" s="43" t="s">
        <v>91</v>
      </c>
      <c r="H43" s="43">
        <v>2020</v>
      </c>
      <c r="I43" s="43" t="s">
        <v>87</v>
      </c>
      <c r="J43" s="44" t="s">
        <v>117</v>
      </c>
      <c r="K43" s="63">
        <f>54087430/3</f>
        <v>18029143.333333332</v>
      </c>
      <c r="L43" s="43" t="s">
        <v>26</v>
      </c>
      <c r="M43" s="41"/>
      <c r="N43" s="46"/>
      <c r="O43" s="42" t="s">
        <v>394</v>
      </c>
    </row>
    <row r="44" spans="1:15" ht="63" x14ac:dyDescent="0.25">
      <c r="A44" s="7" t="e">
        <f t="shared" si="1"/>
        <v>#REF!</v>
      </c>
      <c r="B44" s="447" t="s">
        <v>85</v>
      </c>
      <c r="C44" s="448"/>
      <c r="D44" s="48" t="s">
        <v>302</v>
      </c>
      <c r="E44" s="41"/>
      <c r="F44" s="41"/>
      <c r="G44" s="43" t="s">
        <v>91</v>
      </c>
      <c r="H44" s="43">
        <v>2020</v>
      </c>
      <c r="I44" s="43" t="s">
        <v>87</v>
      </c>
      <c r="J44" s="44" t="s">
        <v>303</v>
      </c>
      <c r="K44" s="63">
        <f>54087430/3</f>
        <v>18029143.333333332</v>
      </c>
      <c r="L44" s="43" t="s">
        <v>26</v>
      </c>
      <c r="M44" s="41"/>
      <c r="N44" s="46"/>
      <c r="O44" s="42" t="s">
        <v>363</v>
      </c>
    </row>
    <row r="45" spans="1:15" ht="63" x14ac:dyDescent="0.25">
      <c r="A45" s="7" t="e">
        <f t="shared" si="1"/>
        <v>#REF!</v>
      </c>
      <c r="B45" s="447" t="s">
        <v>85</v>
      </c>
      <c r="C45" s="448"/>
      <c r="D45" s="10" t="s">
        <v>302</v>
      </c>
      <c r="E45" s="12"/>
      <c r="F45" s="12"/>
      <c r="G45" s="9" t="s">
        <v>91</v>
      </c>
      <c r="H45" s="9">
        <v>2020</v>
      </c>
      <c r="I45" s="9" t="s">
        <v>87</v>
      </c>
      <c r="J45" s="11" t="s">
        <v>118</v>
      </c>
      <c r="K45" s="20">
        <f>54087430/3</f>
        <v>18029143.333333332</v>
      </c>
      <c r="L45" s="43" t="s">
        <v>26</v>
      </c>
      <c r="M45" s="12"/>
      <c r="N45" s="4"/>
      <c r="O45" s="30" t="s">
        <v>364</v>
      </c>
    </row>
    <row r="47" spans="1:15" x14ac:dyDescent="0.25">
      <c r="C47" s="5" t="s">
        <v>36</v>
      </c>
      <c r="L47" s="23" t="s">
        <v>575</v>
      </c>
    </row>
    <row r="48" spans="1:15" x14ac:dyDescent="0.25">
      <c r="C48" s="5"/>
      <c r="L48" s="5"/>
    </row>
    <row r="49" spans="2:12" x14ac:dyDescent="0.25">
      <c r="C49" s="5" t="s">
        <v>572</v>
      </c>
      <c r="L49" s="5" t="s">
        <v>580</v>
      </c>
    </row>
    <row r="50" spans="2:12" x14ac:dyDescent="0.25">
      <c r="C50" s="5"/>
      <c r="L50" s="5"/>
    </row>
    <row r="51" spans="2:12" x14ac:dyDescent="0.25">
      <c r="C51" s="5"/>
      <c r="L51" s="5"/>
    </row>
    <row r="52" spans="2:12" x14ac:dyDescent="0.25">
      <c r="C52" s="5"/>
      <c r="L52" s="5"/>
    </row>
    <row r="53" spans="2:12" x14ac:dyDescent="0.25">
      <c r="C53" s="6" t="s">
        <v>573</v>
      </c>
      <c r="L53" s="6" t="s">
        <v>576</v>
      </c>
    </row>
    <row r="54" spans="2:12" x14ac:dyDescent="0.25">
      <c r="C54" s="5" t="s">
        <v>39</v>
      </c>
      <c r="L54" s="23" t="str">
        <f>'REKAP BARANG ALL RUANGAN'!L345</f>
        <v>NIP. 19721124 200604 2 005</v>
      </c>
    </row>
    <row r="55" spans="2:12" x14ac:dyDescent="0.25">
      <c r="C55" s="23" t="s">
        <v>574</v>
      </c>
    </row>
    <row r="56" spans="2:12" x14ac:dyDescent="0.25">
      <c r="K56" s="24"/>
    </row>
    <row r="57" spans="2:12" x14ac:dyDescent="0.25">
      <c r="B57" s="21"/>
      <c r="K57" s="25"/>
    </row>
    <row r="58" spans="2:12" x14ac:dyDescent="0.25">
      <c r="B58" s="22"/>
    </row>
    <row r="59" spans="2:12" x14ac:dyDescent="0.25">
      <c r="B59" s="22"/>
    </row>
  </sheetData>
  <mergeCells count="45">
    <mergeCell ref="O37:O38"/>
    <mergeCell ref="B39:C39"/>
    <mergeCell ref="F36:F38"/>
    <mergeCell ref="G36:G38"/>
    <mergeCell ref="L36:N36"/>
    <mergeCell ref="A37:A38"/>
    <mergeCell ref="B37:C38"/>
    <mergeCell ref="D37:D38"/>
    <mergeCell ref="E37:E38"/>
    <mergeCell ref="B21:C21"/>
    <mergeCell ref="B27:C27"/>
    <mergeCell ref="B22:C22"/>
    <mergeCell ref="B20:C20"/>
    <mergeCell ref="B16:C16"/>
    <mergeCell ref="B23:C23"/>
    <mergeCell ref="B25:C25"/>
    <mergeCell ref="B19:C19"/>
    <mergeCell ref="B13:C13"/>
    <mergeCell ref="B14:C14"/>
    <mergeCell ref="B15:C15"/>
    <mergeCell ref="B17:C17"/>
    <mergeCell ref="B18:C18"/>
    <mergeCell ref="B41:C41"/>
    <mergeCell ref="B45:C45"/>
    <mergeCell ref="B24:C24"/>
    <mergeCell ref="B26:C26"/>
    <mergeCell ref="B43:C43"/>
    <mergeCell ref="B44:C44"/>
    <mergeCell ref="B42:C42"/>
    <mergeCell ref="B36:C36"/>
    <mergeCell ref="B40:C40"/>
    <mergeCell ref="D10:D11"/>
    <mergeCell ref="E10:E11"/>
    <mergeCell ref="F9:F11"/>
    <mergeCell ref="O10:O11"/>
    <mergeCell ref="B12:C12"/>
    <mergeCell ref="G9:G11"/>
    <mergeCell ref="L9:N9"/>
    <mergeCell ref="A10:A11"/>
    <mergeCell ref="B10:C11"/>
    <mergeCell ref="A3:B3"/>
    <mergeCell ref="A4:B4"/>
    <mergeCell ref="A5:B5"/>
    <mergeCell ref="A6:B6"/>
    <mergeCell ref="B9:C9"/>
  </mergeCells>
  <printOptions horizontalCentered="1"/>
  <pageMargins left="0.11811023622047245" right="0.35433070866141736" top="0.19685039370078741" bottom="0.15748031496062992" header="0" footer="0"/>
  <pageSetup paperSize="14" scale="65" orientation="landscape" horizontalDpi="180" verticalDpi="180" r:id="rId1"/>
  <headerFooter alignWithMargins="0">
    <oddFooter>&amp;L&amp;9&amp;F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58"/>
  <sheetViews>
    <sheetView view="pageBreakPreview" topLeftCell="A34" zoomScaleNormal="55" workbookViewId="0">
      <selection activeCell="P50" sqref="P50"/>
    </sheetView>
  </sheetViews>
  <sheetFormatPr defaultRowHeight="15.75" x14ac:dyDescent="0.25"/>
  <cols>
    <col min="1" max="1" width="4.875" customWidth="1"/>
    <col min="2" max="2" width="7" customWidth="1"/>
    <col min="3" max="3" width="13.625" customWidth="1"/>
    <col min="4" max="5" width="12.125" customWidth="1"/>
    <col min="6" max="6" width="9.625" customWidth="1"/>
    <col min="7" max="7" width="12.875" customWidth="1"/>
    <col min="8" max="8" width="14" customWidth="1"/>
    <col min="9" max="9" width="16.875" customWidth="1"/>
    <col min="10" max="11" width="12" customWidth="1"/>
    <col min="12" max="12" width="13.625" customWidth="1"/>
    <col min="13" max="13" width="17.5" customWidth="1"/>
    <col min="15" max="15" width="11.5" customWidth="1"/>
    <col min="16" max="16" width="11" customWidth="1"/>
    <col min="17" max="17" width="10.625" customWidth="1"/>
    <col min="260" max="260" width="7" customWidth="1"/>
    <col min="261" max="261" width="17.75" customWidth="1"/>
    <col min="262" max="262" width="10.875" customWidth="1"/>
    <col min="263" max="263" width="11.25" customWidth="1"/>
    <col min="264" max="264" width="11.5" customWidth="1"/>
    <col min="265" max="265" width="11.625" customWidth="1"/>
    <col min="266" max="266" width="15.5" customWidth="1"/>
    <col min="267" max="267" width="18.75" customWidth="1"/>
    <col min="268" max="268" width="15.375" customWidth="1"/>
    <col min="269" max="269" width="15.125" customWidth="1"/>
    <col min="271" max="271" width="11" customWidth="1"/>
    <col min="272" max="272" width="10.625" customWidth="1"/>
    <col min="273" max="273" width="9.625" customWidth="1"/>
    <col min="516" max="516" width="7" customWidth="1"/>
    <col min="517" max="517" width="17.75" customWidth="1"/>
    <col min="518" max="518" width="10.875" customWidth="1"/>
    <col min="519" max="519" width="11.25" customWidth="1"/>
    <col min="520" max="520" width="11.5" customWidth="1"/>
    <col min="521" max="521" width="11.625" customWidth="1"/>
    <col min="522" max="522" width="15.5" customWidth="1"/>
    <col min="523" max="523" width="18.75" customWidth="1"/>
    <col min="524" max="524" width="15.375" customWidth="1"/>
    <col min="525" max="525" width="15.125" customWidth="1"/>
    <col min="527" max="527" width="11" customWidth="1"/>
    <col min="528" max="528" width="10.625" customWidth="1"/>
    <col min="529" max="529" width="9.625" customWidth="1"/>
    <col min="772" max="772" width="7" customWidth="1"/>
    <col min="773" max="773" width="17.75" customWidth="1"/>
    <col min="774" max="774" width="10.875" customWidth="1"/>
    <col min="775" max="775" width="11.25" customWidth="1"/>
    <col min="776" max="776" width="11.5" customWidth="1"/>
    <col min="777" max="777" width="11.625" customWidth="1"/>
    <col min="778" max="778" width="15.5" customWidth="1"/>
    <col min="779" max="779" width="18.75" customWidth="1"/>
    <col min="780" max="780" width="15.375" customWidth="1"/>
    <col min="781" max="781" width="15.125" customWidth="1"/>
    <col min="783" max="783" width="11" customWidth="1"/>
    <col min="784" max="784" width="10.625" customWidth="1"/>
    <col min="785" max="785" width="9.625" customWidth="1"/>
    <col min="1028" max="1028" width="7" customWidth="1"/>
    <col min="1029" max="1029" width="17.75" customWidth="1"/>
    <col min="1030" max="1030" width="10.875" customWidth="1"/>
    <col min="1031" max="1031" width="11.25" customWidth="1"/>
    <col min="1032" max="1032" width="11.5" customWidth="1"/>
    <col min="1033" max="1033" width="11.625" customWidth="1"/>
    <col min="1034" max="1034" width="15.5" customWidth="1"/>
    <col min="1035" max="1035" width="18.75" customWidth="1"/>
    <col min="1036" max="1036" width="15.375" customWidth="1"/>
    <col min="1037" max="1037" width="15.125" customWidth="1"/>
    <col min="1039" max="1039" width="11" customWidth="1"/>
    <col min="1040" max="1040" width="10.625" customWidth="1"/>
    <col min="1041" max="1041" width="9.625" customWidth="1"/>
    <col min="1284" max="1284" width="7" customWidth="1"/>
    <col min="1285" max="1285" width="17.75" customWidth="1"/>
    <col min="1286" max="1286" width="10.875" customWidth="1"/>
    <col min="1287" max="1287" width="11.25" customWidth="1"/>
    <col min="1288" max="1288" width="11.5" customWidth="1"/>
    <col min="1289" max="1289" width="11.625" customWidth="1"/>
    <col min="1290" max="1290" width="15.5" customWidth="1"/>
    <col min="1291" max="1291" width="18.75" customWidth="1"/>
    <col min="1292" max="1292" width="15.375" customWidth="1"/>
    <col min="1293" max="1293" width="15.125" customWidth="1"/>
    <col min="1295" max="1295" width="11" customWidth="1"/>
    <col min="1296" max="1296" width="10.625" customWidth="1"/>
    <col min="1297" max="1297" width="9.625" customWidth="1"/>
    <col min="1540" max="1540" width="7" customWidth="1"/>
    <col min="1541" max="1541" width="17.75" customWidth="1"/>
    <col min="1542" max="1542" width="10.875" customWidth="1"/>
    <col min="1543" max="1543" width="11.25" customWidth="1"/>
    <col min="1544" max="1544" width="11.5" customWidth="1"/>
    <col min="1545" max="1545" width="11.625" customWidth="1"/>
    <col min="1546" max="1546" width="15.5" customWidth="1"/>
    <col min="1547" max="1547" width="18.75" customWidth="1"/>
    <col min="1548" max="1548" width="15.375" customWidth="1"/>
    <col min="1549" max="1549" width="15.125" customWidth="1"/>
    <col min="1551" max="1551" width="11" customWidth="1"/>
    <col min="1552" max="1552" width="10.625" customWidth="1"/>
    <col min="1553" max="1553" width="9.625" customWidth="1"/>
    <col min="1796" max="1796" width="7" customWidth="1"/>
    <col min="1797" max="1797" width="17.75" customWidth="1"/>
    <col min="1798" max="1798" width="10.875" customWidth="1"/>
    <col min="1799" max="1799" width="11.25" customWidth="1"/>
    <col min="1800" max="1800" width="11.5" customWidth="1"/>
    <col min="1801" max="1801" width="11.625" customWidth="1"/>
    <col min="1802" max="1802" width="15.5" customWidth="1"/>
    <col min="1803" max="1803" width="18.75" customWidth="1"/>
    <col min="1804" max="1804" width="15.375" customWidth="1"/>
    <col min="1805" max="1805" width="15.125" customWidth="1"/>
    <col min="1807" max="1807" width="11" customWidth="1"/>
    <col min="1808" max="1808" width="10.625" customWidth="1"/>
    <col min="1809" max="1809" width="9.625" customWidth="1"/>
    <col min="2052" max="2052" width="7" customWidth="1"/>
    <col min="2053" max="2053" width="17.75" customWidth="1"/>
    <col min="2054" max="2054" width="10.875" customWidth="1"/>
    <col min="2055" max="2055" width="11.25" customWidth="1"/>
    <col min="2056" max="2056" width="11.5" customWidth="1"/>
    <col min="2057" max="2057" width="11.625" customWidth="1"/>
    <col min="2058" max="2058" width="15.5" customWidth="1"/>
    <col min="2059" max="2059" width="18.75" customWidth="1"/>
    <col min="2060" max="2060" width="15.375" customWidth="1"/>
    <col min="2061" max="2061" width="15.125" customWidth="1"/>
    <col min="2063" max="2063" width="11" customWidth="1"/>
    <col min="2064" max="2064" width="10.625" customWidth="1"/>
    <col min="2065" max="2065" width="9.625" customWidth="1"/>
    <col min="2308" max="2308" width="7" customWidth="1"/>
    <col min="2309" max="2309" width="17.75" customWidth="1"/>
    <col min="2310" max="2310" width="10.875" customWidth="1"/>
    <col min="2311" max="2311" width="11.25" customWidth="1"/>
    <col min="2312" max="2312" width="11.5" customWidth="1"/>
    <col min="2313" max="2313" width="11.625" customWidth="1"/>
    <col min="2314" max="2314" width="15.5" customWidth="1"/>
    <col min="2315" max="2315" width="18.75" customWidth="1"/>
    <col min="2316" max="2316" width="15.375" customWidth="1"/>
    <col min="2317" max="2317" width="15.125" customWidth="1"/>
    <col min="2319" max="2319" width="11" customWidth="1"/>
    <col min="2320" max="2320" width="10.625" customWidth="1"/>
    <col min="2321" max="2321" width="9.625" customWidth="1"/>
    <col min="2564" max="2564" width="7" customWidth="1"/>
    <col min="2565" max="2565" width="17.75" customWidth="1"/>
    <col min="2566" max="2566" width="10.875" customWidth="1"/>
    <col min="2567" max="2567" width="11.25" customWidth="1"/>
    <col min="2568" max="2568" width="11.5" customWidth="1"/>
    <col min="2569" max="2569" width="11.625" customWidth="1"/>
    <col min="2570" max="2570" width="15.5" customWidth="1"/>
    <col min="2571" max="2571" width="18.75" customWidth="1"/>
    <col min="2572" max="2572" width="15.375" customWidth="1"/>
    <col min="2573" max="2573" width="15.125" customWidth="1"/>
    <col min="2575" max="2575" width="11" customWidth="1"/>
    <col min="2576" max="2576" width="10.625" customWidth="1"/>
    <col min="2577" max="2577" width="9.625" customWidth="1"/>
    <col min="2820" max="2820" width="7" customWidth="1"/>
    <col min="2821" max="2821" width="17.75" customWidth="1"/>
    <col min="2822" max="2822" width="10.875" customWidth="1"/>
    <col min="2823" max="2823" width="11.25" customWidth="1"/>
    <col min="2824" max="2824" width="11.5" customWidth="1"/>
    <col min="2825" max="2825" width="11.625" customWidth="1"/>
    <col min="2826" max="2826" width="15.5" customWidth="1"/>
    <col min="2827" max="2827" width="18.75" customWidth="1"/>
    <col min="2828" max="2828" width="15.375" customWidth="1"/>
    <col min="2829" max="2829" width="15.125" customWidth="1"/>
    <col min="2831" max="2831" width="11" customWidth="1"/>
    <col min="2832" max="2832" width="10.625" customWidth="1"/>
    <col min="2833" max="2833" width="9.625" customWidth="1"/>
    <col min="3076" max="3076" width="7" customWidth="1"/>
    <col min="3077" max="3077" width="17.75" customWidth="1"/>
    <col min="3078" max="3078" width="10.875" customWidth="1"/>
    <col min="3079" max="3079" width="11.25" customWidth="1"/>
    <col min="3080" max="3080" width="11.5" customWidth="1"/>
    <col min="3081" max="3081" width="11.625" customWidth="1"/>
    <col min="3082" max="3082" width="15.5" customWidth="1"/>
    <col min="3083" max="3083" width="18.75" customWidth="1"/>
    <col min="3084" max="3084" width="15.375" customWidth="1"/>
    <col min="3085" max="3085" width="15.125" customWidth="1"/>
    <col min="3087" max="3087" width="11" customWidth="1"/>
    <col min="3088" max="3088" width="10.625" customWidth="1"/>
    <col min="3089" max="3089" width="9.625" customWidth="1"/>
    <col min="3332" max="3332" width="7" customWidth="1"/>
    <col min="3333" max="3333" width="17.75" customWidth="1"/>
    <col min="3334" max="3334" width="10.875" customWidth="1"/>
    <col min="3335" max="3335" width="11.25" customWidth="1"/>
    <col min="3336" max="3336" width="11.5" customWidth="1"/>
    <col min="3337" max="3337" width="11.625" customWidth="1"/>
    <col min="3338" max="3338" width="15.5" customWidth="1"/>
    <col min="3339" max="3339" width="18.75" customWidth="1"/>
    <col min="3340" max="3340" width="15.375" customWidth="1"/>
    <col min="3341" max="3341" width="15.125" customWidth="1"/>
    <col min="3343" max="3343" width="11" customWidth="1"/>
    <col min="3344" max="3344" width="10.625" customWidth="1"/>
    <col min="3345" max="3345" width="9.625" customWidth="1"/>
    <col min="3588" max="3588" width="7" customWidth="1"/>
    <col min="3589" max="3589" width="17.75" customWidth="1"/>
    <col min="3590" max="3590" width="10.875" customWidth="1"/>
    <col min="3591" max="3591" width="11.25" customWidth="1"/>
    <col min="3592" max="3592" width="11.5" customWidth="1"/>
    <col min="3593" max="3593" width="11.625" customWidth="1"/>
    <col min="3594" max="3594" width="15.5" customWidth="1"/>
    <col min="3595" max="3595" width="18.75" customWidth="1"/>
    <col min="3596" max="3596" width="15.375" customWidth="1"/>
    <col min="3597" max="3597" width="15.125" customWidth="1"/>
    <col min="3599" max="3599" width="11" customWidth="1"/>
    <col min="3600" max="3600" width="10.625" customWidth="1"/>
    <col min="3601" max="3601" width="9.625" customWidth="1"/>
    <col min="3844" max="3844" width="7" customWidth="1"/>
    <col min="3845" max="3845" width="17.75" customWidth="1"/>
    <col min="3846" max="3846" width="10.875" customWidth="1"/>
    <col min="3847" max="3847" width="11.25" customWidth="1"/>
    <col min="3848" max="3848" width="11.5" customWidth="1"/>
    <col min="3849" max="3849" width="11.625" customWidth="1"/>
    <col min="3850" max="3850" width="15.5" customWidth="1"/>
    <col min="3851" max="3851" width="18.75" customWidth="1"/>
    <col min="3852" max="3852" width="15.375" customWidth="1"/>
    <col min="3853" max="3853" width="15.125" customWidth="1"/>
    <col min="3855" max="3855" width="11" customWidth="1"/>
    <col min="3856" max="3856" width="10.625" customWidth="1"/>
    <col min="3857" max="3857" width="9.625" customWidth="1"/>
    <col min="4100" max="4100" width="7" customWidth="1"/>
    <col min="4101" max="4101" width="17.75" customWidth="1"/>
    <col min="4102" max="4102" width="10.875" customWidth="1"/>
    <col min="4103" max="4103" width="11.25" customWidth="1"/>
    <col min="4104" max="4104" width="11.5" customWidth="1"/>
    <col min="4105" max="4105" width="11.625" customWidth="1"/>
    <col min="4106" max="4106" width="15.5" customWidth="1"/>
    <col min="4107" max="4107" width="18.75" customWidth="1"/>
    <col min="4108" max="4108" width="15.375" customWidth="1"/>
    <col min="4109" max="4109" width="15.125" customWidth="1"/>
    <col min="4111" max="4111" width="11" customWidth="1"/>
    <col min="4112" max="4112" width="10.625" customWidth="1"/>
    <col min="4113" max="4113" width="9.625" customWidth="1"/>
    <col min="4356" max="4356" width="7" customWidth="1"/>
    <col min="4357" max="4357" width="17.75" customWidth="1"/>
    <col min="4358" max="4358" width="10.875" customWidth="1"/>
    <col min="4359" max="4359" width="11.25" customWidth="1"/>
    <col min="4360" max="4360" width="11.5" customWidth="1"/>
    <col min="4361" max="4361" width="11.625" customWidth="1"/>
    <col min="4362" max="4362" width="15.5" customWidth="1"/>
    <col min="4363" max="4363" width="18.75" customWidth="1"/>
    <col min="4364" max="4364" width="15.375" customWidth="1"/>
    <col min="4365" max="4365" width="15.125" customWidth="1"/>
    <col min="4367" max="4367" width="11" customWidth="1"/>
    <col min="4368" max="4368" width="10.625" customWidth="1"/>
    <col min="4369" max="4369" width="9.625" customWidth="1"/>
    <col min="4612" max="4612" width="7" customWidth="1"/>
    <col min="4613" max="4613" width="17.75" customWidth="1"/>
    <col min="4614" max="4614" width="10.875" customWidth="1"/>
    <col min="4615" max="4615" width="11.25" customWidth="1"/>
    <col min="4616" max="4616" width="11.5" customWidth="1"/>
    <col min="4617" max="4617" width="11.625" customWidth="1"/>
    <col min="4618" max="4618" width="15.5" customWidth="1"/>
    <col min="4619" max="4619" width="18.75" customWidth="1"/>
    <col min="4620" max="4620" width="15.375" customWidth="1"/>
    <col min="4621" max="4621" width="15.125" customWidth="1"/>
    <col min="4623" max="4623" width="11" customWidth="1"/>
    <col min="4624" max="4624" width="10.625" customWidth="1"/>
    <col min="4625" max="4625" width="9.625" customWidth="1"/>
    <col min="4868" max="4868" width="7" customWidth="1"/>
    <col min="4869" max="4869" width="17.75" customWidth="1"/>
    <col min="4870" max="4870" width="10.875" customWidth="1"/>
    <col min="4871" max="4871" width="11.25" customWidth="1"/>
    <col min="4872" max="4872" width="11.5" customWidth="1"/>
    <col min="4873" max="4873" width="11.625" customWidth="1"/>
    <col min="4874" max="4874" width="15.5" customWidth="1"/>
    <col min="4875" max="4875" width="18.75" customWidth="1"/>
    <col min="4876" max="4876" width="15.375" customWidth="1"/>
    <col min="4877" max="4877" width="15.125" customWidth="1"/>
    <col min="4879" max="4879" width="11" customWidth="1"/>
    <col min="4880" max="4880" width="10.625" customWidth="1"/>
    <col min="4881" max="4881" width="9.625" customWidth="1"/>
    <col min="5124" max="5124" width="7" customWidth="1"/>
    <col min="5125" max="5125" width="17.75" customWidth="1"/>
    <col min="5126" max="5126" width="10.875" customWidth="1"/>
    <col min="5127" max="5127" width="11.25" customWidth="1"/>
    <col min="5128" max="5128" width="11.5" customWidth="1"/>
    <col min="5129" max="5129" width="11.625" customWidth="1"/>
    <col min="5130" max="5130" width="15.5" customWidth="1"/>
    <col min="5131" max="5131" width="18.75" customWidth="1"/>
    <col min="5132" max="5132" width="15.375" customWidth="1"/>
    <col min="5133" max="5133" width="15.125" customWidth="1"/>
    <col min="5135" max="5135" width="11" customWidth="1"/>
    <col min="5136" max="5136" width="10.625" customWidth="1"/>
    <col min="5137" max="5137" width="9.625" customWidth="1"/>
    <col min="5380" max="5380" width="7" customWidth="1"/>
    <col min="5381" max="5381" width="17.75" customWidth="1"/>
    <col min="5382" max="5382" width="10.875" customWidth="1"/>
    <col min="5383" max="5383" width="11.25" customWidth="1"/>
    <col min="5384" max="5384" width="11.5" customWidth="1"/>
    <col min="5385" max="5385" width="11.625" customWidth="1"/>
    <col min="5386" max="5386" width="15.5" customWidth="1"/>
    <col min="5387" max="5387" width="18.75" customWidth="1"/>
    <col min="5388" max="5388" width="15.375" customWidth="1"/>
    <col min="5389" max="5389" width="15.125" customWidth="1"/>
    <col min="5391" max="5391" width="11" customWidth="1"/>
    <col min="5392" max="5392" width="10.625" customWidth="1"/>
    <col min="5393" max="5393" width="9.625" customWidth="1"/>
    <col min="5636" max="5636" width="7" customWidth="1"/>
    <col min="5637" max="5637" width="17.75" customWidth="1"/>
    <col min="5638" max="5638" width="10.875" customWidth="1"/>
    <col min="5639" max="5639" width="11.25" customWidth="1"/>
    <col min="5640" max="5640" width="11.5" customWidth="1"/>
    <col min="5641" max="5641" width="11.625" customWidth="1"/>
    <col min="5642" max="5642" width="15.5" customWidth="1"/>
    <col min="5643" max="5643" width="18.75" customWidth="1"/>
    <col min="5644" max="5644" width="15.375" customWidth="1"/>
    <col min="5645" max="5645" width="15.125" customWidth="1"/>
    <col min="5647" max="5647" width="11" customWidth="1"/>
    <col min="5648" max="5648" width="10.625" customWidth="1"/>
    <col min="5649" max="5649" width="9.625" customWidth="1"/>
    <col min="5892" max="5892" width="7" customWidth="1"/>
    <col min="5893" max="5893" width="17.75" customWidth="1"/>
    <col min="5894" max="5894" width="10.875" customWidth="1"/>
    <col min="5895" max="5895" width="11.25" customWidth="1"/>
    <col min="5896" max="5896" width="11.5" customWidth="1"/>
    <col min="5897" max="5897" width="11.625" customWidth="1"/>
    <col min="5898" max="5898" width="15.5" customWidth="1"/>
    <col min="5899" max="5899" width="18.75" customWidth="1"/>
    <col min="5900" max="5900" width="15.375" customWidth="1"/>
    <col min="5901" max="5901" width="15.125" customWidth="1"/>
    <col min="5903" max="5903" width="11" customWidth="1"/>
    <col min="5904" max="5904" width="10.625" customWidth="1"/>
    <col min="5905" max="5905" width="9.625" customWidth="1"/>
    <col min="6148" max="6148" width="7" customWidth="1"/>
    <col min="6149" max="6149" width="17.75" customWidth="1"/>
    <col min="6150" max="6150" width="10.875" customWidth="1"/>
    <col min="6151" max="6151" width="11.25" customWidth="1"/>
    <col min="6152" max="6152" width="11.5" customWidth="1"/>
    <col min="6153" max="6153" width="11.625" customWidth="1"/>
    <col min="6154" max="6154" width="15.5" customWidth="1"/>
    <col min="6155" max="6155" width="18.75" customWidth="1"/>
    <col min="6156" max="6156" width="15.375" customWidth="1"/>
    <col min="6157" max="6157" width="15.125" customWidth="1"/>
    <col min="6159" max="6159" width="11" customWidth="1"/>
    <col min="6160" max="6160" width="10.625" customWidth="1"/>
    <col min="6161" max="6161" width="9.625" customWidth="1"/>
    <col min="6404" max="6404" width="7" customWidth="1"/>
    <col min="6405" max="6405" width="17.75" customWidth="1"/>
    <col min="6406" max="6406" width="10.875" customWidth="1"/>
    <col min="6407" max="6407" width="11.25" customWidth="1"/>
    <col min="6408" max="6408" width="11.5" customWidth="1"/>
    <col min="6409" max="6409" width="11.625" customWidth="1"/>
    <col min="6410" max="6410" width="15.5" customWidth="1"/>
    <col min="6411" max="6411" width="18.75" customWidth="1"/>
    <col min="6412" max="6412" width="15.375" customWidth="1"/>
    <col min="6413" max="6413" width="15.125" customWidth="1"/>
    <col min="6415" max="6415" width="11" customWidth="1"/>
    <col min="6416" max="6416" width="10.625" customWidth="1"/>
    <col min="6417" max="6417" width="9.625" customWidth="1"/>
    <col min="6660" max="6660" width="7" customWidth="1"/>
    <col min="6661" max="6661" width="17.75" customWidth="1"/>
    <col min="6662" max="6662" width="10.875" customWidth="1"/>
    <col min="6663" max="6663" width="11.25" customWidth="1"/>
    <col min="6664" max="6664" width="11.5" customWidth="1"/>
    <col min="6665" max="6665" width="11.625" customWidth="1"/>
    <col min="6666" max="6666" width="15.5" customWidth="1"/>
    <col min="6667" max="6667" width="18.75" customWidth="1"/>
    <col min="6668" max="6668" width="15.375" customWidth="1"/>
    <col min="6669" max="6669" width="15.125" customWidth="1"/>
    <col min="6671" max="6671" width="11" customWidth="1"/>
    <col min="6672" max="6672" width="10.625" customWidth="1"/>
    <col min="6673" max="6673" width="9.625" customWidth="1"/>
    <col min="6916" max="6916" width="7" customWidth="1"/>
    <col min="6917" max="6917" width="17.75" customWidth="1"/>
    <col min="6918" max="6918" width="10.875" customWidth="1"/>
    <col min="6919" max="6919" width="11.25" customWidth="1"/>
    <col min="6920" max="6920" width="11.5" customWidth="1"/>
    <col min="6921" max="6921" width="11.625" customWidth="1"/>
    <col min="6922" max="6922" width="15.5" customWidth="1"/>
    <col min="6923" max="6923" width="18.75" customWidth="1"/>
    <col min="6924" max="6924" width="15.375" customWidth="1"/>
    <col min="6925" max="6925" width="15.125" customWidth="1"/>
    <col min="6927" max="6927" width="11" customWidth="1"/>
    <col min="6928" max="6928" width="10.625" customWidth="1"/>
    <col min="6929" max="6929" width="9.625" customWidth="1"/>
    <col min="7172" max="7172" width="7" customWidth="1"/>
    <col min="7173" max="7173" width="17.75" customWidth="1"/>
    <col min="7174" max="7174" width="10.875" customWidth="1"/>
    <col min="7175" max="7175" width="11.25" customWidth="1"/>
    <col min="7176" max="7176" width="11.5" customWidth="1"/>
    <col min="7177" max="7177" width="11.625" customWidth="1"/>
    <col min="7178" max="7178" width="15.5" customWidth="1"/>
    <col min="7179" max="7179" width="18.75" customWidth="1"/>
    <col min="7180" max="7180" width="15.375" customWidth="1"/>
    <col min="7181" max="7181" width="15.125" customWidth="1"/>
    <col min="7183" max="7183" width="11" customWidth="1"/>
    <col min="7184" max="7184" width="10.625" customWidth="1"/>
    <col min="7185" max="7185" width="9.625" customWidth="1"/>
    <col min="7428" max="7428" width="7" customWidth="1"/>
    <col min="7429" max="7429" width="17.75" customWidth="1"/>
    <col min="7430" max="7430" width="10.875" customWidth="1"/>
    <col min="7431" max="7431" width="11.25" customWidth="1"/>
    <col min="7432" max="7432" width="11.5" customWidth="1"/>
    <col min="7433" max="7433" width="11.625" customWidth="1"/>
    <col min="7434" max="7434" width="15.5" customWidth="1"/>
    <col min="7435" max="7435" width="18.75" customWidth="1"/>
    <col min="7436" max="7436" width="15.375" customWidth="1"/>
    <col min="7437" max="7437" width="15.125" customWidth="1"/>
    <col min="7439" max="7439" width="11" customWidth="1"/>
    <col min="7440" max="7440" width="10.625" customWidth="1"/>
    <col min="7441" max="7441" width="9.625" customWidth="1"/>
    <col min="7684" max="7684" width="7" customWidth="1"/>
    <col min="7685" max="7685" width="17.75" customWidth="1"/>
    <col min="7686" max="7686" width="10.875" customWidth="1"/>
    <col min="7687" max="7687" width="11.25" customWidth="1"/>
    <col min="7688" max="7688" width="11.5" customWidth="1"/>
    <col min="7689" max="7689" width="11.625" customWidth="1"/>
    <col min="7690" max="7690" width="15.5" customWidth="1"/>
    <col min="7691" max="7691" width="18.75" customWidth="1"/>
    <col min="7692" max="7692" width="15.375" customWidth="1"/>
    <col min="7693" max="7693" width="15.125" customWidth="1"/>
    <col min="7695" max="7695" width="11" customWidth="1"/>
    <col min="7696" max="7696" width="10.625" customWidth="1"/>
    <col min="7697" max="7697" width="9.625" customWidth="1"/>
    <col min="7940" max="7940" width="7" customWidth="1"/>
    <col min="7941" max="7941" width="17.75" customWidth="1"/>
    <col min="7942" max="7942" width="10.875" customWidth="1"/>
    <col min="7943" max="7943" width="11.25" customWidth="1"/>
    <col min="7944" max="7944" width="11.5" customWidth="1"/>
    <col min="7945" max="7945" width="11.625" customWidth="1"/>
    <col min="7946" max="7946" width="15.5" customWidth="1"/>
    <col min="7947" max="7947" width="18.75" customWidth="1"/>
    <col min="7948" max="7948" width="15.375" customWidth="1"/>
    <col min="7949" max="7949" width="15.125" customWidth="1"/>
    <col min="7951" max="7951" width="11" customWidth="1"/>
    <col min="7952" max="7952" width="10.625" customWidth="1"/>
    <col min="7953" max="7953" width="9.625" customWidth="1"/>
    <col min="8196" max="8196" width="7" customWidth="1"/>
    <col min="8197" max="8197" width="17.75" customWidth="1"/>
    <col min="8198" max="8198" width="10.875" customWidth="1"/>
    <col min="8199" max="8199" width="11.25" customWidth="1"/>
    <col min="8200" max="8200" width="11.5" customWidth="1"/>
    <col min="8201" max="8201" width="11.625" customWidth="1"/>
    <col min="8202" max="8202" width="15.5" customWidth="1"/>
    <col min="8203" max="8203" width="18.75" customWidth="1"/>
    <col min="8204" max="8204" width="15.375" customWidth="1"/>
    <col min="8205" max="8205" width="15.125" customWidth="1"/>
    <col min="8207" max="8207" width="11" customWidth="1"/>
    <col min="8208" max="8208" width="10.625" customWidth="1"/>
    <col min="8209" max="8209" width="9.625" customWidth="1"/>
    <col min="8452" max="8452" width="7" customWidth="1"/>
    <col min="8453" max="8453" width="17.75" customWidth="1"/>
    <col min="8454" max="8454" width="10.875" customWidth="1"/>
    <col min="8455" max="8455" width="11.25" customWidth="1"/>
    <col min="8456" max="8456" width="11.5" customWidth="1"/>
    <col min="8457" max="8457" width="11.625" customWidth="1"/>
    <col min="8458" max="8458" width="15.5" customWidth="1"/>
    <col min="8459" max="8459" width="18.75" customWidth="1"/>
    <col min="8460" max="8460" width="15.375" customWidth="1"/>
    <col min="8461" max="8461" width="15.125" customWidth="1"/>
    <col min="8463" max="8463" width="11" customWidth="1"/>
    <col min="8464" max="8464" width="10.625" customWidth="1"/>
    <col min="8465" max="8465" width="9.625" customWidth="1"/>
    <col min="8708" max="8708" width="7" customWidth="1"/>
    <col min="8709" max="8709" width="17.75" customWidth="1"/>
    <col min="8710" max="8710" width="10.875" customWidth="1"/>
    <col min="8711" max="8711" width="11.25" customWidth="1"/>
    <col min="8712" max="8712" width="11.5" customWidth="1"/>
    <col min="8713" max="8713" width="11.625" customWidth="1"/>
    <col min="8714" max="8714" width="15.5" customWidth="1"/>
    <col min="8715" max="8715" width="18.75" customWidth="1"/>
    <col min="8716" max="8716" width="15.375" customWidth="1"/>
    <col min="8717" max="8717" width="15.125" customWidth="1"/>
    <col min="8719" max="8719" width="11" customWidth="1"/>
    <col min="8720" max="8720" width="10.625" customWidth="1"/>
    <col min="8721" max="8721" width="9.625" customWidth="1"/>
    <col min="8964" max="8964" width="7" customWidth="1"/>
    <col min="8965" max="8965" width="17.75" customWidth="1"/>
    <col min="8966" max="8966" width="10.875" customWidth="1"/>
    <col min="8967" max="8967" width="11.25" customWidth="1"/>
    <col min="8968" max="8968" width="11.5" customWidth="1"/>
    <col min="8969" max="8969" width="11.625" customWidth="1"/>
    <col min="8970" max="8970" width="15.5" customWidth="1"/>
    <col min="8971" max="8971" width="18.75" customWidth="1"/>
    <col min="8972" max="8972" width="15.375" customWidth="1"/>
    <col min="8973" max="8973" width="15.125" customWidth="1"/>
    <col min="8975" max="8975" width="11" customWidth="1"/>
    <col min="8976" max="8976" width="10.625" customWidth="1"/>
    <col min="8977" max="8977" width="9.625" customWidth="1"/>
    <col min="9220" max="9220" width="7" customWidth="1"/>
    <col min="9221" max="9221" width="17.75" customWidth="1"/>
    <col min="9222" max="9222" width="10.875" customWidth="1"/>
    <col min="9223" max="9223" width="11.25" customWidth="1"/>
    <col min="9224" max="9224" width="11.5" customWidth="1"/>
    <col min="9225" max="9225" width="11.625" customWidth="1"/>
    <col min="9226" max="9226" width="15.5" customWidth="1"/>
    <col min="9227" max="9227" width="18.75" customWidth="1"/>
    <col min="9228" max="9228" width="15.375" customWidth="1"/>
    <col min="9229" max="9229" width="15.125" customWidth="1"/>
    <col min="9231" max="9231" width="11" customWidth="1"/>
    <col min="9232" max="9232" width="10.625" customWidth="1"/>
    <col min="9233" max="9233" width="9.625" customWidth="1"/>
    <col min="9476" max="9476" width="7" customWidth="1"/>
    <col min="9477" max="9477" width="17.75" customWidth="1"/>
    <col min="9478" max="9478" width="10.875" customWidth="1"/>
    <col min="9479" max="9479" width="11.25" customWidth="1"/>
    <col min="9480" max="9480" width="11.5" customWidth="1"/>
    <col min="9481" max="9481" width="11.625" customWidth="1"/>
    <col min="9482" max="9482" width="15.5" customWidth="1"/>
    <col min="9483" max="9483" width="18.75" customWidth="1"/>
    <col min="9484" max="9484" width="15.375" customWidth="1"/>
    <col min="9485" max="9485" width="15.125" customWidth="1"/>
    <col min="9487" max="9487" width="11" customWidth="1"/>
    <col min="9488" max="9488" width="10.625" customWidth="1"/>
    <col min="9489" max="9489" width="9.625" customWidth="1"/>
    <col min="9732" max="9732" width="7" customWidth="1"/>
    <col min="9733" max="9733" width="17.75" customWidth="1"/>
    <col min="9734" max="9734" width="10.875" customWidth="1"/>
    <col min="9735" max="9735" width="11.25" customWidth="1"/>
    <col min="9736" max="9736" width="11.5" customWidth="1"/>
    <col min="9737" max="9737" width="11.625" customWidth="1"/>
    <col min="9738" max="9738" width="15.5" customWidth="1"/>
    <col min="9739" max="9739" width="18.75" customWidth="1"/>
    <col min="9740" max="9740" width="15.375" customWidth="1"/>
    <col min="9741" max="9741" width="15.125" customWidth="1"/>
    <col min="9743" max="9743" width="11" customWidth="1"/>
    <col min="9744" max="9744" width="10.625" customWidth="1"/>
    <col min="9745" max="9745" width="9.625" customWidth="1"/>
    <col min="9988" max="9988" width="7" customWidth="1"/>
    <col min="9989" max="9989" width="17.75" customWidth="1"/>
    <col min="9990" max="9990" width="10.875" customWidth="1"/>
    <col min="9991" max="9991" width="11.25" customWidth="1"/>
    <col min="9992" max="9992" width="11.5" customWidth="1"/>
    <col min="9993" max="9993" width="11.625" customWidth="1"/>
    <col min="9994" max="9994" width="15.5" customWidth="1"/>
    <col min="9995" max="9995" width="18.75" customWidth="1"/>
    <col min="9996" max="9996" width="15.375" customWidth="1"/>
    <col min="9997" max="9997" width="15.125" customWidth="1"/>
    <col min="9999" max="9999" width="11" customWidth="1"/>
    <col min="10000" max="10000" width="10.625" customWidth="1"/>
    <col min="10001" max="10001" width="9.625" customWidth="1"/>
    <col min="10244" max="10244" width="7" customWidth="1"/>
    <col min="10245" max="10245" width="17.75" customWidth="1"/>
    <col min="10246" max="10246" width="10.875" customWidth="1"/>
    <col min="10247" max="10247" width="11.25" customWidth="1"/>
    <col min="10248" max="10248" width="11.5" customWidth="1"/>
    <col min="10249" max="10249" width="11.625" customWidth="1"/>
    <col min="10250" max="10250" width="15.5" customWidth="1"/>
    <col min="10251" max="10251" width="18.75" customWidth="1"/>
    <col min="10252" max="10252" width="15.375" customWidth="1"/>
    <col min="10253" max="10253" width="15.125" customWidth="1"/>
    <col min="10255" max="10255" width="11" customWidth="1"/>
    <col min="10256" max="10256" width="10.625" customWidth="1"/>
    <col min="10257" max="10257" width="9.625" customWidth="1"/>
    <col min="10500" max="10500" width="7" customWidth="1"/>
    <col min="10501" max="10501" width="17.75" customWidth="1"/>
    <col min="10502" max="10502" width="10.875" customWidth="1"/>
    <col min="10503" max="10503" width="11.25" customWidth="1"/>
    <col min="10504" max="10504" width="11.5" customWidth="1"/>
    <col min="10505" max="10505" width="11.625" customWidth="1"/>
    <col min="10506" max="10506" width="15.5" customWidth="1"/>
    <col min="10507" max="10507" width="18.75" customWidth="1"/>
    <col min="10508" max="10508" width="15.375" customWidth="1"/>
    <col min="10509" max="10509" width="15.125" customWidth="1"/>
    <col min="10511" max="10511" width="11" customWidth="1"/>
    <col min="10512" max="10512" width="10.625" customWidth="1"/>
    <col min="10513" max="10513" width="9.625" customWidth="1"/>
    <col min="10756" max="10756" width="7" customWidth="1"/>
    <col min="10757" max="10757" width="17.75" customWidth="1"/>
    <col min="10758" max="10758" width="10.875" customWidth="1"/>
    <col min="10759" max="10759" width="11.25" customWidth="1"/>
    <col min="10760" max="10760" width="11.5" customWidth="1"/>
    <col min="10761" max="10761" width="11.625" customWidth="1"/>
    <col min="10762" max="10762" width="15.5" customWidth="1"/>
    <col min="10763" max="10763" width="18.75" customWidth="1"/>
    <col min="10764" max="10764" width="15.375" customWidth="1"/>
    <col min="10765" max="10765" width="15.125" customWidth="1"/>
    <col min="10767" max="10767" width="11" customWidth="1"/>
    <col min="10768" max="10768" width="10.625" customWidth="1"/>
    <col min="10769" max="10769" width="9.625" customWidth="1"/>
    <col min="11012" max="11012" width="7" customWidth="1"/>
    <col min="11013" max="11013" width="17.75" customWidth="1"/>
    <col min="11014" max="11014" width="10.875" customWidth="1"/>
    <col min="11015" max="11015" width="11.25" customWidth="1"/>
    <col min="11016" max="11016" width="11.5" customWidth="1"/>
    <col min="11017" max="11017" width="11.625" customWidth="1"/>
    <col min="11018" max="11018" width="15.5" customWidth="1"/>
    <col min="11019" max="11019" width="18.75" customWidth="1"/>
    <col min="11020" max="11020" width="15.375" customWidth="1"/>
    <col min="11021" max="11021" width="15.125" customWidth="1"/>
    <col min="11023" max="11023" width="11" customWidth="1"/>
    <col min="11024" max="11024" width="10.625" customWidth="1"/>
    <col min="11025" max="11025" width="9.625" customWidth="1"/>
    <col min="11268" max="11268" width="7" customWidth="1"/>
    <col min="11269" max="11269" width="17.75" customWidth="1"/>
    <col min="11270" max="11270" width="10.875" customWidth="1"/>
    <col min="11271" max="11271" width="11.25" customWidth="1"/>
    <col min="11272" max="11272" width="11.5" customWidth="1"/>
    <col min="11273" max="11273" width="11.625" customWidth="1"/>
    <col min="11274" max="11274" width="15.5" customWidth="1"/>
    <col min="11275" max="11275" width="18.75" customWidth="1"/>
    <col min="11276" max="11276" width="15.375" customWidth="1"/>
    <col min="11277" max="11277" width="15.125" customWidth="1"/>
    <col min="11279" max="11279" width="11" customWidth="1"/>
    <col min="11280" max="11280" width="10.625" customWidth="1"/>
    <col min="11281" max="11281" width="9.625" customWidth="1"/>
    <col min="11524" max="11524" width="7" customWidth="1"/>
    <col min="11525" max="11525" width="17.75" customWidth="1"/>
    <col min="11526" max="11526" width="10.875" customWidth="1"/>
    <col min="11527" max="11527" width="11.25" customWidth="1"/>
    <col min="11528" max="11528" width="11.5" customWidth="1"/>
    <col min="11529" max="11529" width="11.625" customWidth="1"/>
    <col min="11530" max="11530" width="15.5" customWidth="1"/>
    <col min="11531" max="11531" width="18.75" customWidth="1"/>
    <col min="11532" max="11532" width="15.375" customWidth="1"/>
    <col min="11533" max="11533" width="15.125" customWidth="1"/>
    <col min="11535" max="11535" width="11" customWidth="1"/>
    <col min="11536" max="11536" width="10.625" customWidth="1"/>
    <col min="11537" max="11537" width="9.625" customWidth="1"/>
    <col min="11780" max="11780" width="7" customWidth="1"/>
    <col min="11781" max="11781" width="17.75" customWidth="1"/>
    <col min="11782" max="11782" width="10.875" customWidth="1"/>
    <col min="11783" max="11783" width="11.25" customWidth="1"/>
    <col min="11784" max="11784" width="11.5" customWidth="1"/>
    <col min="11785" max="11785" width="11.625" customWidth="1"/>
    <col min="11786" max="11786" width="15.5" customWidth="1"/>
    <col min="11787" max="11787" width="18.75" customWidth="1"/>
    <col min="11788" max="11788" width="15.375" customWidth="1"/>
    <col min="11789" max="11789" width="15.125" customWidth="1"/>
    <col min="11791" max="11791" width="11" customWidth="1"/>
    <col min="11792" max="11792" width="10.625" customWidth="1"/>
    <col min="11793" max="11793" width="9.625" customWidth="1"/>
    <col min="12036" max="12036" width="7" customWidth="1"/>
    <col min="12037" max="12037" width="17.75" customWidth="1"/>
    <col min="12038" max="12038" width="10.875" customWidth="1"/>
    <col min="12039" max="12039" width="11.25" customWidth="1"/>
    <col min="12040" max="12040" width="11.5" customWidth="1"/>
    <col min="12041" max="12041" width="11.625" customWidth="1"/>
    <col min="12042" max="12042" width="15.5" customWidth="1"/>
    <col min="12043" max="12043" width="18.75" customWidth="1"/>
    <col min="12044" max="12044" width="15.375" customWidth="1"/>
    <col min="12045" max="12045" width="15.125" customWidth="1"/>
    <col min="12047" max="12047" width="11" customWidth="1"/>
    <col min="12048" max="12048" width="10.625" customWidth="1"/>
    <col min="12049" max="12049" width="9.625" customWidth="1"/>
    <col min="12292" max="12292" width="7" customWidth="1"/>
    <col min="12293" max="12293" width="17.75" customWidth="1"/>
    <col min="12294" max="12294" width="10.875" customWidth="1"/>
    <col min="12295" max="12295" width="11.25" customWidth="1"/>
    <col min="12296" max="12296" width="11.5" customWidth="1"/>
    <col min="12297" max="12297" width="11.625" customWidth="1"/>
    <col min="12298" max="12298" width="15.5" customWidth="1"/>
    <col min="12299" max="12299" width="18.75" customWidth="1"/>
    <col min="12300" max="12300" width="15.375" customWidth="1"/>
    <col min="12301" max="12301" width="15.125" customWidth="1"/>
    <col min="12303" max="12303" width="11" customWidth="1"/>
    <col min="12304" max="12304" width="10.625" customWidth="1"/>
    <col min="12305" max="12305" width="9.625" customWidth="1"/>
    <col min="12548" max="12548" width="7" customWidth="1"/>
    <col min="12549" max="12549" width="17.75" customWidth="1"/>
    <col min="12550" max="12550" width="10.875" customWidth="1"/>
    <col min="12551" max="12551" width="11.25" customWidth="1"/>
    <col min="12552" max="12552" width="11.5" customWidth="1"/>
    <col min="12553" max="12553" width="11.625" customWidth="1"/>
    <col min="12554" max="12554" width="15.5" customWidth="1"/>
    <col min="12555" max="12555" width="18.75" customWidth="1"/>
    <col min="12556" max="12556" width="15.375" customWidth="1"/>
    <col min="12557" max="12557" width="15.125" customWidth="1"/>
    <col min="12559" max="12559" width="11" customWidth="1"/>
    <col min="12560" max="12560" width="10.625" customWidth="1"/>
    <col min="12561" max="12561" width="9.625" customWidth="1"/>
    <col min="12804" max="12804" width="7" customWidth="1"/>
    <col min="12805" max="12805" width="17.75" customWidth="1"/>
    <col min="12806" max="12806" width="10.875" customWidth="1"/>
    <col min="12807" max="12807" width="11.25" customWidth="1"/>
    <col min="12808" max="12808" width="11.5" customWidth="1"/>
    <col min="12809" max="12809" width="11.625" customWidth="1"/>
    <col min="12810" max="12810" width="15.5" customWidth="1"/>
    <col min="12811" max="12811" width="18.75" customWidth="1"/>
    <col min="12812" max="12812" width="15.375" customWidth="1"/>
    <col min="12813" max="12813" width="15.125" customWidth="1"/>
    <col min="12815" max="12815" width="11" customWidth="1"/>
    <col min="12816" max="12816" width="10.625" customWidth="1"/>
    <col min="12817" max="12817" width="9.625" customWidth="1"/>
    <col min="13060" max="13060" width="7" customWidth="1"/>
    <col min="13061" max="13061" width="17.75" customWidth="1"/>
    <col min="13062" max="13062" width="10.875" customWidth="1"/>
    <col min="13063" max="13063" width="11.25" customWidth="1"/>
    <col min="13064" max="13064" width="11.5" customWidth="1"/>
    <col min="13065" max="13065" width="11.625" customWidth="1"/>
    <col min="13066" max="13066" width="15.5" customWidth="1"/>
    <col min="13067" max="13067" width="18.75" customWidth="1"/>
    <col min="13068" max="13068" width="15.375" customWidth="1"/>
    <col min="13069" max="13069" width="15.125" customWidth="1"/>
    <col min="13071" max="13071" width="11" customWidth="1"/>
    <col min="13072" max="13072" width="10.625" customWidth="1"/>
    <col min="13073" max="13073" width="9.625" customWidth="1"/>
    <col min="13316" max="13316" width="7" customWidth="1"/>
    <col min="13317" max="13317" width="17.75" customWidth="1"/>
    <col min="13318" max="13318" width="10.875" customWidth="1"/>
    <col min="13319" max="13319" width="11.25" customWidth="1"/>
    <col min="13320" max="13320" width="11.5" customWidth="1"/>
    <col min="13321" max="13321" width="11.625" customWidth="1"/>
    <col min="13322" max="13322" width="15.5" customWidth="1"/>
    <col min="13323" max="13323" width="18.75" customWidth="1"/>
    <col min="13324" max="13324" width="15.375" customWidth="1"/>
    <col min="13325" max="13325" width="15.125" customWidth="1"/>
    <col min="13327" max="13327" width="11" customWidth="1"/>
    <col min="13328" max="13328" width="10.625" customWidth="1"/>
    <col min="13329" max="13329" width="9.625" customWidth="1"/>
    <col min="13572" max="13572" width="7" customWidth="1"/>
    <col min="13573" max="13573" width="17.75" customWidth="1"/>
    <col min="13574" max="13574" width="10.875" customWidth="1"/>
    <col min="13575" max="13575" width="11.25" customWidth="1"/>
    <col min="13576" max="13576" width="11.5" customWidth="1"/>
    <col min="13577" max="13577" width="11.625" customWidth="1"/>
    <col min="13578" max="13578" width="15.5" customWidth="1"/>
    <col min="13579" max="13579" width="18.75" customWidth="1"/>
    <col min="13580" max="13580" width="15.375" customWidth="1"/>
    <col min="13581" max="13581" width="15.125" customWidth="1"/>
    <col min="13583" max="13583" width="11" customWidth="1"/>
    <col min="13584" max="13584" width="10.625" customWidth="1"/>
    <col min="13585" max="13585" width="9.625" customWidth="1"/>
    <col min="13828" max="13828" width="7" customWidth="1"/>
    <col min="13829" max="13829" width="17.75" customWidth="1"/>
    <col min="13830" max="13830" width="10.875" customWidth="1"/>
    <col min="13831" max="13831" width="11.25" customWidth="1"/>
    <col min="13832" max="13832" width="11.5" customWidth="1"/>
    <col min="13833" max="13833" width="11.625" customWidth="1"/>
    <col min="13834" max="13834" width="15.5" customWidth="1"/>
    <col min="13835" max="13835" width="18.75" customWidth="1"/>
    <col min="13836" max="13836" width="15.375" customWidth="1"/>
    <col min="13837" max="13837" width="15.125" customWidth="1"/>
    <col min="13839" max="13839" width="11" customWidth="1"/>
    <col min="13840" max="13840" width="10.625" customWidth="1"/>
    <col min="13841" max="13841" width="9.625" customWidth="1"/>
    <col min="14084" max="14084" width="7" customWidth="1"/>
    <col min="14085" max="14085" width="17.75" customWidth="1"/>
    <col min="14086" max="14086" width="10.875" customWidth="1"/>
    <col min="14087" max="14087" width="11.25" customWidth="1"/>
    <col min="14088" max="14088" width="11.5" customWidth="1"/>
    <col min="14089" max="14089" width="11.625" customWidth="1"/>
    <col min="14090" max="14090" width="15.5" customWidth="1"/>
    <col min="14091" max="14091" width="18.75" customWidth="1"/>
    <col min="14092" max="14092" width="15.375" customWidth="1"/>
    <col min="14093" max="14093" width="15.125" customWidth="1"/>
    <col min="14095" max="14095" width="11" customWidth="1"/>
    <col min="14096" max="14096" width="10.625" customWidth="1"/>
    <col min="14097" max="14097" width="9.625" customWidth="1"/>
    <col min="14340" max="14340" width="7" customWidth="1"/>
    <col min="14341" max="14341" width="17.75" customWidth="1"/>
    <col min="14342" max="14342" width="10.875" customWidth="1"/>
    <col min="14343" max="14343" width="11.25" customWidth="1"/>
    <col min="14344" max="14344" width="11.5" customWidth="1"/>
    <col min="14345" max="14345" width="11.625" customWidth="1"/>
    <col min="14346" max="14346" width="15.5" customWidth="1"/>
    <col min="14347" max="14347" width="18.75" customWidth="1"/>
    <col min="14348" max="14348" width="15.375" customWidth="1"/>
    <col min="14349" max="14349" width="15.125" customWidth="1"/>
    <col min="14351" max="14351" width="11" customWidth="1"/>
    <col min="14352" max="14352" width="10.625" customWidth="1"/>
    <col min="14353" max="14353" width="9.625" customWidth="1"/>
    <col min="14596" max="14596" width="7" customWidth="1"/>
    <col min="14597" max="14597" width="17.75" customWidth="1"/>
    <col min="14598" max="14598" width="10.875" customWidth="1"/>
    <col min="14599" max="14599" width="11.25" customWidth="1"/>
    <col min="14600" max="14600" width="11.5" customWidth="1"/>
    <col min="14601" max="14601" width="11.625" customWidth="1"/>
    <col min="14602" max="14602" width="15.5" customWidth="1"/>
    <col min="14603" max="14603" width="18.75" customWidth="1"/>
    <col min="14604" max="14604" width="15.375" customWidth="1"/>
    <col min="14605" max="14605" width="15.125" customWidth="1"/>
    <col min="14607" max="14607" width="11" customWidth="1"/>
    <col min="14608" max="14608" width="10.625" customWidth="1"/>
    <col min="14609" max="14609" width="9.625" customWidth="1"/>
    <col min="14852" max="14852" width="7" customWidth="1"/>
    <col min="14853" max="14853" width="17.75" customWidth="1"/>
    <col min="14854" max="14854" width="10.875" customWidth="1"/>
    <col min="14855" max="14855" width="11.25" customWidth="1"/>
    <col min="14856" max="14856" width="11.5" customWidth="1"/>
    <col min="14857" max="14857" width="11.625" customWidth="1"/>
    <col min="14858" max="14858" width="15.5" customWidth="1"/>
    <col min="14859" max="14859" width="18.75" customWidth="1"/>
    <col min="14860" max="14860" width="15.375" customWidth="1"/>
    <col min="14861" max="14861" width="15.125" customWidth="1"/>
    <col min="14863" max="14863" width="11" customWidth="1"/>
    <col min="14864" max="14864" width="10.625" customWidth="1"/>
    <col min="14865" max="14865" width="9.625" customWidth="1"/>
    <col min="15108" max="15108" width="7" customWidth="1"/>
    <col min="15109" max="15109" width="17.75" customWidth="1"/>
    <col min="15110" max="15110" width="10.875" customWidth="1"/>
    <col min="15111" max="15111" width="11.25" customWidth="1"/>
    <col min="15112" max="15112" width="11.5" customWidth="1"/>
    <col min="15113" max="15113" width="11.625" customWidth="1"/>
    <col min="15114" max="15114" width="15.5" customWidth="1"/>
    <col min="15115" max="15115" width="18.75" customWidth="1"/>
    <col min="15116" max="15116" width="15.375" customWidth="1"/>
    <col min="15117" max="15117" width="15.125" customWidth="1"/>
    <col min="15119" max="15119" width="11" customWidth="1"/>
    <col min="15120" max="15120" width="10.625" customWidth="1"/>
    <col min="15121" max="15121" width="9.625" customWidth="1"/>
    <col min="15364" max="15364" width="7" customWidth="1"/>
    <col min="15365" max="15365" width="17.75" customWidth="1"/>
    <col min="15366" max="15366" width="10.875" customWidth="1"/>
    <col min="15367" max="15367" width="11.25" customWidth="1"/>
    <col min="15368" max="15368" width="11.5" customWidth="1"/>
    <col min="15369" max="15369" width="11.625" customWidth="1"/>
    <col min="15370" max="15370" width="15.5" customWidth="1"/>
    <col min="15371" max="15371" width="18.75" customWidth="1"/>
    <col min="15372" max="15372" width="15.375" customWidth="1"/>
    <col min="15373" max="15373" width="15.125" customWidth="1"/>
    <col min="15375" max="15375" width="11" customWidth="1"/>
    <col min="15376" max="15376" width="10.625" customWidth="1"/>
    <col min="15377" max="15377" width="9.625" customWidth="1"/>
    <col min="15620" max="15620" width="7" customWidth="1"/>
    <col min="15621" max="15621" width="17.75" customWidth="1"/>
    <col min="15622" max="15622" width="10.875" customWidth="1"/>
    <col min="15623" max="15623" width="11.25" customWidth="1"/>
    <col min="15624" max="15624" width="11.5" customWidth="1"/>
    <col min="15625" max="15625" width="11.625" customWidth="1"/>
    <col min="15626" max="15626" width="15.5" customWidth="1"/>
    <col min="15627" max="15627" width="18.75" customWidth="1"/>
    <col min="15628" max="15628" width="15.375" customWidth="1"/>
    <col min="15629" max="15629" width="15.125" customWidth="1"/>
    <col min="15631" max="15631" width="11" customWidth="1"/>
    <col min="15632" max="15632" width="10.625" customWidth="1"/>
    <col min="15633" max="15633" width="9.625" customWidth="1"/>
    <col min="15876" max="15876" width="7" customWidth="1"/>
    <col min="15877" max="15877" width="17.75" customWidth="1"/>
    <col min="15878" max="15878" width="10.875" customWidth="1"/>
    <col min="15879" max="15879" width="11.25" customWidth="1"/>
    <col min="15880" max="15880" width="11.5" customWidth="1"/>
    <col min="15881" max="15881" width="11.625" customWidth="1"/>
    <col min="15882" max="15882" width="15.5" customWidth="1"/>
    <col min="15883" max="15883" width="18.75" customWidth="1"/>
    <col min="15884" max="15884" width="15.375" customWidth="1"/>
    <col min="15885" max="15885" width="15.125" customWidth="1"/>
    <col min="15887" max="15887" width="11" customWidth="1"/>
    <col min="15888" max="15888" width="10.625" customWidth="1"/>
    <col min="15889" max="15889" width="9.625" customWidth="1"/>
    <col min="16132" max="16132" width="7" customWidth="1"/>
    <col min="16133" max="16133" width="17.75" customWidth="1"/>
    <col min="16134" max="16134" width="10.875" customWidth="1"/>
    <col min="16135" max="16135" width="11.25" customWidth="1"/>
    <col min="16136" max="16136" width="11.5" customWidth="1"/>
    <col min="16137" max="16137" width="11.625" customWidth="1"/>
    <col min="16138" max="16138" width="15.5" customWidth="1"/>
    <col min="16139" max="16139" width="18.75" customWidth="1"/>
    <col min="16140" max="16140" width="15.375" customWidth="1"/>
    <col min="16141" max="16141" width="15.125" customWidth="1"/>
    <col min="16143" max="16143" width="11" customWidth="1"/>
    <col min="16144" max="16144" width="10.625" customWidth="1"/>
    <col min="16145" max="16145" width="9.625" customWidth="1"/>
  </cols>
  <sheetData>
    <row r="1" spans="1:17" ht="18.75" x14ac:dyDescent="0.3">
      <c r="G1" s="1" t="s">
        <v>0</v>
      </c>
      <c r="Q1" t="s">
        <v>1</v>
      </c>
    </row>
    <row r="2" spans="1:17" ht="18.75" x14ac:dyDescent="0.3">
      <c r="G2" s="1"/>
    </row>
    <row r="3" spans="1:17" ht="18.75" x14ac:dyDescent="0.3">
      <c r="A3" s="461" t="s">
        <v>2</v>
      </c>
      <c r="B3" s="461"/>
      <c r="C3" t="s">
        <v>38</v>
      </c>
      <c r="G3" s="1"/>
    </row>
    <row r="4" spans="1:17" ht="18.75" x14ac:dyDescent="0.3">
      <c r="A4" s="461" t="s">
        <v>3</v>
      </c>
      <c r="B4" s="461"/>
      <c r="C4" t="s">
        <v>40</v>
      </c>
      <c r="G4" s="1"/>
    </row>
    <row r="5" spans="1:17" ht="18.75" x14ac:dyDescent="0.3">
      <c r="A5" s="461" t="s">
        <v>4</v>
      </c>
      <c r="B5" s="461"/>
      <c r="C5" t="s">
        <v>41</v>
      </c>
      <c r="G5" s="1"/>
    </row>
    <row r="6" spans="1:17" ht="18.75" x14ac:dyDescent="0.3">
      <c r="A6" s="461" t="s">
        <v>5</v>
      </c>
      <c r="B6" s="461"/>
      <c r="C6" s="13" t="s">
        <v>383</v>
      </c>
      <c r="G6" s="1"/>
    </row>
    <row r="8" spans="1:17" x14ac:dyDescent="0.25">
      <c r="A8" t="s">
        <v>6</v>
      </c>
    </row>
    <row r="9" spans="1:17" ht="24.75" customHeight="1" x14ac:dyDescent="0.25">
      <c r="A9" s="103" t="s">
        <v>7</v>
      </c>
      <c r="B9" s="538" t="s">
        <v>8</v>
      </c>
      <c r="C9" s="538"/>
      <c r="D9" s="103" t="s">
        <v>9</v>
      </c>
      <c r="E9" s="103" t="s">
        <v>9</v>
      </c>
      <c r="F9" s="541" t="s">
        <v>11</v>
      </c>
      <c r="G9" s="541" t="s">
        <v>12</v>
      </c>
      <c r="H9" s="103" t="s">
        <v>13</v>
      </c>
      <c r="I9" s="103"/>
      <c r="J9" s="565" t="s">
        <v>15</v>
      </c>
      <c r="K9" s="566"/>
      <c r="L9" s="103" t="s">
        <v>16</v>
      </c>
      <c r="M9" s="544" t="s">
        <v>333</v>
      </c>
      <c r="N9" s="544"/>
      <c r="O9" s="544"/>
      <c r="P9" s="544"/>
      <c r="Q9" s="544"/>
    </row>
    <row r="10" spans="1:17" x14ac:dyDescent="0.25">
      <c r="A10" s="539" t="s">
        <v>19</v>
      </c>
      <c r="B10" s="546" t="s">
        <v>20</v>
      </c>
      <c r="C10" s="547"/>
      <c r="D10" s="542" t="s">
        <v>21</v>
      </c>
      <c r="E10" s="542" t="s">
        <v>376</v>
      </c>
      <c r="F10" s="542"/>
      <c r="G10" s="542"/>
      <c r="H10" s="104" t="s">
        <v>23</v>
      </c>
      <c r="I10" s="541" t="s">
        <v>14</v>
      </c>
      <c r="J10" s="104" t="s">
        <v>357</v>
      </c>
      <c r="K10" s="104" t="s">
        <v>333</v>
      </c>
      <c r="L10" s="104" t="s">
        <v>25</v>
      </c>
      <c r="M10" s="541" t="s">
        <v>334</v>
      </c>
      <c r="N10" s="541" t="s">
        <v>335</v>
      </c>
      <c r="O10" s="541" t="s">
        <v>336</v>
      </c>
      <c r="P10" s="541" t="s">
        <v>337</v>
      </c>
      <c r="Q10" s="541" t="s">
        <v>339</v>
      </c>
    </row>
    <row r="11" spans="1:17" x14ac:dyDescent="0.25">
      <c r="A11" s="540"/>
      <c r="B11" s="548"/>
      <c r="C11" s="549"/>
      <c r="D11" s="543"/>
      <c r="E11" s="459"/>
      <c r="F11" s="543"/>
      <c r="G11" s="543"/>
      <c r="H11" s="105" t="s">
        <v>30</v>
      </c>
      <c r="I11" s="459"/>
      <c r="J11" s="105" t="s">
        <v>24</v>
      </c>
      <c r="K11" s="105" t="s">
        <v>31</v>
      </c>
      <c r="L11" s="105" t="s">
        <v>32</v>
      </c>
      <c r="M11" s="543"/>
      <c r="N11" s="543"/>
      <c r="O11" s="543"/>
      <c r="P11" s="543"/>
      <c r="Q11" s="543"/>
    </row>
    <row r="12" spans="1:17" x14ac:dyDescent="0.25">
      <c r="A12" s="47">
        <v>1</v>
      </c>
      <c r="B12" s="561">
        <v>2</v>
      </c>
      <c r="C12" s="562"/>
      <c r="D12" s="106">
        <v>3</v>
      </c>
      <c r="E12" s="106">
        <v>4</v>
      </c>
      <c r="F12" s="107">
        <v>5</v>
      </c>
      <c r="G12" s="107">
        <v>6</v>
      </c>
      <c r="H12" s="104">
        <v>7</v>
      </c>
      <c r="I12" s="104">
        <v>8</v>
      </c>
      <c r="J12" s="104">
        <v>9</v>
      </c>
      <c r="K12" s="104">
        <v>10</v>
      </c>
      <c r="L12" s="104">
        <v>11</v>
      </c>
      <c r="M12" s="104">
        <v>12</v>
      </c>
      <c r="N12" s="104">
        <v>13</v>
      </c>
      <c r="O12" s="104">
        <v>14</v>
      </c>
      <c r="P12" s="104">
        <v>15</v>
      </c>
      <c r="Q12" s="104">
        <v>16</v>
      </c>
    </row>
    <row r="13" spans="1:17" ht="47.25" customHeight="1" x14ac:dyDescent="0.25">
      <c r="A13" s="92">
        <v>1</v>
      </c>
      <c r="B13" s="571" t="s">
        <v>318</v>
      </c>
      <c r="C13" s="572"/>
      <c r="D13" s="31" t="s">
        <v>319</v>
      </c>
      <c r="E13" s="31"/>
      <c r="F13" s="9" t="s">
        <v>321</v>
      </c>
      <c r="G13" s="9" t="s">
        <v>56</v>
      </c>
      <c r="H13" s="7">
        <v>2012</v>
      </c>
      <c r="I13" s="9" t="s">
        <v>322</v>
      </c>
      <c r="J13" s="11">
        <v>1</v>
      </c>
      <c r="K13" s="11" t="s">
        <v>54</v>
      </c>
      <c r="L13" s="19">
        <v>166673497</v>
      </c>
      <c r="M13" s="30" t="s">
        <v>320</v>
      </c>
      <c r="N13" s="9"/>
      <c r="O13" s="9" t="s">
        <v>338</v>
      </c>
      <c r="P13" s="7"/>
      <c r="Q13" s="9" t="s">
        <v>347</v>
      </c>
    </row>
    <row r="14" spans="1:17" ht="47.25" x14ac:dyDescent="0.25">
      <c r="A14" s="7">
        <f>A13+1</f>
        <v>2</v>
      </c>
      <c r="B14" s="570" t="s">
        <v>318</v>
      </c>
      <c r="C14" s="570"/>
      <c r="D14" s="31" t="s">
        <v>323</v>
      </c>
      <c r="E14" s="31"/>
      <c r="F14" s="9" t="s">
        <v>325</v>
      </c>
      <c r="G14" s="9" t="s">
        <v>56</v>
      </c>
      <c r="H14" s="7">
        <v>2012</v>
      </c>
      <c r="I14" s="9" t="s">
        <v>322</v>
      </c>
      <c r="J14" s="11">
        <v>1</v>
      </c>
      <c r="K14" s="11" t="s">
        <v>107</v>
      </c>
      <c r="L14" s="19">
        <v>120800000</v>
      </c>
      <c r="M14" s="9" t="s">
        <v>324</v>
      </c>
      <c r="N14" s="9"/>
      <c r="O14" s="9" t="s">
        <v>343</v>
      </c>
      <c r="P14" s="7"/>
      <c r="Q14" s="9" t="s">
        <v>389</v>
      </c>
    </row>
    <row r="15" spans="1:17" ht="47.25" x14ac:dyDescent="0.25">
      <c r="A15" s="7">
        <f t="shared" ref="A15:A44" si="0">A14+1</f>
        <v>3</v>
      </c>
      <c r="B15" s="570" t="s">
        <v>318</v>
      </c>
      <c r="C15" s="570"/>
      <c r="D15" s="31" t="s">
        <v>327</v>
      </c>
      <c r="E15" s="31"/>
      <c r="F15" s="9" t="s">
        <v>326</v>
      </c>
      <c r="G15" s="9" t="s">
        <v>56</v>
      </c>
      <c r="H15" s="7">
        <v>2015</v>
      </c>
      <c r="I15" s="9" t="s">
        <v>322</v>
      </c>
      <c r="J15" s="11">
        <v>1</v>
      </c>
      <c r="K15" s="11" t="s">
        <v>125</v>
      </c>
      <c r="L15" s="19">
        <v>225990000</v>
      </c>
      <c r="M15" s="9" t="s">
        <v>328</v>
      </c>
      <c r="N15" s="9"/>
      <c r="O15" s="30" t="s">
        <v>434</v>
      </c>
      <c r="P15" s="7"/>
      <c r="Q15" s="30" t="s">
        <v>68</v>
      </c>
    </row>
    <row r="16" spans="1:17" ht="31.5" x14ac:dyDescent="0.25">
      <c r="A16" s="7">
        <f t="shared" si="0"/>
        <v>4</v>
      </c>
      <c r="B16" s="570" t="s">
        <v>318</v>
      </c>
      <c r="C16" s="570"/>
      <c r="D16" s="31" t="s">
        <v>340</v>
      </c>
      <c r="E16" s="31"/>
      <c r="F16" s="9" t="s">
        <v>341</v>
      </c>
      <c r="G16" s="9" t="s">
        <v>56</v>
      </c>
      <c r="H16" s="7"/>
      <c r="I16" s="9" t="s">
        <v>322</v>
      </c>
      <c r="J16" s="11">
        <v>1</v>
      </c>
      <c r="K16" s="11" t="s">
        <v>67</v>
      </c>
      <c r="L16" s="19">
        <v>199204400</v>
      </c>
      <c r="M16" s="9" t="s">
        <v>342</v>
      </c>
      <c r="N16" s="9"/>
      <c r="O16" s="9" t="s">
        <v>344</v>
      </c>
      <c r="P16" s="7"/>
      <c r="Q16" s="9" t="s">
        <v>239</v>
      </c>
    </row>
    <row r="17" spans="1:17" ht="47.25" x14ac:dyDescent="0.25">
      <c r="A17" s="7">
        <f t="shared" si="0"/>
        <v>5</v>
      </c>
      <c r="B17" s="567" t="s">
        <v>305</v>
      </c>
      <c r="C17" s="567"/>
      <c r="D17" s="31" t="s">
        <v>327</v>
      </c>
      <c r="E17" s="30" t="s">
        <v>329</v>
      </c>
      <c r="F17" s="7">
        <v>100</v>
      </c>
      <c r="G17" s="9" t="s">
        <v>56</v>
      </c>
      <c r="H17" s="7">
        <v>2004</v>
      </c>
      <c r="I17" s="9" t="s">
        <v>309</v>
      </c>
      <c r="J17" s="11">
        <v>1</v>
      </c>
      <c r="K17" s="11" t="s">
        <v>43</v>
      </c>
      <c r="L17" s="19">
        <v>11500000</v>
      </c>
      <c r="M17" s="30" t="s">
        <v>329</v>
      </c>
      <c r="N17" s="9"/>
      <c r="O17" s="9" t="s">
        <v>345</v>
      </c>
      <c r="P17" s="9" t="s">
        <v>435</v>
      </c>
      <c r="Q17" s="9" t="s">
        <v>347</v>
      </c>
    </row>
    <row r="18" spans="1:17" ht="47.25" x14ac:dyDescent="0.25">
      <c r="A18" s="7">
        <f t="shared" si="0"/>
        <v>6</v>
      </c>
      <c r="B18" s="567" t="s">
        <v>305</v>
      </c>
      <c r="C18" s="567"/>
      <c r="D18" s="30" t="s">
        <v>306</v>
      </c>
      <c r="E18" s="31" t="s">
        <v>307</v>
      </c>
      <c r="F18" s="7">
        <v>100</v>
      </c>
      <c r="G18" s="9" t="s">
        <v>308</v>
      </c>
      <c r="H18" s="7">
        <v>2006</v>
      </c>
      <c r="I18" s="9" t="s">
        <v>309</v>
      </c>
      <c r="J18" s="11">
        <v>1</v>
      </c>
      <c r="K18" s="11" t="s">
        <v>54</v>
      </c>
      <c r="L18" s="19">
        <v>12750000</v>
      </c>
      <c r="M18" s="31" t="s">
        <v>307</v>
      </c>
      <c r="N18" s="9"/>
      <c r="O18" s="9" t="s">
        <v>346</v>
      </c>
      <c r="P18" s="9" t="s">
        <v>436</v>
      </c>
      <c r="Q18" s="9" t="s">
        <v>347</v>
      </c>
    </row>
    <row r="19" spans="1:17" ht="47.25" x14ac:dyDescent="0.25">
      <c r="A19" s="7">
        <f t="shared" si="0"/>
        <v>7</v>
      </c>
      <c r="B19" s="567" t="s">
        <v>305</v>
      </c>
      <c r="C19" s="567"/>
      <c r="D19" s="31" t="s">
        <v>310</v>
      </c>
      <c r="E19" s="31" t="s">
        <v>311</v>
      </c>
      <c r="F19" s="7">
        <v>110</v>
      </c>
      <c r="G19" s="9" t="s">
        <v>308</v>
      </c>
      <c r="H19" s="7">
        <v>2006</v>
      </c>
      <c r="I19" s="9" t="s">
        <v>309</v>
      </c>
      <c r="J19" s="11">
        <v>1</v>
      </c>
      <c r="K19" s="11" t="s">
        <v>107</v>
      </c>
      <c r="L19" s="19">
        <v>11525000</v>
      </c>
      <c r="M19" s="31" t="s">
        <v>311</v>
      </c>
      <c r="N19" s="9"/>
      <c r="O19" s="9" t="s">
        <v>348</v>
      </c>
      <c r="P19" s="9" t="s">
        <v>436</v>
      </c>
      <c r="Q19" s="9" t="s">
        <v>390</v>
      </c>
    </row>
    <row r="20" spans="1:17" ht="33.75" customHeight="1" x14ac:dyDescent="0.25">
      <c r="A20" s="7">
        <f t="shared" si="0"/>
        <v>8</v>
      </c>
      <c r="B20" s="567" t="s">
        <v>305</v>
      </c>
      <c r="C20" s="567"/>
      <c r="D20" s="31" t="s">
        <v>312</v>
      </c>
      <c r="E20" s="31" t="s">
        <v>313</v>
      </c>
      <c r="F20" s="7">
        <v>125</v>
      </c>
      <c r="G20" s="9" t="s">
        <v>56</v>
      </c>
      <c r="H20" s="7">
        <v>2006</v>
      </c>
      <c r="I20" s="9" t="s">
        <v>309</v>
      </c>
      <c r="J20" s="11">
        <v>1</v>
      </c>
      <c r="K20" s="11" t="s">
        <v>125</v>
      </c>
      <c r="L20" s="19">
        <v>29800000</v>
      </c>
      <c r="M20" s="31" t="s">
        <v>313</v>
      </c>
      <c r="N20" s="9"/>
      <c r="O20" s="9" t="s">
        <v>349</v>
      </c>
      <c r="P20" s="7"/>
      <c r="Q20" s="30" t="s">
        <v>391</v>
      </c>
    </row>
    <row r="21" spans="1:17" ht="31.5" x14ac:dyDescent="0.25">
      <c r="A21" s="7">
        <f t="shared" si="0"/>
        <v>9</v>
      </c>
      <c r="B21" s="567" t="s">
        <v>305</v>
      </c>
      <c r="C21" s="567"/>
      <c r="D21" s="31" t="s">
        <v>312</v>
      </c>
      <c r="E21" s="31" t="s">
        <v>313</v>
      </c>
      <c r="F21" s="7">
        <v>125</v>
      </c>
      <c r="G21" s="9" t="s">
        <v>56</v>
      </c>
      <c r="H21" s="7">
        <v>2006</v>
      </c>
      <c r="I21" s="9" t="s">
        <v>309</v>
      </c>
      <c r="J21" s="11">
        <v>1</v>
      </c>
      <c r="K21" s="11" t="s">
        <v>67</v>
      </c>
      <c r="L21" s="19">
        <v>14900000</v>
      </c>
      <c r="M21" s="31" t="s">
        <v>313</v>
      </c>
      <c r="N21" s="9"/>
      <c r="O21" s="9" t="s">
        <v>350</v>
      </c>
      <c r="P21" s="9" t="s">
        <v>436</v>
      </c>
      <c r="Q21" s="9" t="s">
        <v>437</v>
      </c>
    </row>
    <row r="22" spans="1:17" ht="47.25" x14ac:dyDescent="0.25">
      <c r="A22" s="7">
        <f t="shared" si="0"/>
        <v>10</v>
      </c>
      <c r="B22" s="567" t="s">
        <v>305</v>
      </c>
      <c r="C22" s="567"/>
      <c r="D22" s="31" t="s">
        <v>331</v>
      </c>
      <c r="E22" s="31" t="s">
        <v>332</v>
      </c>
      <c r="F22" s="7">
        <v>110</v>
      </c>
      <c r="G22" s="9" t="s">
        <v>56</v>
      </c>
      <c r="H22" s="7">
        <v>2009</v>
      </c>
      <c r="I22" s="9" t="s">
        <v>309</v>
      </c>
      <c r="J22" s="11">
        <v>1</v>
      </c>
      <c r="K22" s="11" t="s">
        <v>58</v>
      </c>
      <c r="L22" s="19">
        <v>11595000</v>
      </c>
      <c r="M22" s="31" t="s">
        <v>332</v>
      </c>
      <c r="N22" s="9"/>
      <c r="O22" s="9" t="s">
        <v>358</v>
      </c>
      <c r="P22" s="7"/>
      <c r="Q22" s="30" t="s">
        <v>68</v>
      </c>
    </row>
    <row r="23" spans="1:17" ht="47.25" x14ac:dyDescent="0.25">
      <c r="A23" s="7">
        <f t="shared" si="0"/>
        <v>11</v>
      </c>
      <c r="B23" s="567" t="s">
        <v>305</v>
      </c>
      <c r="C23" s="567"/>
      <c r="D23" s="31" t="s">
        <v>351</v>
      </c>
      <c r="E23" s="31" t="s">
        <v>353</v>
      </c>
      <c r="F23" s="9" t="s">
        <v>352</v>
      </c>
      <c r="G23" s="9" t="s">
        <v>56</v>
      </c>
      <c r="H23" s="7">
        <v>2012</v>
      </c>
      <c r="I23" s="9" t="s">
        <v>309</v>
      </c>
      <c r="J23" s="11">
        <v>1</v>
      </c>
      <c r="K23" s="11" t="s">
        <v>97</v>
      </c>
      <c r="L23" s="19">
        <v>11059000</v>
      </c>
      <c r="M23" s="31" t="s">
        <v>353</v>
      </c>
      <c r="N23" s="9"/>
      <c r="O23" s="9" t="s">
        <v>367</v>
      </c>
      <c r="P23" s="7"/>
      <c r="Q23" s="30" t="s">
        <v>392</v>
      </c>
    </row>
    <row r="24" spans="1:17" ht="47.25" x14ac:dyDescent="0.25">
      <c r="A24" s="7">
        <f t="shared" si="0"/>
        <v>12</v>
      </c>
      <c r="B24" s="567" t="s">
        <v>305</v>
      </c>
      <c r="C24" s="567"/>
      <c r="D24" s="31" t="s">
        <v>354</v>
      </c>
      <c r="E24" s="31" t="s">
        <v>356</v>
      </c>
      <c r="F24" s="9" t="s">
        <v>355</v>
      </c>
      <c r="G24" s="9" t="s">
        <v>56</v>
      </c>
      <c r="H24" s="7">
        <v>2013</v>
      </c>
      <c r="I24" s="9" t="s">
        <v>309</v>
      </c>
      <c r="J24" s="11">
        <v>1</v>
      </c>
      <c r="K24" s="11" t="s">
        <v>166</v>
      </c>
      <c r="L24" s="19">
        <f>30486720/2</f>
        <v>15243360</v>
      </c>
      <c r="M24" s="31" t="s">
        <v>356</v>
      </c>
      <c r="N24" s="9"/>
      <c r="O24" s="9" t="s">
        <v>368</v>
      </c>
      <c r="P24" s="7"/>
      <c r="Q24" s="30" t="s">
        <v>388</v>
      </c>
    </row>
    <row r="25" spans="1:17" ht="31.5" x14ac:dyDescent="0.25">
      <c r="A25" s="7">
        <f t="shared" si="0"/>
        <v>13</v>
      </c>
      <c r="B25" s="567" t="s">
        <v>305</v>
      </c>
      <c r="C25" s="567"/>
      <c r="D25" s="31" t="s">
        <v>354</v>
      </c>
      <c r="E25" s="31" t="s">
        <v>356</v>
      </c>
      <c r="F25" s="9" t="s">
        <v>355</v>
      </c>
      <c r="G25" s="9" t="s">
        <v>56</v>
      </c>
      <c r="H25" s="7">
        <v>2013</v>
      </c>
      <c r="I25" s="9" t="s">
        <v>309</v>
      </c>
      <c r="J25" s="11">
        <v>1</v>
      </c>
      <c r="K25" s="11" t="s">
        <v>110</v>
      </c>
      <c r="L25" s="19">
        <f>30486720/2</f>
        <v>15243360</v>
      </c>
      <c r="M25" s="31" t="s">
        <v>356</v>
      </c>
      <c r="N25" s="9"/>
      <c r="O25" s="9" t="s">
        <v>369</v>
      </c>
      <c r="P25" s="7"/>
      <c r="Q25" s="30" t="s">
        <v>378</v>
      </c>
    </row>
    <row r="26" spans="1:17" ht="47.25" x14ac:dyDescent="0.25">
      <c r="A26" s="7">
        <f t="shared" si="0"/>
        <v>14</v>
      </c>
      <c r="B26" s="567" t="s">
        <v>305</v>
      </c>
      <c r="C26" s="567"/>
      <c r="D26" s="31" t="s">
        <v>359</v>
      </c>
      <c r="E26" s="31" t="s">
        <v>360</v>
      </c>
      <c r="F26" s="9" t="s">
        <v>355</v>
      </c>
      <c r="G26" s="9" t="s">
        <v>56</v>
      </c>
      <c r="H26" s="7"/>
      <c r="I26" s="9" t="s">
        <v>309</v>
      </c>
      <c r="J26" s="11">
        <v>1</v>
      </c>
      <c r="K26" s="11" t="s">
        <v>149</v>
      </c>
      <c r="L26" s="19">
        <f>65071844/4</f>
        <v>16267961</v>
      </c>
      <c r="M26" s="31" t="s">
        <v>360</v>
      </c>
      <c r="N26" s="9"/>
      <c r="O26" s="9" t="s">
        <v>370</v>
      </c>
      <c r="P26" s="7"/>
      <c r="Q26" s="42" t="s">
        <v>377</v>
      </c>
    </row>
    <row r="27" spans="1:17" x14ac:dyDescent="0.25">
      <c r="A27" s="73"/>
      <c r="B27" s="74"/>
      <c r="C27" s="74"/>
      <c r="D27" s="98"/>
      <c r="E27" s="98"/>
      <c r="F27" s="77"/>
      <c r="G27" s="77"/>
      <c r="H27" s="73"/>
      <c r="I27" s="77"/>
      <c r="J27" s="78"/>
      <c r="K27" s="78"/>
      <c r="L27" s="99"/>
      <c r="M27" s="98"/>
      <c r="N27" s="77"/>
      <c r="O27" s="77"/>
      <c r="P27" s="73"/>
      <c r="Q27" s="76"/>
    </row>
    <row r="28" spans="1:17" x14ac:dyDescent="0.25">
      <c r="A28" s="66"/>
      <c r="B28" s="67"/>
      <c r="C28" s="67"/>
      <c r="D28" s="100"/>
      <c r="E28" s="100"/>
      <c r="F28" s="70"/>
      <c r="G28" s="70"/>
      <c r="H28" s="66"/>
      <c r="I28" s="70"/>
      <c r="J28" s="71"/>
      <c r="K28" s="71"/>
      <c r="L28" s="101"/>
      <c r="M28" s="100"/>
      <c r="N28" s="70"/>
      <c r="O28" s="70"/>
      <c r="P28" s="66"/>
      <c r="Q28" s="80"/>
    </row>
    <row r="29" spans="1:17" x14ac:dyDescent="0.25">
      <c r="A29" s="66"/>
      <c r="B29" s="67"/>
      <c r="C29" s="67"/>
      <c r="D29" s="100"/>
      <c r="E29" s="100"/>
      <c r="F29" s="70"/>
      <c r="G29" s="70"/>
      <c r="H29" s="66"/>
      <c r="I29" s="70"/>
      <c r="J29" s="71"/>
      <c r="K29" s="71"/>
      <c r="L29" s="101"/>
      <c r="M29" s="100"/>
      <c r="N29" s="70"/>
      <c r="O29" s="70"/>
      <c r="P29" s="66"/>
      <c r="Q29" s="80"/>
    </row>
    <row r="30" spans="1:17" x14ac:dyDescent="0.25">
      <c r="A30" s="66"/>
      <c r="B30" s="67"/>
      <c r="C30" s="67"/>
      <c r="D30" s="100"/>
      <c r="E30" s="100"/>
      <c r="F30" s="70"/>
      <c r="G30" s="70"/>
      <c r="H30" s="66"/>
      <c r="I30" s="70"/>
      <c r="J30" s="71"/>
      <c r="K30" s="71"/>
      <c r="L30" s="101"/>
      <c r="M30" s="100"/>
      <c r="N30" s="70"/>
      <c r="O30" s="70"/>
      <c r="P30" s="66"/>
      <c r="Q30" s="80"/>
    </row>
    <row r="31" spans="1:17" x14ac:dyDescent="0.25">
      <c r="A31" s="66"/>
      <c r="B31" s="67"/>
      <c r="C31" s="67"/>
      <c r="D31" s="100"/>
      <c r="E31" s="100"/>
      <c r="F31" s="70"/>
      <c r="G31" s="70"/>
      <c r="H31" s="66"/>
      <c r="I31" s="70"/>
      <c r="J31" s="71"/>
      <c r="K31" s="71"/>
      <c r="L31" s="101"/>
      <c r="M31" s="100"/>
      <c r="N31" s="70"/>
      <c r="O31" s="70"/>
      <c r="P31" s="66"/>
      <c r="Q31" s="80"/>
    </row>
    <row r="32" spans="1:17" x14ac:dyDescent="0.25">
      <c r="A32" s="66"/>
      <c r="B32" s="67"/>
      <c r="C32" s="67"/>
      <c r="D32" s="100"/>
      <c r="E32" s="100"/>
      <c r="F32" s="70"/>
      <c r="G32" s="70"/>
      <c r="H32" s="66"/>
      <c r="I32" s="70"/>
      <c r="J32" s="71"/>
      <c r="K32" s="71"/>
      <c r="L32" s="101"/>
      <c r="M32" s="100"/>
      <c r="N32" s="70"/>
      <c r="O32" s="70"/>
      <c r="P32" s="66"/>
      <c r="Q32" s="80"/>
    </row>
    <row r="33" spans="1:17" x14ac:dyDescent="0.25">
      <c r="A33" s="66"/>
      <c r="B33" s="67"/>
      <c r="C33" s="67"/>
      <c r="D33" s="100"/>
      <c r="E33" s="100"/>
      <c r="F33" s="70"/>
      <c r="G33" s="70"/>
      <c r="H33" s="66"/>
      <c r="I33" s="70"/>
      <c r="J33" s="71"/>
      <c r="K33" s="71"/>
      <c r="L33" s="101"/>
      <c r="M33" s="100"/>
      <c r="N33" s="70"/>
      <c r="O33" s="70"/>
      <c r="P33" s="66"/>
      <c r="Q33" s="80"/>
    </row>
    <row r="34" spans="1:17" x14ac:dyDescent="0.25">
      <c r="A34" s="66"/>
      <c r="B34" s="67"/>
      <c r="C34" s="67"/>
      <c r="D34" s="100"/>
      <c r="E34" s="100"/>
      <c r="F34" s="70"/>
      <c r="G34" s="70"/>
      <c r="H34" s="66"/>
      <c r="I34" s="70"/>
      <c r="J34" s="71"/>
      <c r="K34" s="71"/>
      <c r="L34" s="101"/>
      <c r="M34" s="100"/>
      <c r="N34" s="70"/>
      <c r="O34" s="70"/>
      <c r="P34" s="66"/>
      <c r="Q34" s="80"/>
    </row>
    <row r="35" spans="1:17" x14ac:dyDescent="0.25">
      <c r="A35" s="66"/>
      <c r="B35" s="67"/>
      <c r="C35" s="67"/>
      <c r="D35" s="100"/>
      <c r="E35" s="100"/>
      <c r="F35" s="70"/>
      <c r="G35" s="70"/>
      <c r="H35" s="66"/>
      <c r="I35" s="70"/>
      <c r="J35" s="71"/>
      <c r="K35" s="71"/>
      <c r="L35" s="101"/>
      <c r="M35" s="100"/>
      <c r="N35" s="70"/>
      <c r="O35" s="70"/>
      <c r="P35" s="66"/>
      <c r="Q35" s="80"/>
    </row>
    <row r="36" spans="1:17" x14ac:dyDescent="0.25">
      <c r="A36" s="103" t="s">
        <v>7</v>
      </c>
      <c r="B36" s="538" t="s">
        <v>8</v>
      </c>
      <c r="C36" s="538"/>
      <c r="D36" s="103" t="s">
        <v>9</v>
      </c>
      <c r="E36" s="103" t="s">
        <v>9</v>
      </c>
      <c r="F36" s="541" t="s">
        <v>11</v>
      </c>
      <c r="G36" s="541" t="s">
        <v>12</v>
      </c>
      <c r="H36" s="103" t="s">
        <v>13</v>
      </c>
      <c r="I36" s="103"/>
      <c r="J36" s="568" t="s">
        <v>15</v>
      </c>
      <c r="K36" s="569"/>
      <c r="L36" s="103" t="s">
        <v>16</v>
      </c>
      <c r="M36" s="544" t="s">
        <v>333</v>
      </c>
      <c r="N36" s="544"/>
      <c r="O36" s="544"/>
      <c r="P36" s="544"/>
      <c r="Q36" s="544"/>
    </row>
    <row r="37" spans="1:17" x14ac:dyDescent="0.25">
      <c r="A37" s="542" t="s">
        <v>19</v>
      </c>
      <c r="B37" s="546" t="s">
        <v>20</v>
      </c>
      <c r="C37" s="547"/>
      <c r="D37" s="542" t="s">
        <v>21</v>
      </c>
      <c r="E37" s="542" t="s">
        <v>376</v>
      </c>
      <c r="F37" s="542"/>
      <c r="G37" s="542"/>
      <c r="H37" s="104" t="s">
        <v>23</v>
      </c>
      <c r="I37" s="104" t="s">
        <v>14</v>
      </c>
      <c r="J37" s="104" t="s">
        <v>357</v>
      </c>
      <c r="K37" s="104" t="s">
        <v>333</v>
      </c>
      <c r="L37" s="104" t="s">
        <v>25</v>
      </c>
      <c r="M37" s="541" t="s">
        <v>334</v>
      </c>
      <c r="N37" s="541" t="s">
        <v>335</v>
      </c>
      <c r="O37" s="541" t="s">
        <v>336</v>
      </c>
      <c r="P37" s="541" t="s">
        <v>337</v>
      </c>
      <c r="Q37" s="541" t="s">
        <v>339</v>
      </c>
    </row>
    <row r="38" spans="1:17" x14ac:dyDescent="0.25">
      <c r="A38" s="543"/>
      <c r="B38" s="548"/>
      <c r="C38" s="549"/>
      <c r="D38" s="543"/>
      <c r="E38" s="543"/>
      <c r="F38" s="543"/>
      <c r="G38" s="543"/>
      <c r="H38" s="105" t="s">
        <v>30</v>
      </c>
      <c r="I38" s="105"/>
      <c r="J38" s="105" t="s">
        <v>24</v>
      </c>
      <c r="K38" s="105" t="s">
        <v>31</v>
      </c>
      <c r="L38" s="105" t="s">
        <v>32</v>
      </c>
      <c r="M38" s="543"/>
      <c r="N38" s="543"/>
      <c r="O38" s="543"/>
      <c r="P38" s="543"/>
      <c r="Q38" s="543"/>
    </row>
    <row r="39" spans="1:17" x14ac:dyDescent="0.25">
      <c r="A39" s="47">
        <v>1</v>
      </c>
      <c r="B39" s="561">
        <v>2</v>
      </c>
      <c r="C39" s="562"/>
      <c r="D39" s="106">
        <v>3</v>
      </c>
      <c r="E39" s="106">
        <v>4</v>
      </c>
      <c r="F39" s="107">
        <v>5</v>
      </c>
      <c r="G39" s="107">
        <v>6</v>
      </c>
      <c r="H39" s="104">
        <v>7</v>
      </c>
      <c r="I39" s="104">
        <v>8</v>
      </c>
      <c r="J39" s="104">
        <v>9</v>
      </c>
      <c r="K39" s="104">
        <v>10</v>
      </c>
      <c r="L39" s="104">
        <v>11</v>
      </c>
      <c r="M39" s="104">
        <v>12</v>
      </c>
      <c r="N39" s="104">
        <v>13</v>
      </c>
      <c r="O39" s="104">
        <v>14</v>
      </c>
      <c r="P39" s="104">
        <v>15</v>
      </c>
      <c r="Q39" s="104">
        <v>16</v>
      </c>
    </row>
    <row r="40" spans="1:17" ht="47.25" x14ac:dyDescent="0.25">
      <c r="A40" s="7">
        <f>A26+1</f>
        <v>15</v>
      </c>
      <c r="B40" s="567" t="s">
        <v>305</v>
      </c>
      <c r="C40" s="567"/>
      <c r="D40" s="31" t="s">
        <v>359</v>
      </c>
      <c r="E40" s="31" t="s">
        <v>360</v>
      </c>
      <c r="F40" s="9" t="s">
        <v>355</v>
      </c>
      <c r="G40" s="9" t="s">
        <v>56</v>
      </c>
      <c r="H40" s="7"/>
      <c r="I40" s="9" t="s">
        <v>309</v>
      </c>
      <c r="J40" s="11">
        <v>1</v>
      </c>
      <c r="K40" s="11" t="s">
        <v>137</v>
      </c>
      <c r="L40" s="19">
        <f t="shared" ref="L40:L42" si="1">65071844/4</f>
        <v>16267961</v>
      </c>
      <c r="M40" s="31" t="s">
        <v>360</v>
      </c>
      <c r="N40" s="9"/>
      <c r="O40" s="9" t="s">
        <v>371</v>
      </c>
      <c r="P40" s="7"/>
      <c r="Q40" s="9" t="s">
        <v>219</v>
      </c>
    </row>
    <row r="41" spans="1:17" ht="63" x14ac:dyDescent="0.25">
      <c r="A41" s="7">
        <f t="shared" si="0"/>
        <v>16</v>
      </c>
      <c r="B41" s="567" t="s">
        <v>305</v>
      </c>
      <c r="C41" s="567"/>
      <c r="D41" s="31" t="s">
        <v>359</v>
      </c>
      <c r="E41" s="31" t="s">
        <v>360</v>
      </c>
      <c r="F41" s="9" t="s">
        <v>355</v>
      </c>
      <c r="G41" s="9" t="s">
        <v>56</v>
      </c>
      <c r="H41" s="7"/>
      <c r="I41" s="9" t="s">
        <v>309</v>
      </c>
      <c r="J41" s="11">
        <v>1</v>
      </c>
      <c r="K41" s="11" t="s">
        <v>111</v>
      </c>
      <c r="L41" s="19">
        <f t="shared" si="1"/>
        <v>16267961</v>
      </c>
      <c r="M41" s="31" t="s">
        <v>360</v>
      </c>
      <c r="N41" s="9"/>
      <c r="O41" s="9" t="s">
        <v>372</v>
      </c>
      <c r="P41" s="7"/>
      <c r="Q41" s="30" t="s">
        <v>387</v>
      </c>
    </row>
    <row r="42" spans="1:17" ht="79.5" customHeight="1" x14ac:dyDescent="0.25">
      <c r="A42" s="7">
        <f t="shared" si="0"/>
        <v>17</v>
      </c>
      <c r="B42" s="567" t="s">
        <v>305</v>
      </c>
      <c r="C42" s="567"/>
      <c r="D42" s="31" t="s">
        <v>359</v>
      </c>
      <c r="E42" s="31" t="s">
        <v>360</v>
      </c>
      <c r="F42" s="9" t="s">
        <v>355</v>
      </c>
      <c r="G42" s="9" t="s">
        <v>56</v>
      </c>
      <c r="H42" s="7"/>
      <c r="I42" s="9" t="s">
        <v>309</v>
      </c>
      <c r="J42" s="11">
        <v>1</v>
      </c>
      <c r="K42" s="11" t="s">
        <v>60</v>
      </c>
      <c r="L42" s="19">
        <f t="shared" si="1"/>
        <v>16267961</v>
      </c>
      <c r="M42" s="31" t="s">
        <v>360</v>
      </c>
      <c r="N42" s="9"/>
      <c r="O42" s="9" t="s">
        <v>373</v>
      </c>
      <c r="P42" s="7"/>
      <c r="Q42" s="30" t="s">
        <v>386</v>
      </c>
    </row>
    <row r="43" spans="1:17" ht="31.5" x14ac:dyDescent="0.25">
      <c r="A43" s="7">
        <f t="shared" si="0"/>
        <v>18</v>
      </c>
      <c r="B43" s="567" t="s">
        <v>305</v>
      </c>
      <c r="C43" s="567"/>
      <c r="D43" s="31" t="s">
        <v>361</v>
      </c>
      <c r="E43" s="31" t="s">
        <v>362</v>
      </c>
      <c r="F43" s="9" t="s">
        <v>355</v>
      </c>
      <c r="G43" s="9" t="s">
        <v>56</v>
      </c>
      <c r="H43" s="7"/>
      <c r="I43" s="9" t="s">
        <v>309</v>
      </c>
      <c r="J43" s="11">
        <v>1</v>
      </c>
      <c r="K43" s="11" t="s">
        <v>89</v>
      </c>
      <c r="L43" s="19">
        <f>34537624/2</f>
        <v>17268812</v>
      </c>
      <c r="M43" s="31" t="s">
        <v>362</v>
      </c>
      <c r="N43" s="9"/>
      <c r="O43" s="9" t="s">
        <v>374</v>
      </c>
      <c r="P43" s="7"/>
      <c r="Q43" s="30" t="s">
        <v>141</v>
      </c>
    </row>
    <row r="44" spans="1:17" ht="47.25" x14ac:dyDescent="0.25">
      <c r="A44" s="7">
        <f t="shared" si="0"/>
        <v>19</v>
      </c>
      <c r="B44" s="567" t="s">
        <v>305</v>
      </c>
      <c r="C44" s="567"/>
      <c r="D44" s="31" t="s">
        <v>361</v>
      </c>
      <c r="E44" s="31" t="s">
        <v>362</v>
      </c>
      <c r="F44" s="9" t="s">
        <v>355</v>
      </c>
      <c r="G44" s="9" t="s">
        <v>56</v>
      </c>
      <c r="H44" s="7"/>
      <c r="I44" s="9" t="s">
        <v>309</v>
      </c>
      <c r="J44" s="11">
        <v>1</v>
      </c>
      <c r="K44" s="11" t="s">
        <v>89</v>
      </c>
      <c r="L44" s="19">
        <f>34537624/2</f>
        <v>17268812</v>
      </c>
      <c r="M44" s="31" t="s">
        <v>362</v>
      </c>
      <c r="N44" s="9"/>
      <c r="O44" s="9" t="s">
        <v>375</v>
      </c>
      <c r="P44" s="7"/>
      <c r="Q44" s="30" t="s">
        <v>385</v>
      </c>
    </row>
    <row r="45" spans="1:17" x14ac:dyDescent="0.25">
      <c r="O45" s="29"/>
    </row>
    <row r="46" spans="1:17" x14ac:dyDescent="0.25">
      <c r="C46" s="5" t="s">
        <v>36</v>
      </c>
      <c r="M46" s="23" t="s">
        <v>575</v>
      </c>
      <c r="N46" s="23"/>
      <c r="O46" s="23"/>
    </row>
    <row r="47" spans="1:17" x14ac:dyDescent="0.25">
      <c r="C47" s="5"/>
      <c r="M47" s="5"/>
      <c r="N47" s="5"/>
      <c r="O47" s="5"/>
    </row>
    <row r="48" spans="1:17" x14ac:dyDescent="0.25">
      <c r="C48" s="5" t="s">
        <v>572</v>
      </c>
      <c r="M48" s="5" t="s">
        <v>580</v>
      </c>
      <c r="N48" s="5"/>
      <c r="O48" s="5"/>
    </row>
    <row r="49" spans="2:15" x14ac:dyDescent="0.25">
      <c r="C49" s="5"/>
      <c r="M49" s="5"/>
      <c r="N49" s="5"/>
      <c r="O49" s="5"/>
    </row>
    <row r="50" spans="2:15" x14ac:dyDescent="0.25">
      <c r="C50" s="5"/>
      <c r="M50" s="5"/>
      <c r="N50" s="5"/>
      <c r="O50" s="5"/>
    </row>
    <row r="51" spans="2:15" x14ac:dyDescent="0.25">
      <c r="C51" s="5"/>
      <c r="M51" s="5"/>
      <c r="N51" s="5"/>
      <c r="O51" s="5"/>
    </row>
    <row r="52" spans="2:15" x14ac:dyDescent="0.25">
      <c r="C52" s="6" t="s">
        <v>573</v>
      </c>
      <c r="M52" s="6" t="s">
        <v>576</v>
      </c>
      <c r="N52" s="6"/>
      <c r="O52" s="6"/>
    </row>
    <row r="53" spans="2:15" x14ac:dyDescent="0.25">
      <c r="C53" s="5" t="s">
        <v>39</v>
      </c>
      <c r="M53" s="23" t="str">
        <f>'BARANG INVENTARIS KANTOR'!L54</f>
        <v>NIP. 19721124 200604 2 005</v>
      </c>
      <c r="N53" s="23"/>
      <c r="O53" s="23"/>
    </row>
    <row r="54" spans="2:15" x14ac:dyDescent="0.25">
      <c r="C54" s="23" t="s">
        <v>574</v>
      </c>
    </row>
    <row r="55" spans="2:15" x14ac:dyDescent="0.25">
      <c r="L55" s="24"/>
    </row>
    <row r="56" spans="2:15" x14ac:dyDescent="0.25">
      <c r="B56" s="21"/>
      <c r="L56" s="25"/>
    </row>
    <row r="57" spans="2:15" x14ac:dyDescent="0.25">
      <c r="B57" s="22"/>
    </row>
    <row r="58" spans="2:15" x14ac:dyDescent="0.25">
      <c r="B58" s="22"/>
    </row>
  </sheetData>
  <mergeCells count="54">
    <mergeCell ref="B16:C16"/>
    <mergeCell ref="G9:G11"/>
    <mergeCell ref="A37:A38"/>
    <mergeCell ref="B37:C38"/>
    <mergeCell ref="D37:D38"/>
    <mergeCell ref="B23:C23"/>
    <mergeCell ref="B25:C25"/>
    <mergeCell ref="B12:C12"/>
    <mergeCell ref="B13:C13"/>
    <mergeCell ref="B14:C14"/>
    <mergeCell ref="B15:C15"/>
    <mergeCell ref="B17:C17"/>
    <mergeCell ref="B18:C18"/>
    <mergeCell ref="B19:C19"/>
    <mergeCell ref="B20:C20"/>
    <mergeCell ref="B21:C21"/>
    <mergeCell ref="M37:M38"/>
    <mergeCell ref="N37:N38"/>
    <mergeCell ref="B36:C36"/>
    <mergeCell ref="F36:F38"/>
    <mergeCell ref="G36:G38"/>
    <mergeCell ref="J36:K36"/>
    <mergeCell ref="M36:Q36"/>
    <mergeCell ref="O37:O38"/>
    <mergeCell ref="P37:P38"/>
    <mergeCell ref="Q37:Q38"/>
    <mergeCell ref="E37:E38"/>
    <mergeCell ref="B22:C22"/>
    <mergeCell ref="B42:C42"/>
    <mergeCell ref="B44:C44"/>
    <mergeCell ref="B24:C24"/>
    <mergeCell ref="B26:C26"/>
    <mergeCell ref="B40:C40"/>
    <mergeCell ref="B41:C41"/>
    <mergeCell ref="B43:C43"/>
    <mergeCell ref="B39:C39"/>
    <mergeCell ref="M9:Q9"/>
    <mergeCell ref="A10:A11"/>
    <mergeCell ref="B10:C11"/>
    <mergeCell ref="D10:D11"/>
    <mergeCell ref="F9:F11"/>
    <mergeCell ref="M10:M11"/>
    <mergeCell ref="N10:N11"/>
    <mergeCell ref="O10:O11"/>
    <mergeCell ref="P10:P11"/>
    <mergeCell ref="Q10:Q11"/>
    <mergeCell ref="J9:K9"/>
    <mergeCell ref="E10:E11"/>
    <mergeCell ref="I10:I11"/>
    <mergeCell ref="A3:B3"/>
    <mergeCell ref="A4:B4"/>
    <mergeCell ref="A5:B5"/>
    <mergeCell ref="A6:B6"/>
    <mergeCell ref="B9:C9"/>
  </mergeCells>
  <printOptions horizontalCentered="1"/>
  <pageMargins left="0.11811023622047245" right="0.35433070866141736" top="0.19685039370078741" bottom="0.15748031496062992" header="0" footer="0"/>
  <pageSetup paperSize="14" scale="65" orientation="landscape" horizontalDpi="180" verticalDpi="180" r:id="rId1"/>
  <headerFooter alignWithMargins="0">
    <oddFooter>&amp;L&amp;9&amp;F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58"/>
  <sheetViews>
    <sheetView view="pageBreakPreview" topLeftCell="A40" zoomScaleNormal="55" workbookViewId="0">
      <selection activeCell="L51" sqref="L51"/>
    </sheetView>
  </sheetViews>
  <sheetFormatPr defaultRowHeight="15.75" x14ac:dyDescent="0.25"/>
  <cols>
    <col min="1" max="1" width="4.875" customWidth="1"/>
    <col min="2" max="2" width="7" customWidth="1"/>
    <col min="3" max="3" width="13.625" customWidth="1"/>
    <col min="4" max="5" width="12.125" customWidth="1"/>
    <col min="6" max="6" width="9.625" customWidth="1"/>
    <col min="7" max="7" width="12.875" customWidth="1"/>
    <col min="8" max="8" width="14" customWidth="1"/>
    <col min="9" max="9" width="16.875" customWidth="1"/>
    <col min="10" max="11" width="12" customWidth="1"/>
    <col min="12" max="12" width="13.625" customWidth="1"/>
    <col min="13" max="13" width="17.5" customWidth="1"/>
    <col min="15" max="15" width="11.5" customWidth="1"/>
    <col min="16" max="16" width="11" customWidth="1"/>
    <col min="17" max="17" width="10.625" customWidth="1"/>
    <col min="260" max="260" width="7" customWidth="1"/>
    <col min="261" max="261" width="17.75" customWidth="1"/>
    <col min="262" max="262" width="10.875" customWidth="1"/>
    <col min="263" max="263" width="11.25" customWidth="1"/>
    <col min="264" max="264" width="11.5" customWidth="1"/>
    <col min="265" max="265" width="11.625" customWidth="1"/>
    <col min="266" max="266" width="15.5" customWidth="1"/>
    <col min="267" max="267" width="18.75" customWidth="1"/>
    <col min="268" max="268" width="15.375" customWidth="1"/>
    <col min="269" max="269" width="15.125" customWidth="1"/>
    <col min="271" max="271" width="11" customWidth="1"/>
    <col min="272" max="272" width="10.625" customWidth="1"/>
    <col min="273" max="273" width="9.625" customWidth="1"/>
    <col min="516" max="516" width="7" customWidth="1"/>
    <col min="517" max="517" width="17.75" customWidth="1"/>
    <col min="518" max="518" width="10.875" customWidth="1"/>
    <col min="519" max="519" width="11.25" customWidth="1"/>
    <col min="520" max="520" width="11.5" customWidth="1"/>
    <col min="521" max="521" width="11.625" customWidth="1"/>
    <col min="522" max="522" width="15.5" customWidth="1"/>
    <col min="523" max="523" width="18.75" customWidth="1"/>
    <col min="524" max="524" width="15.375" customWidth="1"/>
    <col min="525" max="525" width="15.125" customWidth="1"/>
    <col min="527" max="527" width="11" customWidth="1"/>
    <col min="528" max="528" width="10.625" customWidth="1"/>
    <col min="529" max="529" width="9.625" customWidth="1"/>
    <col min="772" max="772" width="7" customWidth="1"/>
    <col min="773" max="773" width="17.75" customWidth="1"/>
    <col min="774" max="774" width="10.875" customWidth="1"/>
    <col min="775" max="775" width="11.25" customWidth="1"/>
    <col min="776" max="776" width="11.5" customWidth="1"/>
    <col min="777" max="777" width="11.625" customWidth="1"/>
    <col min="778" max="778" width="15.5" customWidth="1"/>
    <col min="779" max="779" width="18.75" customWidth="1"/>
    <col min="780" max="780" width="15.375" customWidth="1"/>
    <col min="781" max="781" width="15.125" customWidth="1"/>
    <col min="783" max="783" width="11" customWidth="1"/>
    <col min="784" max="784" width="10.625" customWidth="1"/>
    <col min="785" max="785" width="9.625" customWidth="1"/>
    <col min="1028" max="1028" width="7" customWidth="1"/>
    <col min="1029" max="1029" width="17.75" customWidth="1"/>
    <col min="1030" max="1030" width="10.875" customWidth="1"/>
    <col min="1031" max="1031" width="11.25" customWidth="1"/>
    <col min="1032" max="1032" width="11.5" customWidth="1"/>
    <col min="1033" max="1033" width="11.625" customWidth="1"/>
    <col min="1034" max="1034" width="15.5" customWidth="1"/>
    <col min="1035" max="1035" width="18.75" customWidth="1"/>
    <col min="1036" max="1036" width="15.375" customWidth="1"/>
    <col min="1037" max="1037" width="15.125" customWidth="1"/>
    <col min="1039" max="1039" width="11" customWidth="1"/>
    <col min="1040" max="1040" width="10.625" customWidth="1"/>
    <col min="1041" max="1041" width="9.625" customWidth="1"/>
    <col min="1284" max="1284" width="7" customWidth="1"/>
    <col min="1285" max="1285" width="17.75" customWidth="1"/>
    <col min="1286" max="1286" width="10.875" customWidth="1"/>
    <col min="1287" max="1287" width="11.25" customWidth="1"/>
    <col min="1288" max="1288" width="11.5" customWidth="1"/>
    <col min="1289" max="1289" width="11.625" customWidth="1"/>
    <col min="1290" max="1290" width="15.5" customWidth="1"/>
    <col min="1291" max="1291" width="18.75" customWidth="1"/>
    <col min="1292" max="1292" width="15.375" customWidth="1"/>
    <col min="1293" max="1293" width="15.125" customWidth="1"/>
    <col min="1295" max="1295" width="11" customWidth="1"/>
    <col min="1296" max="1296" width="10.625" customWidth="1"/>
    <col min="1297" max="1297" width="9.625" customWidth="1"/>
    <col min="1540" max="1540" width="7" customWidth="1"/>
    <col min="1541" max="1541" width="17.75" customWidth="1"/>
    <col min="1542" max="1542" width="10.875" customWidth="1"/>
    <col min="1543" max="1543" width="11.25" customWidth="1"/>
    <col min="1544" max="1544" width="11.5" customWidth="1"/>
    <col min="1545" max="1545" width="11.625" customWidth="1"/>
    <col min="1546" max="1546" width="15.5" customWidth="1"/>
    <col min="1547" max="1547" width="18.75" customWidth="1"/>
    <col min="1548" max="1548" width="15.375" customWidth="1"/>
    <col min="1549" max="1549" width="15.125" customWidth="1"/>
    <col min="1551" max="1551" width="11" customWidth="1"/>
    <col min="1552" max="1552" width="10.625" customWidth="1"/>
    <col min="1553" max="1553" width="9.625" customWidth="1"/>
    <col min="1796" max="1796" width="7" customWidth="1"/>
    <col min="1797" max="1797" width="17.75" customWidth="1"/>
    <col min="1798" max="1798" width="10.875" customWidth="1"/>
    <col min="1799" max="1799" width="11.25" customWidth="1"/>
    <col min="1800" max="1800" width="11.5" customWidth="1"/>
    <col min="1801" max="1801" width="11.625" customWidth="1"/>
    <col min="1802" max="1802" width="15.5" customWidth="1"/>
    <col min="1803" max="1803" width="18.75" customWidth="1"/>
    <col min="1804" max="1804" width="15.375" customWidth="1"/>
    <col min="1805" max="1805" width="15.125" customWidth="1"/>
    <col min="1807" max="1807" width="11" customWidth="1"/>
    <col min="1808" max="1808" width="10.625" customWidth="1"/>
    <col min="1809" max="1809" width="9.625" customWidth="1"/>
    <col min="2052" max="2052" width="7" customWidth="1"/>
    <col min="2053" max="2053" width="17.75" customWidth="1"/>
    <col min="2054" max="2054" width="10.875" customWidth="1"/>
    <col min="2055" max="2055" width="11.25" customWidth="1"/>
    <col min="2056" max="2056" width="11.5" customWidth="1"/>
    <col min="2057" max="2057" width="11.625" customWidth="1"/>
    <col min="2058" max="2058" width="15.5" customWidth="1"/>
    <col min="2059" max="2059" width="18.75" customWidth="1"/>
    <col min="2060" max="2060" width="15.375" customWidth="1"/>
    <col min="2061" max="2061" width="15.125" customWidth="1"/>
    <col min="2063" max="2063" width="11" customWidth="1"/>
    <col min="2064" max="2064" width="10.625" customWidth="1"/>
    <col min="2065" max="2065" width="9.625" customWidth="1"/>
    <col min="2308" max="2308" width="7" customWidth="1"/>
    <col min="2309" max="2309" width="17.75" customWidth="1"/>
    <col min="2310" max="2310" width="10.875" customWidth="1"/>
    <col min="2311" max="2311" width="11.25" customWidth="1"/>
    <col min="2312" max="2312" width="11.5" customWidth="1"/>
    <col min="2313" max="2313" width="11.625" customWidth="1"/>
    <col min="2314" max="2314" width="15.5" customWidth="1"/>
    <col min="2315" max="2315" width="18.75" customWidth="1"/>
    <col min="2316" max="2316" width="15.375" customWidth="1"/>
    <col min="2317" max="2317" width="15.125" customWidth="1"/>
    <col min="2319" max="2319" width="11" customWidth="1"/>
    <col min="2320" max="2320" width="10.625" customWidth="1"/>
    <col min="2321" max="2321" width="9.625" customWidth="1"/>
    <col min="2564" max="2564" width="7" customWidth="1"/>
    <col min="2565" max="2565" width="17.75" customWidth="1"/>
    <col min="2566" max="2566" width="10.875" customWidth="1"/>
    <col min="2567" max="2567" width="11.25" customWidth="1"/>
    <col min="2568" max="2568" width="11.5" customWidth="1"/>
    <col min="2569" max="2569" width="11.625" customWidth="1"/>
    <col min="2570" max="2570" width="15.5" customWidth="1"/>
    <col min="2571" max="2571" width="18.75" customWidth="1"/>
    <col min="2572" max="2572" width="15.375" customWidth="1"/>
    <col min="2573" max="2573" width="15.125" customWidth="1"/>
    <col min="2575" max="2575" width="11" customWidth="1"/>
    <col min="2576" max="2576" width="10.625" customWidth="1"/>
    <col min="2577" max="2577" width="9.625" customWidth="1"/>
    <col min="2820" max="2820" width="7" customWidth="1"/>
    <col min="2821" max="2821" width="17.75" customWidth="1"/>
    <col min="2822" max="2822" width="10.875" customWidth="1"/>
    <col min="2823" max="2823" width="11.25" customWidth="1"/>
    <col min="2824" max="2824" width="11.5" customWidth="1"/>
    <col min="2825" max="2825" width="11.625" customWidth="1"/>
    <col min="2826" max="2826" width="15.5" customWidth="1"/>
    <col min="2827" max="2827" width="18.75" customWidth="1"/>
    <col min="2828" max="2828" width="15.375" customWidth="1"/>
    <col min="2829" max="2829" width="15.125" customWidth="1"/>
    <col min="2831" max="2831" width="11" customWidth="1"/>
    <col min="2832" max="2832" width="10.625" customWidth="1"/>
    <col min="2833" max="2833" width="9.625" customWidth="1"/>
    <col min="3076" max="3076" width="7" customWidth="1"/>
    <col min="3077" max="3077" width="17.75" customWidth="1"/>
    <col min="3078" max="3078" width="10.875" customWidth="1"/>
    <col min="3079" max="3079" width="11.25" customWidth="1"/>
    <col min="3080" max="3080" width="11.5" customWidth="1"/>
    <col min="3081" max="3081" width="11.625" customWidth="1"/>
    <col min="3082" max="3082" width="15.5" customWidth="1"/>
    <col min="3083" max="3083" width="18.75" customWidth="1"/>
    <col min="3084" max="3084" width="15.375" customWidth="1"/>
    <col min="3085" max="3085" width="15.125" customWidth="1"/>
    <col min="3087" max="3087" width="11" customWidth="1"/>
    <col min="3088" max="3088" width="10.625" customWidth="1"/>
    <col min="3089" max="3089" width="9.625" customWidth="1"/>
    <col min="3332" max="3332" width="7" customWidth="1"/>
    <col min="3333" max="3333" width="17.75" customWidth="1"/>
    <col min="3334" max="3334" width="10.875" customWidth="1"/>
    <col min="3335" max="3335" width="11.25" customWidth="1"/>
    <col min="3336" max="3336" width="11.5" customWidth="1"/>
    <col min="3337" max="3337" width="11.625" customWidth="1"/>
    <col min="3338" max="3338" width="15.5" customWidth="1"/>
    <col min="3339" max="3339" width="18.75" customWidth="1"/>
    <col min="3340" max="3340" width="15.375" customWidth="1"/>
    <col min="3341" max="3341" width="15.125" customWidth="1"/>
    <col min="3343" max="3343" width="11" customWidth="1"/>
    <col min="3344" max="3344" width="10.625" customWidth="1"/>
    <col min="3345" max="3345" width="9.625" customWidth="1"/>
    <col min="3588" max="3588" width="7" customWidth="1"/>
    <col min="3589" max="3589" width="17.75" customWidth="1"/>
    <col min="3590" max="3590" width="10.875" customWidth="1"/>
    <col min="3591" max="3591" width="11.25" customWidth="1"/>
    <col min="3592" max="3592" width="11.5" customWidth="1"/>
    <col min="3593" max="3593" width="11.625" customWidth="1"/>
    <col min="3594" max="3594" width="15.5" customWidth="1"/>
    <col min="3595" max="3595" width="18.75" customWidth="1"/>
    <col min="3596" max="3596" width="15.375" customWidth="1"/>
    <col min="3597" max="3597" width="15.125" customWidth="1"/>
    <col min="3599" max="3599" width="11" customWidth="1"/>
    <col min="3600" max="3600" width="10.625" customWidth="1"/>
    <col min="3601" max="3601" width="9.625" customWidth="1"/>
    <col min="3844" max="3844" width="7" customWidth="1"/>
    <col min="3845" max="3845" width="17.75" customWidth="1"/>
    <col min="3846" max="3846" width="10.875" customWidth="1"/>
    <col min="3847" max="3847" width="11.25" customWidth="1"/>
    <col min="3848" max="3848" width="11.5" customWidth="1"/>
    <col min="3849" max="3849" width="11.625" customWidth="1"/>
    <col min="3850" max="3850" width="15.5" customWidth="1"/>
    <col min="3851" max="3851" width="18.75" customWidth="1"/>
    <col min="3852" max="3852" width="15.375" customWidth="1"/>
    <col min="3853" max="3853" width="15.125" customWidth="1"/>
    <col min="3855" max="3855" width="11" customWidth="1"/>
    <col min="3856" max="3856" width="10.625" customWidth="1"/>
    <col min="3857" max="3857" width="9.625" customWidth="1"/>
    <col min="4100" max="4100" width="7" customWidth="1"/>
    <col min="4101" max="4101" width="17.75" customWidth="1"/>
    <col min="4102" max="4102" width="10.875" customWidth="1"/>
    <col min="4103" max="4103" width="11.25" customWidth="1"/>
    <col min="4104" max="4104" width="11.5" customWidth="1"/>
    <col min="4105" max="4105" width="11.625" customWidth="1"/>
    <col min="4106" max="4106" width="15.5" customWidth="1"/>
    <col min="4107" max="4107" width="18.75" customWidth="1"/>
    <col min="4108" max="4108" width="15.375" customWidth="1"/>
    <col min="4109" max="4109" width="15.125" customWidth="1"/>
    <col min="4111" max="4111" width="11" customWidth="1"/>
    <col min="4112" max="4112" width="10.625" customWidth="1"/>
    <col min="4113" max="4113" width="9.625" customWidth="1"/>
    <col min="4356" max="4356" width="7" customWidth="1"/>
    <col min="4357" max="4357" width="17.75" customWidth="1"/>
    <col min="4358" max="4358" width="10.875" customWidth="1"/>
    <col min="4359" max="4359" width="11.25" customWidth="1"/>
    <col min="4360" max="4360" width="11.5" customWidth="1"/>
    <col min="4361" max="4361" width="11.625" customWidth="1"/>
    <col min="4362" max="4362" width="15.5" customWidth="1"/>
    <col min="4363" max="4363" width="18.75" customWidth="1"/>
    <col min="4364" max="4364" width="15.375" customWidth="1"/>
    <col min="4365" max="4365" width="15.125" customWidth="1"/>
    <col min="4367" max="4367" width="11" customWidth="1"/>
    <col min="4368" max="4368" width="10.625" customWidth="1"/>
    <col min="4369" max="4369" width="9.625" customWidth="1"/>
    <col min="4612" max="4612" width="7" customWidth="1"/>
    <col min="4613" max="4613" width="17.75" customWidth="1"/>
    <col min="4614" max="4614" width="10.875" customWidth="1"/>
    <col min="4615" max="4615" width="11.25" customWidth="1"/>
    <col min="4616" max="4616" width="11.5" customWidth="1"/>
    <col min="4617" max="4617" width="11.625" customWidth="1"/>
    <col min="4618" max="4618" width="15.5" customWidth="1"/>
    <col min="4619" max="4619" width="18.75" customWidth="1"/>
    <col min="4620" max="4620" width="15.375" customWidth="1"/>
    <col min="4621" max="4621" width="15.125" customWidth="1"/>
    <col min="4623" max="4623" width="11" customWidth="1"/>
    <col min="4624" max="4624" width="10.625" customWidth="1"/>
    <col min="4625" max="4625" width="9.625" customWidth="1"/>
    <col min="4868" max="4868" width="7" customWidth="1"/>
    <col min="4869" max="4869" width="17.75" customWidth="1"/>
    <col min="4870" max="4870" width="10.875" customWidth="1"/>
    <col min="4871" max="4871" width="11.25" customWidth="1"/>
    <col min="4872" max="4872" width="11.5" customWidth="1"/>
    <col min="4873" max="4873" width="11.625" customWidth="1"/>
    <col min="4874" max="4874" width="15.5" customWidth="1"/>
    <col min="4875" max="4875" width="18.75" customWidth="1"/>
    <col min="4876" max="4876" width="15.375" customWidth="1"/>
    <col min="4877" max="4877" width="15.125" customWidth="1"/>
    <col min="4879" max="4879" width="11" customWidth="1"/>
    <col min="4880" max="4880" width="10.625" customWidth="1"/>
    <col min="4881" max="4881" width="9.625" customWidth="1"/>
    <col min="5124" max="5124" width="7" customWidth="1"/>
    <col min="5125" max="5125" width="17.75" customWidth="1"/>
    <col min="5126" max="5126" width="10.875" customWidth="1"/>
    <col min="5127" max="5127" width="11.25" customWidth="1"/>
    <col min="5128" max="5128" width="11.5" customWidth="1"/>
    <col min="5129" max="5129" width="11.625" customWidth="1"/>
    <col min="5130" max="5130" width="15.5" customWidth="1"/>
    <col min="5131" max="5131" width="18.75" customWidth="1"/>
    <col min="5132" max="5132" width="15.375" customWidth="1"/>
    <col min="5133" max="5133" width="15.125" customWidth="1"/>
    <col min="5135" max="5135" width="11" customWidth="1"/>
    <col min="5136" max="5136" width="10.625" customWidth="1"/>
    <col min="5137" max="5137" width="9.625" customWidth="1"/>
    <col min="5380" max="5380" width="7" customWidth="1"/>
    <col min="5381" max="5381" width="17.75" customWidth="1"/>
    <col min="5382" max="5382" width="10.875" customWidth="1"/>
    <col min="5383" max="5383" width="11.25" customWidth="1"/>
    <col min="5384" max="5384" width="11.5" customWidth="1"/>
    <col min="5385" max="5385" width="11.625" customWidth="1"/>
    <col min="5386" max="5386" width="15.5" customWidth="1"/>
    <col min="5387" max="5387" width="18.75" customWidth="1"/>
    <col min="5388" max="5388" width="15.375" customWidth="1"/>
    <col min="5389" max="5389" width="15.125" customWidth="1"/>
    <col min="5391" max="5391" width="11" customWidth="1"/>
    <col min="5392" max="5392" width="10.625" customWidth="1"/>
    <col min="5393" max="5393" width="9.625" customWidth="1"/>
    <col min="5636" max="5636" width="7" customWidth="1"/>
    <col min="5637" max="5637" width="17.75" customWidth="1"/>
    <col min="5638" max="5638" width="10.875" customWidth="1"/>
    <col min="5639" max="5639" width="11.25" customWidth="1"/>
    <col min="5640" max="5640" width="11.5" customWidth="1"/>
    <col min="5641" max="5641" width="11.625" customWidth="1"/>
    <col min="5642" max="5642" width="15.5" customWidth="1"/>
    <col min="5643" max="5643" width="18.75" customWidth="1"/>
    <col min="5644" max="5644" width="15.375" customWidth="1"/>
    <col min="5645" max="5645" width="15.125" customWidth="1"/>
    <col min="5647" max="5647" width="11" customWidth="1"/>
    <col min="5648" max="5648" width="10.625" customWidth="1"/>
    <col min="5649" max="5649" width="9.625" customWidth="1"/>
    <col min="5892" max="5892" width="7" customWidth="1"/>
    <col min="5893" max="5893" width="17.75" customWidth="1"/>
    <col min="5894" max="5894" width="10.875" customWidth="1"/>
    <col min="5895" max="5895" width="11.25" customWidth="1"/>
    <col min="5896" max="5896" width="11.5" customWidth="1"/>
    <col min="5897" max="5897" width="11.625" customWidth="1"/>
    <col min="5898" max="5898" width="15.5" customWidth="1"/>
    <col min="5899" max="5899" width="18.75" customWidth="1"/>
    <col min="5900" max="5900" width="15.375" customWidth="1"/>
    <col min="5901" max="5901" width="15.125" customWidth="1"/>
    <col min="5903" max="5903" width="11" customWidth="1"/>
    <col min="5904" max="5904" width="10.625" customWidth="1"/>
    <col min="5905" max="5905" width="9.625" customWidth="1"/>
    <col min="6148" max="6148" width="7" customWidth="1"/>
    <col min="6149" max="6149" width="17.75" customWidth="1"/>
    <col min="6150" max="6150" width="10.875" customWidth="1"/>
    <col min="6151" max="6151" width="11.25" customWidth="1"/>
    <col min="6152" max="6152" width="11.5" customWidth="1"/>
    <col min="6153" max="6153" width="11.625" customWidth="1"/>
    <col min="6154" max="6154" width="15.5" customWidth="1"/>
    <col min="6155" max="6155" width="18.75" customWidth="1"/>
    <col min="6156" max="6156" width="15.375" customWidth="1"/>
    <col min="6157" max="6157" width="15.125" customWidth="1"/>
    <col min="6159" max="6159" width="11" customWidth="1"/>
    <col min="6160" max="6160" width="10.625" customWidth="1"/>
    <col min="6161" max="6161" width="9.625" customWidth="1"/>
    <col min="6404" max="6404" width="7" customWidth="1"/>
    <col min="6405" max="6405" width="17.75" customWidth="1"/>
    <col min="6406" max="6406" width="10.875" customWidth="1"/>
    <col min="6407" max="6407" width="11.25" customWidth="1"/>
    <col min="6408" max="6408" width="11.5" customWidth="1"/>
    <col min="6409" max="6409" width="11.625" customWidth="1"/>
    <col min="6410" max="6410" width="15.5" customWidth="1"/>
    <col min="6411" max="6411" width="18.75" customWidth="1"/>
    <col min="6412" max="6412" width="15.375" customWidth="1"/>
    <col min="6413" max="6413" width="15.125" customWidth="1"/>
    <col min="6415" max="6415" width="11" customWidth="1"/>
    <col min="6416" max="6416" width="10.625" customWidth="1"/>
    <col min="6417" max="6417" width="9.625" customWidth="1"/>
    <col min="6660" max="6660" width="7" customWidth="1"/>
    <col min="6661" max="6661" width="17.75" customWidth="1"/>
    <col min="6662" max="6662" width="10.875" customWidth="1"/>
    <col min="6663" max="6663" width="11.25" customWidth="1"/>
    <col min="6664" max="6664" width="11.5" customWidth="1"/>
    <col min="6665" max="6665" width="11.625" customWidth="1"/>
    <col min="6666" max="6666" width="15.5" customWidth="1"/>
    <col min="6667" max="6667" width="18.75" customWidth="1"/>
    <col min="6668" max="6668" width="15.375" customWidth="1"/>
    <col min="6669" max="6669" width="15.125" customWidth="1"/>
    <col min="6671" max="6671" width="11" customWidth="1"/>
    <col min="6672" max="6672" width="10.625" customWidth="1"/>
    <col min="6673" max="6673" width="9.625" customWidth="1"/>
    <col min="6916" max="6916" width="7" customWidth="1"/>
    <col min="6917" max="6917" width="17.75" customWidth="1"/>
    <col min="6918" max="6918" width="10.875" customWidth="1"/>
    <col min="6919" max="6919" width="11.25" customWidth="1"/>
    <col min="6920" max="6920" width="11.5" customWidth="1"/>
    <col min="6921" max="6921" width="11.625" customWidth="1"/>
    <col min="6922" max="6922" width="15.5" customWidth="1"/>
    <col min="6923" max="6923" width="18.75" customWidth="1"/>
    <col min="6924" max="6924" width="15.375" customWidth="1"/>
    <col min="6925" max="6925" width="15.125" customWidth="1"/>
    <col min="6927" max="6927" width="11" customWidth="1"/>
    <col min="6928" max="6928" width="10.625" customWidth="1"/>
    <col min="6929" max="6929" width="9.625" customWidth="1"/>
    <col min="7172" max="7172" width="7" customWidth="1"/>
    <col min="7173" max="7173" width="17.75" customWidth="1"/>
    <col min="7174" max="7174" width="10.875" customWidth="1"/>
    <col min="7175" max="7175" width="11.25" customWidth="1"/>
    <col min="7176" max="7176" width="11.5" customWidth="1"/>
    <col min="7177" max="7177" width="11.625" customWidth="1"/>
    <col min="7178" max="7178" width="15.5" customWidth="1"/>
    <col min="7179" max="7179" width="18.75" customWidth="1"/>
    <col min="7180" max="7180" width="15.375" customWidth="1"/>
    <col min="7181" max="7181" width="15.125" customWidth="1"/>
    <col min="7183" max="7183" width="11" customWidth="1"/>
    <col min="7184" max="7184" width="10.625" customWidth="1"/>
    <col min="7185" max="7185" width="9.625" customWidth="1"/>
    <col min="7428" max="7428" width="7" customWidth="1"/>
    <col min="7429" max="7429" width="17.75" customWidth="1"/>
    <col min="7430" max="7430" width="10.875" customWidth="1"/>
    <col min="7431" max="7431" width="11.25" customWidth="1"/>
    <col min="7432" max="7432" width="11.5" customWidth="1"/>
    <col min="7433" max="7433" width="11.625" customWidth="1"/>
    <col min="7434" max="7434" width="15.5" customWidth="1"/>
    <col min="7435" max="7435" width="18.75" customWidth="1"/>
    <col min="7436" max="7436" width="15.375" customWidth="1"/>
    <col min="7437" max="7437" width="15.125" customWidth="1"/>
    <col min="7439" max="7439" width="11" customWidth="1"/>
    <col min="7440" max="7440" width="10.625" customWidth="1"/>
    <col min="7441" max="7441" width="9.625" customWidth="1"/>
    <col min="7684" max="7684" width="7" customWidth="1"/>
    <col min="7685" max="7685" width="17.75" customWidth="1"/>
    <col min="7686" max="7686" width="10.875" customWidth="1"/>
    <col min="7687" max="7687" width="11.25" customWidth="1"/>
    <col min="7688" max="7688" width="11.5" customWidth="1"/>
    <col min="7689" max="7689" width="11.625" customWidth="1"/>
    <col min="7690" max="7690" width="15.5" customWidth="1"/>
    <col min="7691" max="7691" width="18.75" customWidth="1"/>
    <col min="7692" max="7692" width="15.375" customWidth="1"/>
    <col min="7693" max="7693" width="15.125" customWidth="1"/>
    <col min="7695" max="7695" width="11" customWidth="1"/>
    <col min="7696" max="7696" width="10.625" customWidth="1"/>
    <col min="7697" max="7697" width="9.625" customWidth="1"/>
    <col min="7940" max="7940" width="7" customWidth="1"/>
    <col min="7941" max="7941" width="17.75" customWidth="1"/>
    <col min="7942" max="7942" width="10.875" customWidth="1"/>
    <col min="7943" max="7943" width="11.25" customWidth="1"/>
    <col min="7944" max="7944" width="11.5" customWidth="1"/>
    <col min="7945" max="7945" width="11.625" customWidth="1"/>
    <col min="7946" max="7946" width="15.5" customWidth="1"/>
    <col min="7947" max="7947" width="18.75" customWidth="1"/>
    <col min="7948" max="7948" width="15.375" customWidth="1"/>
    <col min="7949" max="7949" width="15.125" customWidth="1"/>
    <col min="7951" max="7951" width="11" customWidth="1"/>
    <col min="7952" max="7952" width="10.625" customWidth="1"/>
    <col min="7953" max="7953" width="9.625" customWidth="1"/>
    <col min="8196" max="8196" width="7" customWidth="1"/>
    <col min="8197" max="8197" width="17.75" customWidth="1"/>
    <col min="8198" max="8198" width="10.875" customWidth="1"/>
    <col min="8199" max="8199" width="11.25" customWidth="1"/>
    <col min="8200" max="8200" width="11.5" customWidth="1"/>
    <col min="8201" max="8201" width="11.625" customWidth="1"/>
    <col min="8202" max="8202" width="15.5" customWidth="1"/>
    <col min="8203" max="8203" width="18.75" customWidth="1"/>
    <col min="8204" max="8204" width="15.375" customWidth="1"/>
    <col min="8205" max="8205" width="15.125" customWidth="1"/>
    <col min="8207" max="8207" width="11" customWidth="1"/>
    <col min="8208" max="8208" width="10.625" customWidth="1"/>
    <col min="8209" max="8209" width="9.625" customWidth="1"/>
    <col min="8452" max="8452" width="7" customWidth="1"/>
    <col min="8453" max="8453" width="17.75" customWidth="1"/>
    <col min="8454" max="8454" width="10.875" customWidth="1"/>
    <col min="8455" max="8455" width="11.25" customWidth="1"/>
    <col min="8456" max="8456" width="11.5" customWidth="1"/>
    <col min="8457" max="8457" width="11.625" customWidth="1"/>
    <col min="8458" max="8458" width="15.5" customWidth="1"/>
    <col min="8459" max="8459" width="18.75" customWidth="1"/>
    <col min="8460" max="8460" width="15.375" customWidth="1"/>
    <col min="8461" max="8461" width="15.125" customWidth="1"/>
    <col min="8463" max="8463" width="11" customWidth="1"/>
    <col min="8464" max="8464" width="10.625" customWidth="1"/>
    <col min="8465" max="8465" width="9.625" customWidth="1"/>
    <col min="8708" max="8708" width="7" customWidth="1"/>
    <col min="8709" max="8709" width="17.75" customWidth="1"/>
    <col min="8710" max="8710" width="10.875" customWidth="1"/>
    <col min="8711" max="8711" width="11.25" customWidth="1"/>
    <col min="8712" max="8712" width="11.5" customWidth="1"/>
    <col min="8713" max="8713" width="11.625" customWidth="1"/>
    <col min="8714" max="8714" width="15.5" customWidth="1"/>
    <col min="8715" max="8715" width="18.75" customWidth="1"/>
    <col min="8716" max="8716" width="15.375" customWidth="1"/>
    <col min="8717" max="8717" width="15.125" customWidth="1"/>
    <col min="8719" max="8719" width="11" customWidth="1"/>
    <col min="8720" max="8720" width="10.625" customWidth="1"/>
    <col min="8721" max="8721" width="9.625" customWidth="1"/>
    <col min="8964" max="8964" width="7" customWidth="1"/>
    <col min="8965" max="8965" width="17.75" customWidth="1"/>
    <col min="8966" max="8966" width="10.875" customWidth="1"/>
    <col min="8967" max="8967" width="11.25" customWidth="1"/>
    <col min="8968" max="8968" width="11.5" customWidth="1"/>
    <col min="8969" max="8969" width="11.625" customWidth="1"/>
    <col min="8970" max="8970" width="15.5" customWidth="1"/>
    <col min="8971" max="8971" width="18.75" customWidth="1"/>
    <col min="8972" max="8972" width="15.375" customWidth="1"/>
    <col min="8973" max="8973" width="15.125" customWidth="1"/>
    <col min="8975" max="8975" width="11" customWidth="1"/>
    <col min="8976" max="8976" width="10.625" customWidth="1"/>
    <col min="8977" max="8977" width="9.625" customWidth="1"/>
    <col min="9220" max="9220" width="7" customWidth="1"/>
    <col min="9221" max="9221" width="17.75" customWidth="1"/>
    <col min="9222" max="9222" width="10.875" customWidth="1"/>
    <col min="9223" max="9223" width="11.25" customWidth="1"/>
    <col min="9224" max="9224" width="11.5" customWidth="1"/>
    <col min="9225" max="9225" width="11.625" customWidth="1"/>
    <col min="9226" max="9226" width="15.5" customWidth="1"/>
    <col min="9227" max="9227" width="18.75" customWidth="1"/>
    <col min="9228" max="9228" width="15.375" customWidth="1"/>
    <col min="9229" max="9229" width="15.125" customWidth="1"/>
    <col min="9231" max="9231" width="11" customWidth="1"/>
    <col min="9232" max="9232" width="10.625" customWidth="1"/>
    <col min="9233" max="9233" width="9.625" customWidth="1"/>
    <col min="9476" max="9476" width="7" customWidth="1"/>
    <col min="9477" max="9477" width="17.75" customWidth="1"/>
    <col min="9478" max="9478" width="10.875" customWidth="1"/>
    <col min="9479" max="9479" width="11.25" customWidth="1"/>
    <col min="9480" max="9480" width="11.5" customWidth="1"/>
    <col min="9481" max="9481" width="11.625" customWidth="1"/>
    <col min="9482" max="9482" width="15.5" customWidth="1"/>
    <col min="9483" max="9483" width="18.75" customWidth="1"/>
    <col min="9484" max="9484" width="15.375" customWidth="1"/>
    <col min="9485" max="9485" width="15.125" customWidth="1"/>
    <col min="9487" max="9487" width="11" customWidth="1"/>
    <col min="9488" max="9488" width="10.625" customWidth="1"/>
    <col min="9489" max="9489" width="9.625" customWidth="1"/>
    <col min="9732" max="9732" width="7" customWidth="1"/>
    <col min="9733" max="9733" width="17.75" customWidth="1"/>
    <col min="9734" max="9734" width="10.875" customWidth="1"/>
    <col min="9735" max="9735" width="11.25" customWidth="1"/>
    <col min="9736" max="9736" width="11.5" customWidth="1"/>
    <col min="9737" max="9737" width="11.625" customWidth="1"/>
    <col min="9738" max="9738" width="15.5" customWidth="1"/>
    <col min="9739" max="9739" width="18.75" customWidth="1"/>
    <col min="9740" max="9740" width="15.375" customWidth="1"/>
    <col min="9741" max="9741" width="15.125" customWidth="1"/>
    <col min="9743" max="9743" width="11" customWidth="1"/>
    <col min="9744" max="9744" width="10.625" customWidth="1"/>
    <col min="9745" max="9745" width="9.625" customWidth="1"/>
    <col min="9988" max="9988" width="7" customWidth="1"/>
    <col min="9989" max="9989" width="17.75" customWidth="1"/>
    <col min="9990" max="9990" width="10.875" customWidth="1"/>
    <col min="9991" max="9991" width="11.25" customWidth="1"/>
    <col min="9992" max="9992" width="11.5" customWidth="1"/>
    <col min="9993" max="9993" width="11.625" customWidth="1"/>
    <col min="9994" max="9994" width="15.5" customWidth="1"/>
    <col min="9995" max="9995" width="18.75" customWidth="1"/>
    <col min="9996" max="9996" width="15.375" customWidth="1"/>
    <col min="9997" max="9997" width="15.125" customWidth="1"/>
    <col min="9999" max="9999" width="11" customWidth="1"/>
    <col min="10000" max="10000" width="10.625" customWidth="1"/>
    <col min="10001" max="10001" width="9.625" customWidth="1"/>
    <col min="10244" max="10244" width="7" customWidth="1"/>
    <col min="10245" max="10245" width="17.75" customWidth="1"/>
    <col min="10246" max="10246" width="10.875" customWidth="1"/>
    <col min="10247" max="10247" width="11.25" customWidth="1"/>
    <col min="10248" max="10248" width="11.5" customWidth="1"/>
    <col min="10249" max="10249" width="11.625" customWidth="1"/>
    <col min="10250" max="10250" width="15.5" customWidth="1"/>
    <col min="10251" max="10251" width="18.75" customWidth="1"/>
    <col min="10252" max="10252" width="15.375" customWidth="1"/>
    <col min="10253" max="10253" width="15.125" customWidth="1"/>
    <col min="10255" max="10255" width="11" customWidth="1"/>
    <col min="10256" max="10256" width="10.625" customWidth="1"/>
    <col min="10257" max="10257" width="9.625" customWidth="1"/>
    <col min="10500" max="10500" width="7" customWidth="1"/>
    <col min="10501" max="10501" width="17.75" customWidth="1"/>
    <col min="10502" max="10502" width="10.875" customWidth="1"/>
    <col min="10503" max="10503" width="11.25" customWidth="1"/>
    <col min="10504" max="10504" width="11.5" customWidth="1"/>
    <col min="10505" max="10505" width="11.625" customWidth="1"/>
    <col min="10506" max="10506" width="15.5" customWidth="1"/>
    <col min="10507" max="10507" width="18.75" customWidth="1"/>
    <col min="10508" max="10508" width="15.375" customWidth="1"/>
    <col min="10509" max="10509" width="15.125" customWidth="1"/>
    <col min="10511" max="10511" width="11" customWidth="1"/>
    <col min="10512" max="10512" width="10.625" customWidth="1"/>
    <col min="10513" max="10513" width="9.625" customWidth="1"/>
    <col min="10756" max="10756" width="7" customWidth="1"/>
    <col min="10757" max="10757" width="17.75" customWidth="1"/>
    <col min="10758" max="10758" width="10.875" customWidth="1"/>
    <col min="10759" max="10759" width="11.25" customWidth="1"/>
    <col min="10760" max="10760" width="11.5" customWidth="1"/>
    <col min="10761" max="10761" width="11.625" customWidth="1"/>
    <col min="10762" max="10762" width="15.5" customWidth="1"/>
    <col min="10763" max="10763" width="18.75" customWidth="1"/>
    <col min="10764" max="10764" width="15.375" customWidth="1"/>
    <col min="10765" max="10765" width="15.125" customWidth="1"/>
    <col min="10767" max="10767" width="11" customWidth="1"/>
    <col min="10768" max="10768" width="10.625" customWidth="1"/>
    <col min="10769" max="10769" width="9.625" customWidth="1"/>
    <col min="11012" max="11012" width="7" customWidth="1"/>
    <col min="11013" max="11013" width="17.75" customWidth="1"/>
    <col min="11014" max="11014" width="10.875" customWidth="1"/>
    <col min="11015" max="11015" width="11.25" customWidth="1"/>
    <col min="11016" max="11016" width="11.5" customWidth="1"/>
    <col min="11017" max="11017" width="11.625" customWidth="1"/>
    <col min="11018" max="11018" width="15.5" customWidth="1"/>
    <col min="11019" max="11019" width="18.75" customWidth="1"/>
    <col min="11020" max="11020" width="15.375" customWidth="1"/>
    <col min="11021" max="11021" width="15.125" customWidth="1"/>
    <col min="11023" max="11023" width="11" customWidth="1"/>
    <col min="11024" max="11024" width="10.625" customWidth="1"/>
    <col min="11025" max="11025" width="9.625" customWidth="1"/>
    <col min="11268" max="11268" width="7" customWidth="1"/>
    <col min="11269" max="11269" width="17.75" customWidth="1"/>
    <col min="11270" max="11270" width="10.875" customWidth="1"/>
    <col min="11271" max="11271" width="11.25" customWidth="1"/>
    <col min="11272" max="11272" width="11.5" customWidth="1"/>
    <col min="11273" max="11273" width="11.625" customWidth="1"/>
    <col min="11274" max="11274" width="15.5" customWidth="1"/>
    <col min="11275" max="11275" width="18.75" customWidth="1"/>
    <col min="11276" max="11276" width="15.375" customWidth="1"/>
    <col min="11277" max="11277" width="15.125" customWidth="1"/>
    <col min="11279" max="11279" width="11" customWidth="1"/>
    <col min="11280" max="11280" width="10.625" customWidth="1"/>
    <col min="11281" max="11281" width="9.625" customWidth="1"/>
    <col min="11524" max="11524" width="7" customWidth="1"/>
    <col min="11525" max="11525" width="17.75" customWidth="1"/>
    <col min="11526" max="11526" width="10.875" customWidth="1"/>
    <col min="11527" max="11527" width="11.25" customWidth="1"/>
    <col min="11528" max="11528" width="11.5" customWidth="1"/>
    <col min="11529" max="11529" width="11.625" customWidth="1"/>
    <col min="11530" max="11530" width="15.5" customWidth="1"/>
    <col min="11531" max="11531" width="18.75" customWidth="1"/>
    <col min="11532" max="11532" width="15.375" customWidth="1"/>
    <col min="11533" max="11533" width="15.125" customWidth="1"/>
    <col min="11535" max="11535" width="11" customWidth="1"/>
    <col min="11536" max="11536" width="10.625" customWidth="1"/>
    <col min="11537" max="11537" width="9.625" customWidth="1"/>
    <col min="11780" max="11780" width="7" customWidth="1"/>
    <col min="11781" max="11781" width="17.75" customWidth="1"/>
    <col min="11782" max="11782" width="10.875" customWidth="1"/>
    <col min="11783" max="11783" width="11.25" customWidth="1"/>
    <col min="11784" max="11784" width="11.5" customWidth="1"/>
    <col min="11785" max="11785" width="11.625" customWidth="1"/>
    <col min="11786" max="11786" width="15.5" customWidth="1"/>
    <col min="11787" max="11787" width="18.75" customWidth="1"/>
    <col min="11788" max="11788" width="15.375" customWidth="1"/>
    <col min="11789" max="11789" width="15.125" customWidth="1"/>
    <col min="11791" max="11791" width="11" customWidth="1"/>
    <col min="11792" max="11792" width="10.625" customWidth="1"/>
    <col min="11793" max="11793" width="9.625" customWidth="1"/>
    <col min="12036" max="12036" width="7" customWidth="1"/>
    <col min="12037" max="12037" width="17.75" customWidth="1"/>
    <col min="12038" max="12038" width="10.875" customWidth="1"/>
    <col min="12039" max="12039" width="11.25" customWidth="1"/>
    <col min="12040" max="12040" width="11.5" customWidth="1"/>
    <col min="12041" max="12041" width="11.625" customWidth="1"/>
    <col min="12042" max="12042" width="15.5" customWidth="1"/>
    <col min="12043" max="12043" width="18.75" customWidth="1"/>
    <col min="12044" max="12044" width="15.375" customWidth="1"/>
    <col min="12045" max="12045" width="15.125" customWidth="1"/>
    <col min="12047" max="12047" width="11" customWidth="1"/>
    <col min="12048" max="12048" width="10.625" customWidth="1"/>
    <col min="12049" max="12049" width="9.625" customWidth="1"/>
    <col min="12292" max="12292" width="7" customWidth="1"/>
    <col min="12293" max="12293" width="17.75" customWidth="1"/>
    <col min="12294" max="12294" width="10.875" customWidth="1"/>
    <col min="12295" max="12295" width="11.25" customWidth="1"/>
    <col min="12296" max="12296" width="11.5" customWidth="1"/>
    <col min="12297" max="12297" width="11.625" customWidth="1"/>
    <col min="12298" max="12298" width="15.5" customWidth="1"/>
    <col min="12299" max="12299" width="18.75" customWidth="1"/>
    <col min="12300" max="12300" width="15.375" customWidth="1"/>
    <col min="12301" max="12301" width="15.125" customWidth="1"/>
    <col min="12303" max="12303" width="11" customWidth="1"/>
    <col min="12304" max="12304" width="10.625" customWidth="1"/>
    <col min="12305" max="12305" width="9.625" customWidth="1"/>
    <col min="12548" max="12548" width="7" customWidth="1"/>
    <col min="12549" max="12549" width="17.75" customWidth="1"/>
    <col min="12550" max="12550" width="10.875" customWidth="1"/>
    <col min="12551" max="12551" width="11.25" customWidth="1"/>
    <col min="12552" max="12552" width="11.5" customWidth="1"/>
    <col min="12553" max="12553" width="11.625" customWidth="1"/>
    <col min="12554" max="12554" width="15.5" customWidth="1"/>
    <col min="12555" max="12555" width="18.75" customWidth="1"/>
    <col min="12556" max="12556" width="15.375" customWidth="1"/>
    <col min="12557" max="12557" width="15.125" customWidth="1"/>
    <col min="12559" max="12559" width="11" customWidth="1"/>
    <col min="12560" max="12560" width="10.625" customWidth="1"/>
    <col min="12561" max="12561" width="9.625" customWidth="1"/>
    <col min="12804" max="12804" width="7" customWidth="1"/>
    <col min="12805" max="12805" width="17.75" customWidth="1"/>
    <col min="12806" max="12806" width="10.875" customWidth="1"/>
    <col min="12807" max="12807" width="11.25" customWidth="1"/>
    <col min="12808" max="12808" width="11.5" customWidth="1"/>
    <col min="12809" max="12809" width="11.625" customWidth="1"/>
    <col min="12810" max="12810" width="15.5" customWidth="1"/>
    <col min="12811" max="12811" width="18.75" customWidth="1"/>
    <col min="12812" max="12812" width="15.375" customWidth="1"/>
    <col min="12813" max="12813" width="15.125" customWidth="1"/>
    <col min="12815" max="12815" width="11" customWidth="1"/>
    <col min="12816" max="12816" width="10.625" customWidth="1"/>
    <col min="12817" max="12817" width="9.625" customWidth="1"/>
    <col min="13060" max="13060" width="7" customWidth="1"/>
    <col min="13061" max="13061" width="17.75" customWidth="1"/>
    <col min="13062" max="13062" width="10.875" customWidth="1"/>
    <col min="13063" max="13063" width="11.25" customWidth="1"/>
    <col min="13064" max="13064" width="11.5" customWidth="1"/>
    <col min="13065" max="13065" width="11.625" customWidth="1"/>
    <col min="13066" max="13066" width="15.5" customWidth="1"/>
    <col min="13067" max="13067" width="18.75" customWidth="1"/>
    <col min="13068" max="13068" width="15.375" customWidth="1"/>
    <col min="13069" max="13069" width="15.125" customWidth="1"/>
    <col min="13071" max="13071" width="11" customWidth="1"/>
    <col min="13072" max="13072" width="10.625" customWidth="1"/>
    <col min="13073" max="13073" width="9.625" customWidth="1"/>
    <col min="13316" max="13316" width="7" customWidth="1"/>
    <col min="13317" max="13317" width="17.75" customWidth="1"/>
    <col min="13318" max="13318" width="10.875" customWidth="1"/>
    <col min="13319" max="13319" width="11.25" customWidth="1"/>
    <col min="13320" max="13320" width="11.5" customWidth="1"/>
    <col min="13321" max="13321" width="11.625" customWidth="1"/>
    <col min="13322" max="13322" width="15.5" customWidth="1"/>
    <col min="13323" max="13323" width="18.75" customWidth="1"/>
    <col min="13324" max="13324" width="15.375" customWidth="1"/>
    <col min="13325" max="13325" width="15.125" customWidth="1"/>
    <col min="13327" max="13327" width="11" customWidth="1"/>
    <col min="13328" max="13328" width="10.625" customWidth="1"/>
    <col min="13329" max="13329" width="9.625" customWidth="1"/>
    <col min="13572" max="13572" width="7" customWidth="1"/>
    <col min="13573" max="13573" width="17.75" customWidth="1"/>
    <col min="13574" max="13574" width="10.875" customWidth="1"/>
    <col min="13575" max="13575" width="11.25" customWidth="1"/>
    <col min="13576" max="13576" width="11.5" customWidth="1"/>
    <col min="13577" max="13577" width="11.625" customWidth="1"/>
    <col min="13578" max="13578" width="15.5" customWidth="1"/>
    <col min="13579" max="13579" width="18.75" customWidth="1"/>
    <col min="13580" max="13580" width="15.375" customWidth="1"/>
    <col min="13581" max="13581" width="15.125" customWidth="1"/>
    <col min="13583" max="13583" width="11" customWidth="1"/>
    <col min="13584" max="13584" width="10.625" customWidth="1"/>
    <col min="13585" max="13585" width="9.625" customWidth="1"/>
    <col min="13828" max="13828" width="7" customWidth="1"/>
    <col min="13829" max="13829" width="17.75" customWidth="1"/>
    <col min="13830" max="13830" width="10.875" customWidth="1"/>
    <col min="13831" max="13831" width="11.25" customWidth="1"/>
    <col min="13832" max="13832" width="11.5" customWidth="1"/>
    <col min="13833" max="13833" width="11.625" customWidth="1"/>
    <col min="13834" max="13834" width="15.5" customWidth="1"/>
    <col min="13835" max="13835" width="18.75" customWidth="1"/>
    <col min="13836" max="13836" width="15.375" customWidth="1"/>
    <col min="13837" max="13837" width="15.125" customWidth="1"/>
    <col min="13839" max="13839" width="11" customWidth="1"/>
    <col min="13840" max="13840" width="10.625" customWidth="1"/>
    <col min="13841" max="13841" width="9.625" customWidth="1"/>
    <col min="14084" max="14084" width="7" customWidth="1"/>
    <col min="14085" max="14085" width="17.75" customWidth="1"/>
    <col min="14086" max="14086" width="10.875" customWidth="1"/>
    <col min="14087" max="14087" width="11.25" customWidth="1"/>
    <col min="14088" max="14088" width="11.5" customWidth="1"/>
    <col min="14089" max="14089" width="11.625" customWidth="1"/>
    <col min="14090" max="14090" width="15.5" customWidth="1"/>
    <col min="14091" max="14091" width="18.75" customWidth="1"/>
    <col min="14092" max="14092" width="15.375" customWidth="1"/>
    <col min="14093" max="14093" width="15.125" customWidth="1"/>
    <col min="14095" max="14095" width="11" customWidth="1"/>
    <col min="14096" max="14096" width="10.625" customWidth="1"/>
    <col min="14097" max="14097" width="9.625" customWidth="1"/>
    <col min="14340" max="14340" width="7" customWidth="1"/>
    <col min="14341" max="14341" width="17.75" customWidth="1"/>
    <col min="14342" max="14342" width="10.875" customWidth="1"/>
    <col min="14343" max="14343" width="11.25" customWidth="1"/>
    <col min="14344" max="14344" width="11.5" customWidth="1"/>
    <col min="14345" max="14345" width="11.625" customWidth="1"/>
    <col min="14346" max="14346" width="15.5" customWidth="1"/>
    <col min="14347" max="14347" width="18.75" customWidth="1"/>
    <col min="14348" max="14348" width="15.375" customWidth="1"/>
    <col min="14349" max="14349" width="15.125" customWidth="1"/>
    <col min="14351" max="14351" width="11" customWidth="1"/>
    <col min="14352" max="14352" width="10.625" customWidth="1"/>
    <col min="14353" max="14353" width="9.625" customWidth="1"/>
    <col min="14596" max="14596" width="7" customWidth="1"/>
    <col min="14597" max="14597" width="17.75" customWidth="1"/>
    <col min="14598" max="14598" width="10.875" customWidth="1"/>
    <col min="14599" max="14599" width="11.25" customWidth="1"/>
    <col min="14600" max="14600" width="11.5" customWidth="1"/>
    <col min="14601" max="14601" width="11.625" customWidth="1"/>
    <col min="14602" max="14602" width="15.5" customWidth="1"/>
    <col min="14603" max="14603" width="18.75" customWidth="1"/>
    <col min="14604" max="14604" width="15.375" customWidth="1"/>
    <col min="14605" max="14605" width="15.125" customWidth="1"/>
    <col min="14607" max="14607" width="11" customWidth="1"/>
    <col min="14608" max="14608" width="10.625" customWidth="1"/>
    <col min="14609" max="14609" width="9.625" customWidth="1"/>
    <col min="14852" max="14852" width="7" customWidth="1"/>
    <col min="14853" max="14853" width="17.75" customWidth="1"/>
    <col min="14854" max="14854" width="10.875" customWidth="1"/>
    <col min="14855" max="14855" width="11.25" customWidth="1"/>
    <col min="14856" max="14856" width="11.5" customWidth="1"/>
    <col min="14857" max="14857" width="11.625" customWidth="1"/>
    <col min="14858" max="14858" width="15.5" customWidth="1"/>
    <col min="14859" max="14859" width="18.75" customWidth="1"/>
    <col min="14860" max="14860" width="15.375" customWidth="1"/>
    <col min="14861" max="14861" width="15.125" customWidth="1"/>
    <col min="14863" max="14863" width="11" customWidth="1"/>
    <col min="14864" max="14864" width="10.625" customWidth="1"/>
    <col min="14865" max="14865" width="9.625" customWidth="1"/>
    <col min="15108" max="15108" width="7" customWidth="1"/>
    <col min="15109" max="15109" width="17.75" customWidth="1"/>
    <col min="15110" max="15110" width="10.875" customWidth="1"/>
    <col min="15111" max="15111" width="11.25" customWidth="1"/>
    <col min="15112" max="15112" width="11.5" customWidth="1"/>
    <col min="15113" max="15113" width="11.625" customWidth="1"/>
    <col min="15114" max="15114" width="15.5" customWidth="1"/>
    <col min="15115" max="15115" width="18.75" customWidth="1"/>
    <col min="15116" max="15116" width="15.375" customWidth="1"/>
    <col min="15117" max="15117" width="15.125" customWidth="1"/>
    <col min="15119" max="15119" width="11" customWidth="1"/>
    <col min="15120" max="15120" width="10.625" customWidth="1"/>
    <col min="15121" max="15121" width="9.625" customWidth="1"/>
    <col min="15364" max="15364" width="7" customWidth="1"/>
    <col min="15365" max="15365" width="17.75" customWidth="1"/>
    <col min="15366" max="15366" width="10.875" customWidth="1"/>
    <col min="15367" max="15367" width="11.25" customWidth="1"/>
    <col min="15368" max="15368" width="11.5" customWidth="1"/>
    <col min="15369" max="15369" width="11.625" customWidth="1"/>
    <col min="15370" max="15370" width="15.5" customWidth="1"/>
    <col min="15371" max="15371" width="18.75" customWidth="1"/>
    <col min="15372" max="15372" width="15.375" customWidth="1"/>
    <col min="15373" max="15373" width="15.125" customWidth="1"/>
    <col min="15375" max="15375" width="11" customWidth="1"/>
    <col min="15376" max="15376" width="10.625" customWidth="1"/>
    <col min="15377" max="15377" width="9.625" customWidth="1"/>
    <col min="15620" max="15620" width="7" customWidth="1"/>
    <col min="15621" max="15621" width="17.75" customWidth="1"/>
    <col min="15622" max="15622" width="10.875" customWidth="1"/>
    <col min="15623" max="15623" width="11.25" customWidth="1"/>
    <col min="15624" max="15624" width="11.5" customWidth="1"/>
    <col min="15625" max="15625" width="11.625" customWidth="1"/>
    <col min="15626" max="15626" width="15.5" customWidth="1"/>
    <col min="15627" max="15627" width="18.75" customWidth="1"/>
    <col min="15628" max="15628" width="15.375" customWidth="1"/>
    <col min="15629" max="15629" width="15.125" customWidth="1"/>
    <col min="15631" max="15631" width="11" customWidth="1"/>
    <col min="15632" max="15632" width="10.625" customWidth="1"/>
    <col min="15633" max="15633" width="9.625" customWidth="1"/>
    <col min="15876" max="15876" width="7" customWidth="1"/>
    <col min="15877" max="15877" width="17.75" customWidth="1"/>
    <col min="15878" max="15878" width="10.875" customWidth="1"/>
    <col min="15879" max="15879" width="11.25" customWidth="1"/>
    <col min="15880" max="15880" width="11.5" customWidth="1"/>
    <col min="15881" max="15881" width="11.625" customWidth="1"/>
    <col min="15882" max="15882" width="15.5" customWidth="1"/>
    <col min="15883" max="15883" width="18.75" customWidth="1"/>
    <col min="15884" max="15884" width="15.375" customWidth="1"/>
    <col min="15885" max="15885" width="15.125" customWidth="1"/>
    <col min="15887" max="15887" width="11" customWidth="1"/>
    <col min="15888" max="15888" width="10.625" customWidth="1"/>
    <col min="15889" max="15889" width="9.625" customWidth="1"/>
    <col min="16132" max="16132" width="7" customWidth="1"/>
    <col min="16133" max="16133" width="17.75" customWidth="1"/>
    <col min="16134" max="16134" width="10.875" customWidth="1"/>
    <col min="16135" max="16135" width="11.25" customWidth="1"/>
    <col min="16136" max="16136" width="11.5" customWidth="1"/>
    <col min="16137" max="16137" width="11.625" customWidth="1"/>
    <col min="16138" max="16138" width="15.5" customWidth="1"/>
    <col min="16139" max="16139" width="18.75" customWidth="1"/>
    <col min="16140" max="16140" width="15.375" customWidth="1"/>
    <col min="16141" max="16141" width="15.125" customWidth="1"/>
    <col min="16143" max="16143" width="11" customWidth="1"/>
    <col min="16144" max="16144" width="10.625" customWidth="1"/>
    <col min="16145" max="16145" width="9.625" customWidth="1"/>
  </cols>
  <sheetData>
    <row r="1" spans="1:17" ht="18.75" x14ac:dyDescent="0.3">
      <c r="G1" s="1" t="s">
        <v>0</v>
      </c>
      <c r="Q1" t="s">
        <v>1</v>
      </c>
    </row>
    <row r="2" spans="1:17" ht="18.75" x14ac:dyDescent="0.3">
      <c r="G2" s="1"/>
    </row>
    <row r="3" spans="1:17" ht="18.75" x14ac:dyDescent="0.3">
      <c r="A3" s="461" t="s">
        <v>2</v>
      </c>
      <c r="B3" s="461"/>
      <c r="C3" t="s">
        <v>38</v>
      </c>
      <c r="G3" s="1"/>
    </row>
    <row r="4" spans="1:17" ht="18.75" x14ac:dyDescent="0.3">
      <c r="A4" s="461" t="s">
        <v>3</v>
      </c>
      <c r="B4" s="461"/>
      <c r="C4" t="s">
        <v>40</v>
      </c>
      <c r="G4" s="1"/>
    </row>
    <row r="5" spans="1:17" ht="18.75" x14ac:dyDescent="0.3">
      <c r="A5" s="461" t="s">
        <v>4</v>
      </c>
      <c r="B5" s="461"/>
      <c r="C5" t="s">
        <v>41</v>
      </c>
      <c r="G5" s="1"/>
    </row>
    <row r="6" spans="1:17" ht="18.75" x14ac:dyDescent="0.3">
      <c r="A6" s="461" t="s">
        <v>5</v>
      </c>
      <c r="B6" s="461"/>
      <c r="C6" s="13" t="s">
        <v>383</v>
      </c>
      <c r="G6" s="1"/>
    </row>
    <row r="8" spans="1:17" x14ac:dyDescent="0.25">
      <c r="A8" t="s">
        <v>6</v>
      </c>
    </row>
    <row r="9" spans="1:17" ht="24.75" customHeight="1" x14ac:dyDescent="0.25">
      <c r="A9" s="146" t="s">
        <v>7</v>
      </c>
      <c r="B9" s="538" t="s">
        <v>8</v>
      </c>
      <c r="C9" s="538"/>
      <c r="D9" s="146" t="s">
        <v>9</v>
      </c>
      <c r="E9" s="146" t="s">
        <v>9</v>
      </c>
      <c r="F9" s="541" t="s">
        <v>11</v>
      </c>
      <c r="G9" s="541" t="s">
        <v>12</v>
      </c>
      <c r="H9" s="146" t="s">
        <v>13</v>
      </c>
      <c r="I9" s="146"/>
      <c r="J9" s="565" t="s">
        <v>15</v>
      </c>
      <c r="K9" s="566"/>
      <c r="L9" s="146" t="s">
        <v>16</v>
      </c>
      <c r="M9" s="544" t="s">
        <v>333</v>
      </c>
      <c r="N9" s="544"/>
      <c r="O9" s="544"/>
      <c r="P9" s="544"/>
      <c r="Q9" s="544"/>
    </row>
    <row r="10" spans="1:17" x14ac:dyDescent="0.25">
      <c r="A10" s="539" t="s">
        <v>19</v>
      </c>
      <c r="B10" s="546" t="s">
        <v>20</v>
      </c>
      <c r="C10" s="547"/>
      <c r="D10" s="542" t="s">
        <v>21</v>
      </c>
      <c r="E10" s="542" t="s">
        <v>376</v>
      </c>
      <c r="F10" s="542"/>
      <c r="G10" s="542"/>
      <c r="H10" s="104" t="s">
        <v>23</v>
      </c>
      <c r="I10" s="541" t="s">
        <v>14</v>
      </c>
      <c r="J10" s="104" t="s">
        <v>357</v>
      </c>
      <c r="K10" s="104" t="s">
        <v>333</v>
      </c>
      <c r="L10" s="104" t="s">
        <v>25</v>
      </c>
      <c r="M10" s="541" t="s">
        <v>334</v>
      </c>
      <c r="N10" s="541" t="s">
        <v>335</v>
      </c>
      <c r="O10" s="541" t="s">
        <v>336</v>
      </c>
      <c r="P10" s="541" t="s">
        <v>337</v>
      </c>
      <c r="Q10" s="541" t="s">
        <v>339</v>
      </c>
    </row>
    <row r="11" spans="1:17" x14ac:dyDescent="0.25">
      <c r="A11" s="540"/>
      <c r="B11" s="548"/>
      <c r="C11" s="549"/>
      <c r="D11" s="543"/>
      <c r="E11" s="459"/>
      <c r="F11" s="543"/>
      <c r="G11" s="543"/>
      <c r="H11" s="105" t="s">
        <v>30</v>
      </c>
      <c r="I11" s="459"/>
      <c r="J11" s="105" t="s">
        <v>24</v>
      </c>
      <c r="K11" s="105" t="s">
        <v>31</v>
      </c>
      <c r="L11" s="105" t="s">
        <v>32</v>
      </c>
      <c r="M11" s="543"/>
      <c r="N11" s="543"/>
      <c r="O11" s="543"/>
      <c r="P11" s="543"/>
      <c r="Q11" s="543"/>
    </row>
    <row r="12" spans="1:17" x14ac:dyDescent="0.25">
      <c r="A12" s="47">
        <v>1</v>
      </c>
      <c r="B12" s="561">
        <v>2</v>
      </c>
      <c r="C12" s="562"/>
      <c r="D12" s="144">
        <v>3</v>
      </c>
      <c r="E12" s="144">
        <v>4</v>
      </c>
      <c r="F12" s="145">
        <v>5</v>
      </c>
      <c r="G12" s="145">
        <v>6</v>
      </c>
      <c r="H12" s="104">
        <v>7</v>
      </c>
      <c r="I12" s="104">
        <v>8</v>
      </c>
      <c r="J12" s="104">
        <v>9</v>
      </c>
      <c r="K12" s="104">
        <v>10</v>
      </c>
      <c r="L12" s="104">
        <v>11</v>
      </c>
      <c r="M12" s="104">
        <v>12</v>
      </c>
      <c r="N12" s="104">
        <v>13</v>
      </c>
      <c r="O12" s="104">
        <v>14</v>
      </c>
      <c r="P12" s="104">
        <v>15</v>
      </c>
      <c r="Q12" s="104">
        <v>16</v>
      </c>
    </row>
    <row r="13" spans="1:17" ht="47.25" customHeight="1" x14ac:dyDescent="0.25">
      <c r="A13" s="143">
        <v>1</v>
      </c>
      <c r="B13" s="574" t="s">
        <v>318</v>
      </c>
      <c r="C13" s="575"/>
      <c r="D13" s="148" t="s">
        <v>319</v>
      </c>
      <c r="E13" s="148" t="s">
        <v>320</v>
      </c>
      <c r="F13" s="36" t="s">
        <v>321</v>
      </c>
      <c r="G13" s="36" t="s">
        <v>56</v>
      </c>
      <c r="H13" s="36">
        <v>2012</v>
      </c>
      <c r="I13" s="36" t="s">
        <v>322</v>
      </c>
      <c r="J13" s="141">
        <v>1</v>
      </c>
      <c r="K13" s="141" t="s">
        <v>54</v>
      </c>
      <c r="L13" s="142">
        <v>166673497</v>
      </c>
      <c r="M13" s="147"/>
      <c r="N13" s="9"/>
      <c r="O13" s="9" t="s">
        <v>338</v>
      </c>
      <c r="P13" s="7"/>
      <c r="Q13" s="9" t="s">
        <v>347</v>
      </c>
    </row>
    <row r="14" spans="1:17" ht="47.25" x14ac:dyDescent="0.25">
      <c r="A14" s="7">
        <f>A13+1</f>
        <v>2</v>
      </c>
      <c r="B14" s="576" t="s">
        <v>318</v>
      </c>
      <c r="C14" s="576"/>
      <c r="D14" s="148" t="s">
        <v>323</v>
      </c>
      <c r="E14" s="148" t="s">
        <v>453</v>
      </c>
      <c r="F14" s="36" t="s">
        <v>325</v>
      </c>
      <c r="G14" s="36" t="s">
        <v>56</v>
      </c>
      <c r="H14" s="36">
        <v>2012</v>
      </c>
      <c r="I14" s="36" t="s">
        <v>322</v>
      </c>
      <c r="J14" s="141">
        <v>1</v>
      </c>
      <c r="K14" s="141" t="s">
        <v>107</v>
      </c>
      <c r="L14" s="142">
        <v>120800000</v>
      </c>
      <c r="M14" s="36"/>
      <c r="N14" s="9"/>
      <c r="O14" s="9" t="s">
        <v>343</v>
      </c>
      <c r="P14" s="7"/>
      <c r="Q14" s="9" t="s">
        <v>389</v>
      </c>
    </row>
    <row r="15" spans="1:17" ht="47.25" x14ac:dyDescent="0.25">
      <c r="A15" s="7">
        <f t="shared" ref="A15:A44" si="0">A14+1</f>
        <v>3</v>
      </c>
      <c r="B15" s="576" t="s">
        <v>318</v>
      </c>
      <c r="C15" s="576"/>
      <c r="D15" s="148" t="s">
        <v>327</v>
      </c>
      <c r="E15" s="148" t="s">
        <v>466</v>
      </c>
      <c r="F15" s="36" t="s">
        <v>326</v>
      </c>
      <c r="G15" s="36" t="s">
        <v>56</v>
      </c>
      <c r="H15" s="36">
        <v>2015</v>
      </c>
      <c r="I15" s="36" t="s">
        <v>322</v>
      </c>
      <c r="J15" s="141">
        <v>1</v>
      </c>
      <c r="K15" s="141" t="s">
        <v>125</v>
      </c>
      <c r="L15" s="142">
        <v>225990000</v>
      </c>
      <c r="M15" s="36"/>
      <c r="N15" s="9"/>
      <c r="O15" s="30" t="s">
        <v>434</v>
      </c>
      <c r="P15" s="7"/>
      <c r="Q15" s="30" t="s">
        <v>68</v>
      </c>
    </row>
    <row r="16" spans="1:17" ht="31.5" x14ac:dyDescent="0.25">
      <c r="A16" s="7">
        <f t="shared" si="0"/>
        <v>4</v>
      </c>
      <c r="B16" s="576" t="s">
        <v>318</v>
      </c>
      <c r="C16" s="576"/>
      <c r="D16" s="148" t="s">
        <v>340</v>
      </c>
      <c r="E16" s="148"/>
      <c r="F16" s="36" t="s">
        <v>341</v>
      </c>
      <c r="G16" s="36" t="s">
        <v>56</v>
      </c>
      <c r="H16" s="36"/>
      <c r="I16" s="36" t="s">
        <v>322</v>
      </c>
      <c r="J16" s="141">
        <v>1</v>
      </c>
      <c r="K16" s="141" t="s">
        <v>67</v>
      </c>
      <c r="L16" s="142">
        <v>199204400</v>
      </c>
      <c r="M16" s="9"/>
      <c r="N16" s="9"/>
      <c r="O16" s="9" t="s">
        <v>344</v>
      </c>
      <c r="P16" s="7"/>
      <c r="Q16" s="9" t="s">
        <v>239</v>
      </c>
    </row>
    <row r="17" spans="1:17" ht="47.25" x14ac:dyDescent="0.25">
      <c r="A17" s="7">
        <f t="shared" si="0"/>
        <v>5</v>
      </c>
      <c r="B17" s="573" t="s">
        <v>305</v>
      </c>
      <c r="C17" s="573"/>
      <c r="D17" s="148" t="s">
        <v>442</v>
      </c>
      <c r="E17" s="147" t="s">
        <v>443</v>
      </c>
      <c r="F17" s="36">
        <v>100</v>
      </c>
      <c r="G17" s="36" t="s">
        <v>56</v>
      </c>
      <c r="H17" s="36">
        <v>2004</v>
      </c>
      <c r="I17" s="36" t="s">
        <v>309</v>
      </c>
      <c r="J17" s="141">
        <v>1</v>
      </c>
      <c r="K17" s="141" t="s">
        <v>43</v>
      </c>
      <c r="L17" s="142">
        <v>11500000</v>
      </c>
      <c r="M17" s="147"/>
      <c r="N17" s="36"/>
      <c r="O17" s="36" t="s">
        <v>345</v>
      </c>
      <c r="P17" s="36" t="s">
        <v>435</v>
      </c>
      <c r="Q17" s="36" t="s">
        <v>347</v>
      </c>
    </row>
    <row r="18" spans="1:17" ht="47.25" x14ac:dyDescent="0.25">
      <c r="A18" s="7">
        <f t="shared" si="0"/>
        <v>6</v>
      </c>
      <c r="B18" s="567" t="s">
        <v>305</v>
      </c>
      <c r="C18" s="567"/>
      <c r="D18" s="30" t="s">
        <v>306</v>
      </c>
      <c r="E18" s="31" t="s">
        <v>307</v>
      </c>
      <c r="F18" s="7">
        <v>100</v>
      </c>
      <c r="G18" s="9" t="s">
        <v>308</v>
      </c>
      <c r="H18" s="7">
        <v>2006</v>
      </c>
      <c r="I18" s="9" t="s">
        <v>309</v>
      </c>
      <c r="J18" s="11">
        <v>1</v>
      </c>
      <c r="K18" s="11" t="s">
        <v>54</v>
      </c>
      <c r="L18" s="19">
        <v>12750000</v>
      </c>
      <c r="M18" s="31" t="s">
        <v>307</v>
      </c>
      <c r="N18" s="9"/>
      <c r="O18" s="36" t="s">
        <v>346</v>
      </c>
      <c r="P18" s="36" t="s">
        <v>436</v>
      </c>
      <c r="Q18" s="36" t="s">
        <v>347</v>
      </c>
    </row>
    <row r="19" spans="1:17" ht="47.25" x14ac:dyDescent="0.25">
      <c r="A19" s="7">
        <f t="shared" si="0"/>
        <v>7</v>
      </c>
      <c r="B19" s="567" t="s">
        <v>305</v>
      </c>
      <c r="C19" s="567"/>
      <c r="D19" s="31" t="s">
        <v>310</v>
      </c>
      <c r="E19" s="31" t="s">
        <v>311</v>
      </c>
      <c r="F19" s="7">
        <v>110</v>
      </c>
      <c r="G19" s="9" t="s">
        <v>308</v>
      </c>
      <c r="H19" s="7">
        <v>2006</v>
      </c>
      <c r="I19" s="9" t="s">
        <v>309</v>
      </c>
      <c r="J19" s="11">
        <v>1</v>
      </c>
      <c r="K19" s="11" t="s">
        <v>107</v>
      </c>
      <c r="L19" s="19">
        <v>11525000</v>
      </c>
      <c r="M19" s="31" t="s">
        <v>311</v>
      </c>
      <c r="N19" s="9"/>
      <c r="O19" s="36" t="s">
        <v>348</v>
      </c>
      <c r="P19" s="36" t="s">
        <v>436</v>
      </c>
      <c r="Q19" s="36" t="s">
        <v>390</v>
      </c>
    </row>
    <row r="20" spans="1:17" ht="33.75" customHeight="1" x14ac:dyDescent="0.25">
      <c r="A20" s="7">
        <f t="shared" si="0"/>
        <v>8</v>
      </c>
      <c r="B20" s="567" t="s">
        <v>305</v>
      </c>
      <c r="C20" s="567"/>
      <c r="D20" s="31" t="s">
        <v>312</v>
      </c>
      <c r="E20" s="31" t="s">
        <v>313</v>
      </c>
      <c r="F20" s="7">
        <v>125</v>
      </c>
      <c r="G20" s="9" t="s">
        <v>56</v>
      </c>
      <c r="H20" s="7">
        <v>2006</v>
      </c>
      <c r="I20" s="9" t="s">
        <v>309</v>
      </c>
      <c r="J20" s="11">
        <v>1</v>
      </c>
      <c r="K20" s="11" t="s">
        <v>125</v>
      </c>
      <c r="L20" s="19">
        <v>29800000</v>
      </c>
      <c r="M20" s="31" t="s">
        <v>313</v>
      </c>
      <c r="N20" s="9"/>
      <c r="O20" s="9" t="s">
        <v>349</v>
      </c>
      <c r="P20" s="7"/>
      <c r="Q20" s="30" t="s">
        <v>391</v>
      </c>
    </row>
    <row r="21" spans="1:17" ht="31.5" x14ac:dyDescent="0.25">
      <c r="A21" s="7">
        <f t="shared" si="0"/>
        <v>9</v>
      </c>
      <c r="B21" s="567" t="s">
        <v>305</v>
      </c>
      <c r="C21" s="567"/>
      <c r="D21" s="31" t="s">
        <v>312</v>
      </c>
      <c r="E21" s="31" t="s">
        <v>313</v>
      </c>
      <c r="F21" s="7">
        <v>125</v>
      </c>
      <c r="G21" s="9" t="s">
        <v>56</v>
      </c>
      <c r="H21" s="7">
        <v>2006</v>
      </c>
      <c r="I21" s="9" t="s">
        <v>309</v>
      </c>
      <c r="J21" s="11">
        <v>1</v>
      </c>
      <c r="K21" s="11" t="s">
        <v>67</v>
      </c>
      <c r="L21" s="19">
        <v>14900000</v>
      </c>
      <c r="M21" s="31" t="s">
        <v>313</v>
      </c>
      <c r="N21" s="9"/>
      <c r="O21" s="9" t="s">
        <v>350</v>
      </c>
      <c r="P21" s="30" t="s">
        <v>486</v>
      </c>
      <c r="Q21" s="9" t="s">
        <v>437</v>
      </c>
    </row>
    <row r="22" spans="1:17" ht="47.25" x14ac:dyDescent="0.25">
      <c r="A22" s="7">
        <f t="shared" si="0"/>
        <v>10</v>
      </c>
      <c r="B22" s="573" t="s">
        <v>305</v>
      </c>
      <c r="C22" s="573"/>
      <c r="D22" s="148" t="s">
        <v>331</v>
      </c>
      <c r="E22" s="148" t="s">
        <v>444</v>
      </c>
      <c r="F22" s="36">
        <v>110</v>
      </c>
      <c r="G22" s="36" t="s">
        <v>56</v>
      </c>
      <c r="H22" s="36">
        <v>2009</v>
      </c>
      <c r="I22" s="36" t="s">
        <v>309</v>
      </c>
      <c r="J22" s="141">
        <v>1</v>
      </c>
      <c r="K22" s="141" t="s">
        <v>58</v>
      </c>
      <c r="L22" s="142">
        <v>11595000</v>
      </c>
      <c r="M22" s="148"/>
      <c r="N22" s="9"/>
      <c r="O22" s="9" t="s">
        <v>358</v>
      </c>
      <c r="P22" s="7"/>
      <c r="Q22" s="30" t="s">
        <v>68</v>
      </c>
    </row>
    <row r="23" spans="1:17" ht="47.25" x14ac:dyDescent="0.25">
      <c r="A23" s="7">
        <f t="shared" si="0"/>
        <v>11</v>
      </c>
      <c r="B23" s="573" t="s">
        <v>305</v>
      </c>
      <c r="C23" s="573"/>
      <c r="D23" s="148" t="s">
        <v>351</v>
      </c>
      <c r="E23" s="148" t="s">
        <v>454</v>
      </c>
      <c r="F23" s="36" t="s">
        <v>352</v>
      </c>
      <c r="G23" s="36" t="s">
        <v>56</v>
      </c>
      <c r="H23" s="36">
        <v>2012</v>
      </c>
      <c r="I23" s="36" t="s">
        <v>309</v>
      </c>
      <c r="J23" s="141">
        <v>1</v>
      </c>
      <c r="K23" s="141" t="s">
        <v>97</v>
      </c>
      <c r="L23" s="142">
        <v>11059000</v>
      </c>
      <c r="M23" s="148"/>
      <c r="N23" s="9"/>
      <c r="O23" s="9" t="s">
        <v>367</v>
      </c>
      <c r="P23" s="7"/>
      <c r="Q23" s="30" t="s">
        <v>392</v>
      </c>
    </row>
    <row r="24" spans="1:17" ht="47.25" x14ac:dyDescent="0.25">
      <c r="A24" s="7">
        <f t="shared" si="0"/>
        <v>12</v>
      </c>
      <c r="B24" s="573" t="s">
        <v>305</v>
      </c>
      <c r="C24" s="573"/>
      <c r="D24" s="148" t="s">
        <v>354</v>
      </c>
      <c r="E24" s="148" t="s">
        <v>462</v>
      </c>
      <c r="F24" s="36" t="s">
        <v>355</v>
      </c>
      <c r="G24" s="36" t="s">
        <v>56</v>
      </c>
      <c r="H24" s="36">
        <v>2013</v>
      </c>
      <c r="I24" s="36" t="s">
        <v>309</v>
      </c>
      <c r="J24" s="141">
        <v>1</v>
      </c>
      <c r="K24" s="141" t="s">
        <v>166</v>
      </c>
      <c r="L24" s="142">
        <v>15243360</v>
      </c>
      <c r="M24" s="31"/>
      <c r="N24" s="9"/>
      <c r="O24" s="9" t="s">
        <v>368</v>
      </c>
      <c r="P24" s="7"/>
      <c r="Q24" s="30" t="s">
        <v>388</v>
      </c>
    </row>
    <row r="25" spans="1:17" ht="47.25" x14ac:dyDescent="0.25">
      <c r="A25" s="7">
        <f t="shared" si="0"/>
        <v>13</v>
      </c>
      <c r="B25" s="573" t="s">
        <v>305</v>
      </c>
      <c r="C25" s="573"/>
      <c r="D25" s="148" t="s">
        <v>463</v>
      </c>
      <c r="E25" s="148" t="s">
        <v>356</v>
      </c>
      <c r="F25" s="36" t="s">
        <v>355</v>
      </c>
      <c r="G25" s="36" t="s">
        <v>56</v>
      </c>
      <c r="H25" s="36">
        <v>2013</v>
      </c>
      <c r="I25" s="36" t="s">
        <v>309</v>
      </c>
      <c r="J25" s="141">
        <v>1</v>
      </c>
      <c r="K25" s="141" t="s">
        <v>110</v>
      </c>
      <c r="L25" s="142">
        <v>15243360</v>
      </c>
      <c r="M25" s="31"/>
      <c r="N25" s="9"/>
      <c r="O25" s="9" t="s">
        <v>369</v>
      </c>
      <c r="P25" s="7"/>
      <c r="Q25" s="30" t="s">
        <v>378</v>
      </c>
    </row>
    <row r="26" spans="1:17" ht="47.25" x14ac:dyDescent="0.25">
      <c r="A26" s="7">
        <f t="shared" si="0"/>
        <v>14</v>
      </c>
      <c r="B26" s="573" t="s">
        <v>305</v>
      </c>
      <c r="C26" s="573"/>
      <c r="D26" s="148" t="s">
        <v>359</v>
      </c>
      <c r="E26" s="148" t="s">
        <v>467</v>
      </c>
      <c r="F26" s="36" t="s">
        <v>355</v>
      </c>
      <c r="G26" s="36" t="s">
        <v>56</v>
      </c>
      <c r="H26" s="36">
        <v>2015</v>
      </c>
      <c r="I26" s="36" t="s">
        <v>309</v>
      </c>
      <c r="J26" s="141">
        <v>1</v>
      </c>
      <c r="K26" s="141" t="s">
        <v>149</v>
      </c>
      <c r="L26" s="142">
        <v>16267961</v>
      </c>
      <c r="M26" s="31"/>
      <c r="N26" s="9"/>
      <c r="O26" s="9" t="s">
        <v>370</v>
      </c>
      <c r="P26" s="7"/>
      <c r="Q26" s="42" t="s">
        <v>377</v>
      </c>
    </row>
    <row r="27" spans="1:17" x14ac:dyDescent="0.25">
      <c r="A27" s="73"/>
      <c r="B27" s="74"/>
      <c r="C27" s="74"/>
      <c r="D27" s="98"/>
      <c r="E27" s="98"/>
      <c r="F27" s="77"/>
      <c r="G27" s="77"/>
      <c r="H27" s="73"/>
      <c r="I27" s="77"/>
      <c r="J27" s="78"/>
      <c r="K27" s="78"/>
      <c r="L27" s="99"/>
      <c r="M27" s="98"/>
      <c r="N27" s="77"/>
      <c r="O27" s="77"/>
      <c r="P27" s="73"/>
      <c r="Q27" s="76"/>
    </row>
    <row r="28" spans="1:17" x14ac:dyDescent="0.25">
      <c r="A28" s="66"/>
      <c r="B28" s="67"/>
      <c r="C28" s="67"/>
      <c r="D28" s="100"/>
      <c r="E28" s="100"/>
      <c r="F28" s="70"/>
      <c r="G28" s="70"/>
      <c r="H28" s="66"/>
      <c r="I28" s="70"/>
      <c r="J28" s="71"/>
      <c r="K28" s="71"/>
      <c r="L28" s="101"/>
      <c r="M28" s="100"/>
      <c r="N28" s="70"/>
      <c r="O28" s="70"/>
      <c r="P28" s="66"/>
      <c r="Q28" s="80"/>
    </row>
    <row r="29" spans="1:17" x14ac:dyDescent="0.25">
      <c r="A29" s="66"/>
      <c r="B29" s="67"/>
      <c r="C29" s="67"/>
      <c r="D29" s="100"/>
      <c r="E29" s="100"/>
      <c r="F29" s="70"/>
      <c r="G29" s="70"/>
      <c r="H29" s="66"/>
      <c r="I29" s="70"/>
      <c r="J29" s="71"/>
      <c r="K29" s="71"/>
      <c r="L29" s="101"/>
      <c r="M29" s="100"/>
      <c r="N29" s="70"/>
      <c r="O29" s="70"/>
      <c r="P29" s="66"/>
      <c r="Q29" s="80"/>
    </row>
    <row r="30" spans="1:17" x14ac:dyDescent="0.25">
      <c r="A30" s="66"/>
      <c r="B30" s="67"/>
      <c r="C30" s="67"/>
      <c r="D30" s="100"/>
      <c r="E30" s="100"/>
      <c r="F30" s="70"/>
      <c r="G30" s="70"/>
      <c r="H30" s="66"/>
      <c r="I30" s="70"/>
      <c r="J30" s="71"/>
      <c r="K30" s="71"/>
      <c r="L30" s="101"/>
      <c r="M30" s="100"/>
      <c r="N30" s="70"/>
      <c r="O30" s="70"/>
      <c r="P30" s="66"/>
      <c r="Q30" s="80"/>
    </row>
    <row r="31" spans="1:17" x14ac:dyDescent="0.25">
      <c r="A31" s="66"/>
      <c r="B31" s="67"/>
      <c r="C31" s="67"/>
      <c r="D31" s="100"/>
      <c r="E31" s="100"/>
      <c r="F31" s="70"/>
      <c r="G31" s="70"/>
      <c r="H31" s="66"/>
      <c r="I31" s="70"/>
      <c r="J31" s="71"/>
      <c r="K31" s="71"/>
      <c r="L31" s="101"/>
      <c r="M31" s="100"/>
      <c r="N31" s="70"/>
      <c r="O31" s="70"/>
      <c r="P31" s="66"/>
      <c r="Q31" s="80"/>
    </row>
    <row r="32" spans="1:17" x14ac:dyDescent="0.25">
      <c r="A32" s="66"/>
      <c r="B32" s="67"/>
      <c r="C32" s="67"/>
      <c r="D32" s="100"/>
      <c r="E32" s="100"/>
      <c r="F32" s="70"/>
      <c r="G32" s="70"/>
      <c r="H32" s="66"/>
      <c r="I32" s="70"/>
      <c r="J32" s="71"/>
      <c r="K32" s="71"/>
      <c r="L32" s="101"/>
      <c r="M32" s="100"/>
      <c r="N32" s="70"/>
      <c r="O32" s="70"/>
      <c r="P32" s="66"/>
      <c r="Q32" s="80"/>
    </row>
    <row r="33" spans="1:17" x14ac:dyDescent="0.25">
      <c r="A33" s="66"/>
      <c r="B33" s="67"/>
      <c r="C33" s="67"/>
      <c r="D33" s="100"/>
      <c r="E33" s="100"/>
      <c r="F33" s="70"/>
      <c r="G33" s="70"/>
      <c r="H33" s="66"/>
      <c r="I33" s="70"/>
      <c r="J33" s="71"/>
      <c r="K33" s="71"/>
      <c r="L33" s="101"/>
      <c r="M33" s="100"/>
      <c r="N33" s="70"/>
      <c r="O33" s="70"/>
      <c r="P33" s="66"/>
      <c r="Q33" s="80"/>
    </row>
    <row r="34" spans="1:17" x14ac:dyDescent="0.25">
      <c r="A34" s="66"/>
      <c r="B34" s="67"/>
      <c r="C34" s="67"/>
      <c r="D34" s="100"/>
      <c r="E34" s="100"/>
      <c r="F34" s="70"/>
      <c r="G34" s="70"/>
      <c r="H34" s="66"/>
      <c r="I34" s="70"/>
      <c r="J34" s="71"/>
      <c r="K34" s="71"/>
      <c r="L34" s="101"/>
      <c r="M34" s="100"/>
      <c r="N34" s="70"/>
      <c r="O34" s="70"/>
      <c r="P34" s="66"/>
      <c r="Q34" s="80"/>
    </row>
    <row r="35" spans="1:17" x14ac:dyDescent="0.25">
      <c r="A35" s="66"/>
      <c r="B35" s="67"/>
      <c r="C35" s="67"/>
      <c r="D35" s="100"/>
      <c r="E35" s="100"/>
      <c r="F35" s="70"/>
      <c r="G35" s="70"/>
      <c r="H35" s="66"/>
      <c r="I35" s="70"/>
      <c r="J35" s="71"/>
      <c r="K35" s="71"/>
      <c r="L35" s="101"/>
      <c r="M35" s="100"/>
      <c r="N35" s="70"/>
      <c r="O35" s="70"/>
      <c r="P35" s="66"/>
      <c r="Q35" s="80"/>
    </row>
    <row r="36" spans="1:17" x14ac:dyDescent="0.25">
      <c r="A36" s="146" t="s">
        <v>7</v>
      </c>
      <c r="B36" s="538" t="s">
        <v>8</v>
      </c>
      <c r="C36" s="538"/>
      <c r="D36" s="146" t="s">
        <v>9</v>
      </c>
      <c r="E36" s="146" t="s">
        <v>9</v>
      </c>
      <c r="F36" s="541" t="s">
        <v>11</v>
      </c>
      <c r="G36" s="541" t="s">
        <v>12</v>
      </c>
      <c r="H36" s="146" t="s">
        <v>13</v>
      </c>
      <c r="I36" s="146"/>
      <c r="J36" s="568" t="s">
        <v>15</v>
      </c>
      <c r="K36" s="569"/>
      <c r="L36" s="146" t="s">
        <v>16</v>
      </c>
      <c r="M36" s="544" t="s">
        <v>333</v>
      </c>
      <c r="N36" s="544"/>
      <c r="O36" s="544"/>
      <c r="P36" s="544"/>
      <c r="Q36" s="544"/>
    </row>
    <row r="37" spans="1:17" x14ac:dyDescent="0.25">
      <c r="A37" s="542" t="s">
        <v>19</v>
      </c>
      <c r="B37" s="546" t="s">
        <v>20</v>
      </c>
      <c r="C37" s="547"/>
      <c r="D37" s="542" t="s">
        <v>21</v>
      </c>
      <c r="E37" s="542" t="s">
        <v>376</v>
      </c>
      <c r="F37" s="542"/>
      <c r="G37" s="542"/>
      <c r="H37" s="104" t="s">
        <v>23</v>
      </c>
      <c r="I37" s="104" t="s">
        <v>14</v>
      </c>
      <c r="J37" s="104" t="s">
        <v>357</v>
      </c>
      <c r="K37" s="104" t="s">
        <v>333</v>
      </c>
      <c r="L37" s="104" t="s">
        <v>25</v>
      </c>
      <c r="M37" s="541" t="s">
        <v>334</v>
      </c>
      <c r="N37" s="541" t="s">
        <v>335</v>
      </c>
      <c r="O37" s="541" t="s">
        <v>336</v>
      </c>
      <c r="P37" s="541" t="s">
        <v>337</v>
      </c>
      <c r="Q37" s="541" t="s">
        <v>339</v>
      </c>
    </row>
    <row r="38" spans="1:17" x14ac:dyDescent="0.25">
      <c r="A38" s="543"/>
      <c r="B38" s="548"/>
      <c r="C38" s="549"/>
      <c r="D38" s="543"/>
      <c r="E38" s="543"/>
      <c r="F38" s="543"/>
      <c r="G38" s="543"/>
      <c r="H38" s="105" t="s">
        <v>30</v>
      </c>
      <c r="I38" s="105"/>
      <c r="J38" s="105" t="s">
        <v>24</v>
      </c>
      <c r="K38" s="105" t="s">
        <v>31</v>
      </c>
      <c r="L38" s="105" t="s">
        <v>32</v>
      </c>
      <c r="M38" s="543"/>
      <c r="N38" s="543"/>
      <c r="O38" s="543"/>
      <c r="P38" s="543"/>
      <c r="Q38" s="543"/>
    </row>
    <row r="39" spans="1:17" x14ac:dyDescent="0.25">
      <c r="A39" s="47">
        <v>1</v>
      </c>
      <c r="B39" s="561">
        <v>2</v>
      </c>
      <c r="C39" s="562"/>
      <c r="D39" s="144">
        <v>3</v>
      </c>
      <c r="E39" s="144">
        <v>4</v>
      </c>
      <c r="F39" s="145">
        <v>5</v>
      </c>
      <c r="G39" s="145">
        <v>6</v>
      </c>
      <c r="H39" s="104">
        <v>7</v>
      </c>
      <c r="I39" s="104">
        <v>8</v>
      </c>
      <c r="J39" s="104">
        <v>9</v>
      </c>
      <c r="K39" s="104">
        <v>10</v>
      </c>
      <c r="L39" s="104">
        <v>11</v>
      </c>
      <c r="M39" s="104">
        <v>12</v>
      </c>
      <c r="N39" s="104">
        <v>13</v>
      </c>
      <c r="O39" s="104">
        <v>14</v>
      </c>
      <c r="P39" s="104">
        <v>15</v>
      </c>
      <c r="Q39" s="104">
        <v>16</v>
      </c>
    </row>
    <row r="40" spans="1:17" ht="47.25" x14ac:dyDescent="0.25">
      <c r="A40" s="7">
        <f>A26+1</f>
        <v>15</v>
      </c>
      <c r="B40" s="573" t="s">
        <v>305</v>
      </c>
      <c r="C40" s="573"/>
      <c r="D40" s="148" t="s">
        <v>359</v>
      </c>
      <c r="E40" s="148" t="s">
        <v>468</v>
      </c>
      <c r="F40" s="36" t="s">
        <v>355</v>
      </c>
      <c r="G40" s="36" t="s">
        <v>56</v>
      </c>
      <c r="H40" s="36"/>
      <c r="I40" s="36" t="s">
        <v>309</v>
      </c>
      <c r="J40" s="141">
        <v>1</v>
      </c>
      <c r="K40" s="141" t="s">
        <v>137</v>
      </c>
      <c r="L40" s="142">
        <f t="shared" ref="L40:L42" si="1">65071844/4</f>
        <v>16267961</v>
      </c>
      <c r="M40" s="31"/>
      <c r="N40" s="9"/>
      <c r="O40" s="9" t="s">
        <v>371</v>
      </c>
      <c r="P40" s="7"/>
      <c r="Q40" s="9" t="s">
        <v>219</v>
      </c>
    </row>
    <row r="41" spans="1:17" ht="63" x14ac:dyDescent="0.25">
      <c r="A41" s="7">
        <f t="shared" si="0"/>
        <v>16</v>
      </c>
      <c r="B41" s="573" t="s">
        <v>305</v>
      </c>
      <c r="C41" s="573"/>
      <c r="D41" s="148" t="s">
        <v>359</v>
      </c>
      <c r="E41" s="148" t="s">
        <v>469</v>
      </c>
      <c r="F41" s="36" t="s">
        <v>355</v>
      </c>
      <c r="G41" s="36" t="s">
        <v>56</v>
      </c>
      <c r="H41" s="36"/>
      <c r="I41" s="36" t="s">
        <v>309</v>
      </c>
      <c r="J41" s="141">
        <v>1</v>
      </c>
      <c r="K41" s="141" t="s">
        <v>111</v>
      </c>
      <c r="L41" s="142">
        <f t="shared" si="1"/>
        <v>16267961</v>
      </c>
      <c r="M41" s="31"/>
      <c r="N41" s="9"/>
      <c r="O41" s="9" t="s">
        <v>372</v>
      </c>
      <c r="P41" s="7"/>
      <c r="Q41" s="30" t="s">
        <v>387</v>
      </c>
    </row>
    <row r="42" spans="1:17" ht="79.5" customHeight="1" x14ac:dyDescent="0.25">
      <c r="A42" s="7">
        <f t="shared" si="0"/>
        <v>17</v>
      </c>
      <c r="B42" s="573" t="s">
        <v>305</v>
      </c>
      <c r="C42" s="573"/>
      <c r="D42" s="148" t="s">
        <v>359</v>
      </c>
      <c r="E42" s="148" t="s">
        <v>470</v>
      </c>
      <c r="F42" s="36" t="s">
        <v>355</v>
      </c>
      <c r="G42" s="36" t="s">
        <v>56</v>
      </c>
      <c r="H42" s="36"/>
      <c r="I42" s="36" t="s">
        <v>309</v>
      </c>
      <c r="J42" s="141">
        <v>1</v>
      </c>
      <c r="K42" s="141" t="s">
        <v>60</v>
      </c>
      <c r="L42" s="142">
        <f t="shared" si="1"/>
        <v>16267961</v>
      </c>
      <c r="M42" s="31"/>
      <c r="N42" s="9"/>
      <c r="O42" s="9" t="s">
        <v>373</v>
      </c>
      <c r="P42" s="7"/>
      <c r="Q42" s="30" t="s">
        <v>386</v>
      </c>
    </row>
    <row r="43" spans="1:17" ht="47.25" x14ac:dyDescent="0.25">
      <c r="A43" s="7">
        <f t="shared" si="0"/>
        <v>18</v>
      </c>
      <c r="B43" s="573" t="s">
        <v>305</v>
      </c>
      <c r="C43" s="573"/>
      <c r="D43" s="148" t="s">
        <v>471</v>
      </c>
      <c r="E43" s="148" t="s">
        <v>472</v>
      </c>
      <c r="F43" s="36" t="s">
        <v>355</v>
      </c>
      <c r="G43" s="36" t="s">
        <v>56</v>
      </c>
      <c r="H43" s="36"/>
      <c r="I43" s="36" t="s">
        <v>309</v>
      </c>
      <c r="J43" s="141">
        <v>1</v>
      </c>
      <c r="K43" s="141" t="s">
        <v>89</v>
      </c>
      <c r="L43" s="142">
        <v>17268812</v>
      </c>
      <c r="M43" s="31"/>
      <c r="N43" s="9"/>
      <c r="O43" s="9" t="s">
        <v>374</v>
      </c>
      <c r="P43" s="7"/>
      <c r="Q43" s="30" t="s">
        <v>141</v>
      </c>
    </row>
    <row r="44" spans="1:17" ht="47.25" x14ac:dyDescent="0.25">
      <c r="A44" s="7">
        <f t="shared" si="0"/>
        <v>19</v>
      </c>
      <c r="B44" s="573" t="s">
        <v>305</v>
      </c>
      <c r="C44" s="573"/>
      <c r="D44" s="148" t="s">
        <v>471</v>
      </c>
      <c r="E44" s="148" t="s">
        <v>473</v>
      </c>
      <c r="F44" s="36" t="s">
        <v>355</v>
      </c>
      <c r="G44" s="36" t="s">
        <v>56</v>
      </c>
      <c r="H44" s="36"/>
      <c r="I44" s="36" t="s">
        <v>309</v>
      </c>
      <c r="J44" s="141">
        <v>1</v>
      </c>
      <c r="K44" s="141" t="s">
        <v>89</v>
      </c>
      <c r="L44" s="142">
        <v>17268812</v>
      </c>
      <c r="M44" s="31"/>
      <c r="N44" s="9"/>
      <c r="O44" s="9" t="s">
        <v>375</v>
      </c>
      <c r="P44" s="7"/>
      <c r="Q44" s="30" t="s">
        <v>385</v>
      </c>
    </row>
    <row r="45" spans="1:17" x14ac:dyDescent="0.25">
      <c r="O45" s="29"/>
    </row>
    <row r="46" spans="1:17" x14ac:dyDescent="0.25">
      <c r="C46" s="5" t="s">
        <v>36</v>
      </c>
      <c r="M46" s="23" t="s">
        <v>277</v>
      </c>
      <c r="N46" s="23"/>
      <c r="O46" s="23"/>
    </row>
    <row r="47" spans="1:17" x14ac:dyDescent="0.25">
      <c r="C47" s="5"/>
      <c r="M47" s="5"/>
      <c r="N47" s="5"/>
      <c r="O47" s="5"/>
    </row>
    <row r="48" spans="1:17" x14ac:dyDescent="0.25">
      <c r="C48" s="5" t="s">
        <v>572</v>
      </c>
      <c r="M48" s="5" t="s">
        <v>580</v>
      </c>
      <c r="N48" s="5"/>
      <c r="O48" s="5"/>
    </row>
    <row r="49" spans="2:15" x14ac:dyDescent="0.25">
      <c r="C49" s="5"/>
      <c r="M49" s="5"/>
      <c r="N49" s="5"/>
      <c r="O49" s="5"/>
    </row>
    <row r="50" spans="2:15" x14ac:dyDescent="0.25">
      <c r="C50" s="5"/>
      <c r="M50" s="5"/>
      <c r="N50" s="5"/>
      <c r="O50" s="5"/>
    </row>
    <row r="51" spans="2:15" x14ac:dyDescent="0.25">
      <c r="C51" s="5"/>
      <c r="M51" s="5"/>
      <c r="N51" s="5"/>
      <c r="O51" s="5"/>
    </row>
    <row r="52" spans="2:15" x14ac:dyDescent="0.25">
      <c r="C52" s="6" t="s">
        <v>573</v>
      </c>
      <c r="M52" s="6" t="s">
        <v>576</v>
      </c>
      <c r="N52" s="6"/>
      <c r="O52" s="6"/>
    </row>
    <row r="53" spans="2:15" x14ac:dyDescent="0.25">
      <c r="C53" s="5" t="s">
        <v>39</v>
      </c>
      <c r="M53" s="23" t="str">
        <f>KENDARAAN!M53</f>
        <v>NIP. 19721124 200604 2 005</v>
      </c>
      <c r="N53" s="23"/>
      <c r="O53" s="23"/>
    </row>
    <row r="54" spans="2:15" x14ac:dyDescent="0.25">
      <c r="C54" s="23" t="s">
        <v>574</v>
      </c>
    </row>
    <row r="55" spans="2:15" x14ac:dyDescent="0.25">
      <c r="L55" s="24"/>
    </row>
    <row r="56" spans="2:15" x14ac:dyDescent="0.25">
      <c r="B56" s="21"/>
      <c r="L56" s="25"/>
    </row>
    <row r="57" spans="2:15" x14ac:dyDescent="0.25">
      <c r="B57" s="22"/>
    </row>
    <row r="58" spans="2:15" x14ac:dyDescent="0.25">
      <c r="B58" s="22"/>
    </row>
  </sheetData>
  <mergeCells count="54">
    <mergeCell ref="B12:C12"/>
    <mergeCell ref="A3:B3"/>
    <mergeCell ref="A4:B4"/>
    <mergeCell ref="A5:B5"/>
    <mergeCell ref="A6:B6"/>
    <mergeCell ref="B9:C9"/>
    <mergeCell ref="G9:G11"/>
    <mergeCell ref="J9:K9"/>
    <mergeCell ref="M9:Q9"/>
    <mergeCell ref="A10:A11"/>
    <mergeCell ref="B10:C11"/>
    <mergeCell ref="D10:D11"/>
    <mergeCell ref="E10:E11"/>
    <mergeCell ref="I10:I11"/>
    <mergeCell ref="M10:M11"/>
    <mergeCell ref="N10:N11"/>
    <mergeCell ref="F9:F11"/>
    <mergeCell ref="O10:O11"/>
    <mergeCell ref="P10:P11"/>
    <mergeCell ref="Q10:Q11"/>
    <mergeCell ref="B13:C13"/>
    <mergeCell ref="B26:C26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14:C14"/>
    <mergeCell ref="A37:A38"/>
    <mergeCell ref="B37:C38"/>
    <mergeCell ref="D37:D38"/>
    <mergeCell ref="E37:E38"/>
    <mergeCell ref="M37:M38"/>
    <mergeCell ref="B36:C36"/>
    <mergeCell ref="F36:F38"/>
    <mergeCell ref="G36:G38"/>
    <mergeCell ref="J36:K36"/>
    <mergeCell ref="M36:Q36"/>
    <mergeCell ref="O37:O38"/>
    <mergeCell ref="P37:P38"/>
    <mergeCell ref="Q37:Q38"/>
    <mergeCell ref="B44:C44"/>
    <mergeCell ref="N37:N38"/>
    <mergeCell ref="B39:C39"/>
    <mergeCell ref="B40:C40"/>
    <mergeCell ref="B41:C41"/>
    <mergeCell ref="B42:C42"/>
    <mergeCell ref="B43:C43"/>
  </mergeCells>
  <printOptions horizontalCentered="1"/>
  <pageMargins left="0.11811023622047245" right="0.35433070866141736" top="0.19685039370078741" bottom="0.15748031496062992" header="0" footer="0"/>
  <pageSetup paperSize="14" scale="65" orientation="landscape" horizontalDpi="180" verticalDpi="180" r:id="rId1"/>
  <headerFooter alignWithMargins="0">
    <oddFooter>&amp;L&amp;9&amp;F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34"/>
  <sheetViews>
    <sheetView view="pageBreakPreview" topLeftCell="A13" zoomScaleNormal="55" workbookViewId="0">
      <selection activeCell="L24" sqref="L24"/>
    </sheetView>
  </sheetViews>
  <sheetFormatPr defaultRowHeight="15.75" x14ac:dyDescent="0.25"/>
  <cols>
    <col min="2" max="2" width="7" customWidth="1"/>
    <col min="3" max="3" width="17.75" customWidth="1"/>
    <col min="4" max="4" width="10.875" customWidth="1"/>
    <col min="5" max="5" width="11.25" customWidth="1"/>
    <col min="6" max="6" width="11.5" customWidth="1"/>
    <col min="7" max="7" width="11.625" customWidth="1"/>
    <col min="8" max="8" width="15.5" customWidth="1"/>
    <col min="9" max="9" width="18.75" customWidth="1"/>
    <col min="10" max="10" width="15.375" customWidth="1"/>
    <col min="11" max="11" width="15.125" customWidth="1"/>
    <col min="13" max="13" width="11" customWidth="1"/>
    <col min="14" max="14" width="10.625" customWidth="1"/>
    <col min="15" max="15" width="9.625" customWidth="1"/>
    <col min="258" max="258" width="7" customWidth="1"/>
    <col min="259" max="259" width="17.75" customWidth="1"/>
    <col min="260" max="260" width="10.875" customWidth="1"/>
    <col min="261" max="261" width="11.25" customWidth="1"/>
    <col min="262" max="262" width="11.5" customWidth="1"/>
    <col min="263" max="263" width="11.625" customWidth="1"/>
    <col min="264" max="264" width="15.5" customWidth="1"/>
    <col min="265" max="265" width="18.75" customWidth="1"/>
    <col min="266" max="266" width="15.375" customWidth="1"/>
    <col min="267" max="267" width="15.125" customWidth="1"/>
    <col min="269" max="269" width="11" customWidth="1"/>
    <col min="270" max="270" width="10.625" customWidth="1"/>
    <col min="271" max="271" width="9.625" customWidth="1"/>
    <col min="514" max="514" width="7" customWidth="1"/>
    <col min="515" max="515" width="17.75" customWidth="1"/>
    <col min="516" max="516" width="10.875" customWidth="1"/>
    <col min="517" max="517" width="11.25" customWidth="1"/>
    <col min="518" max="518" width="11.5" customWidth="1"/>
    <col min="519" max="519" width="11.625" customWidth="1"/>
    <col min="520" max="520" width="15.5" customWidth="1"/>
    <col min="521" max="521" width="18.75" customWidth="1"/>
    <col min="522" max="522" width="15.375" customWidth="1"/>
    <col min="523" max="523" width="15.125" customWidth="1"/>
    <col min="525" max="525" width="11" customWidth="1"/>
    <col min="526" max="526" width="10.625" customWidth="1"/>
    <col min="527" max="527" width="9.625" customWidth="1"/>
    <col min="770" max="770" width="7" customWidth="1"/>
    <col min="771" max="771" width="17.75" customWidth="1"/>
    <col min="772" max="772" width="10.875" customWidth="1"/>
    <col min="773" max="773" width="11.25" customWidth="1"/>
    <col min="774" max="774" width="11.5" customWidth="1"/>
    <col min="775" max="775" width="11.625" customWidth="1"/>
    <col min="776" max="776" width="15.5" customWidth="1"/>
    <col min="777" max="777" width="18.75" customWidth="1"/>
    <col min="778" max="778" width="15.375" customWidth="1"/>
    <col min="779" max="779" width="15.125" customWidth="1"/>
    <col min="781" max="781" width="11" customWidth="1"/>
    <col min="782" max="782" width="10.625" customWidth="1"/>
    <col min="783" max="783" width="9.625" customWidth="1"/>
    <col min="1026" max="1026" width="7" customWidth="1"/>
    <col min="1027" max="1027" width="17.75" customWidth="1"/>
    <col min="1028" max="1028" width="10.875" customWidth="1"/>
    <col min="1029" max="1029" width="11.25" customWidth="1"/>
    <col min="1030" max="1030" width="11.5" customWidth="1"/>
    <col min="1031" max="1031" width="11.625" customWidth="1"/>
    <col min="1032" max="1032" width="15.5" customWidth="1"/>
    <col min="1033" max="1033" width="18.75" customWidth="1"/>
    <col min="1034" max="1034" width="15.375" customWidth="1"/>
    <col min="1035" max="1035" width="15.125" customWidth="1"/>
    <col min="1037" max="1037" width="11" customWidth="1"/>
    <col min="1038" max="1038" width="10.625" customWidth="1"/>
    <col min="1039" max="1039" width="9.625" customWidth="1"/>
    <col min="1282" max="1282" width="7" customWidth="1"/>
    <col min="1283" max="1283" width="17.75" customWidth="1"/>
    <col min="1284" max="1284" width="10.875" customWidth="1"/>
    <col min="1285" max="1285" width="11.25" customWidth="1"/>
    <col min="1286" max="1286" width="11.5" customWidth="1"/>
    <col min="1287" max="1287" width="11.625" customWidth="1"/>
    <col min="1288" max="1288" width="15.5" customWidth="1"/>
    <col min="1289" max="1289" width="18.75" customWidth="1"/>
    <col min="1290" max="1290" width="15.375" customWidth="1"/>
    <col min="1291" max="1291" width="15.125" customWidth="1"/>
    <col min="1293" max="1293" width="11" customWidth="1"/>
    <col min="1294" max="1294" width="10.625" customWidth="1"/>
    <col min="1295" max="1295" width="9.625" customWidth="1"/>
    <col min="1538" max="1538" width="7" customWidth="1"/>
    <col min="1539" max="1539" width="17.75" customWidth="1"/>
    <col min="1540" max="1540" width="10.875" customWidth="1"/>
    <col min="1541" max="1541" width="11.25" customWidth="1"/>
    <col min="1542" max="1542" width="11.5" customWidth="1"/>
    <col min="1543" max="1543" width="11.625" customWidth="1"/>
    <col min="1544" max="1544" width="15.5" customWidth="1"/>
    <col min="1545" max="1545" width="18.75" customWidth="1"/>
    <col min="1546" max="1546" width="15.375" customWidth="1"/>
    <col min="1547" max="1547" width="15.125" customWidth="1"/>
    <col min="1549" max="1549" width="11" customWidth="1"/>
    <col min="1550" max="1550" width="10.625" customWidth="1"/>
    <col min="1551" max="1551" width="9.625" customWidth="1"/>
    <col min="1794" max="1794" width="7" customWidth="1"/>
    <col min="1795" max="1795" width="17.75" customWidth="1"/>
    <col min="1796" max="1796" width="10.875" customWidth="1"/>
    <col min="1797" max="1797" width="11.25" customWidth="1"/>
    <col min="1798" max="1798" width="11.5" customWidth="1"/>
    <col min="1799" max="1799" width="11.625" customWidth="1"/>
    <col min="1800" max="1800" width="15.5" customWidth="1"/>
    <col min="1801" max="1801" width="18.75" customWidth="1"/>
    <col min="1802" max="1802" width="15.375" customWidth="1"/>
    <col min="1803" max="1803" width="15.125" customWidth="1"/>
    <col min="1805" max="1805" width="11" customWidth="1"/>
    <col min="1806" max="1806" width="10.625" customWidth="1"/>
    <col min="1807" max="1807" width="9.625" customWidth="1"/>
    <col min="2050" max="2050" width="7" customWidth="1"/>
    <col min="2051" max="2051" width="17.75" customWidth="1"/>
    <col min="2052" max="2052" width="10.875" customWidth="1"/>
    <col min="2053" max="2053" width="11.25" customWidth="1"/>
    <col min="2054" max="2054" width="11.5" customWidth="1"/>
    <col min="2055" max="2055" width="11.625" customWidth="1"/>
    <col min="2056" max="2056" width="15.5" customWidth="1"/>
    <col min="2057" max="2057" width="18.75" customWidth="1"/>
    <col min="2058" max="2058" width="15.375" customWidth="1"/>
    <col min="2059" max="2059" width="15.125" customWidth="1"/>
    <col min="2061" max="2061" width="11" customWidth="1"/>
    <col min="2062" max="2062" width="10.625" customWidth="1"/>
    <col min="2063" max="2063" width="9.625" customWidth="1"/>
    <col min="2306" max="2306" width="7" customWidth="1"/>
    <col min="2307" max="2307" width="17.75" customWidth="1"/>
    <col min="2308" max="2308" width="10.875" customWidth="1"/>
    <col min="2309" max="2309" width="11.25" customWidth="1"/>
    <col min="2310" max="2310" width="11.5" customWidth="1"/>
    <col min="2311" max="2311" width="11.625" customWidth="1"/>
    <col min="2312" max="2312" width="15.5" customWidth="1"/>
    <col min="2313" max="2313" width="18.75" customWidth="1"/>
    <col min="2314" max="2314" width="15.375" customWidth="1"/>
    <col min="2315" max="2315" width="15.125" customWidth="1"/>
    <col min="2317" max="2317" width="11" customWidth="1"/>
    <col min="2318" max="2318" width="10.625" customWidth="1"/>
    <col min="2319" max="2319" width="9.625" customWidth="1"/>
    <col min="2562" max="2562" width="7" customWidth="1"/>
    <col min="2563" max="2563" width="17.75" customWidth="1"/>
    <col min="2564" max="2564" width="10.875" customWidth="1"/>
    <col min="2565" max="2565" width="11.25" customWidth="1"/>
    <col min="2566" max="2566" width="11.5" customWidth="1"/>
    <col min="2567" max="2567" width="11.625" customWidth="1"/>
    <col min="2568" max="2568" width="15.5" customWidth="1"/>
    <col min="2569" max="2569" width="18.75" customWidth="1"/>
    <col min="2570" max="2570" width="15.375" customWidth="1"/>
    <col min="2571" max="2571" width="15.125" customWidth="1"/>
    <col min="2573" max="2573" width="11" customWidth="1"/>
    <col min="2574" max="2574" width="10.625" customWidth="1"/>
    <col min="2575" max="2575" width="9.625" customWidth="1"/>
    <col min="2818" max="2818" width="7" customWidth="1"/>
    <col min="2819" max="2819" width="17.75" customWidth="1"/>
    <col min="2820" max="2820" width="10.875" customWidth="1"/>
    <col min="2821" max="2821" width="11.25" customWidth="1"/>
    <col min="2822" max="2822" width="11.5" customWidth="1"/>
    <col min="2823" max="2823" width="11.625" customWidth="1"/>
    <col min="2824" max="2824" width="15.5" customWidth="1"/>
    <col min="2825" max="2825" width="18.75" customWidth="1"/>
    <col min="2826" max="2826" width="15.375" customWidth="1"/>
    <col min="2827" max="2827" width="15.125" customWidth="1"/>
    <col min="2829" max="2829" width="11" customWidth="1"/>
    <col min="2830" max="2830" width="10.625" customWidth="1"/>
    <col min="2831" max="2831" width="9.625" customWidth="1"/>
    <col min="3074" max="3074" width="7" customWidth="1"/>
    <col min="3075" max="3075" width="17.75" customWidth="1"/>
    <col min="3076" max="3076" width="10.875" customWidth="1"/>
    <col min="3077" max="3077" width="11.25" customWidth="1"/>
    <col min="3078" max="3078" width="11.5" customWidth="1"/>
    <col min="3079" max="3079" width="11.625" customWidth="1"/>
    <col min="3080" max="3080" width="15.5" customWidth="1"/>
    <col min="3081" max="3081" width="18.75" customWidth="1"/>
    <col min="3082" max="3082" width="15.375" customWidth="1"/>
    <col min="3083" max="3083" width="15.125" customWidth="1"/>
    <col min="3085" max="3085" width="11" customWidth="1"/>
    <col min="3086" max="3086" width="10.625" customWidth="1"/>
    <col min="3087" max="3087" width="9.625" customWidth="1"/>
    <col min="3330" max="3330" width="7" customWidth="1"/>
    <col min="3331" max="3331" width="17.75" customWidth="1"/>
    <col min="3332" max="3332" width="10.875" customWidth="1"/>
    <col min="3333" max="3333" width="11.25" customWidth="1"/>
    <col min="3334" max="3334" width="11.5" customWidth="1"/>
    <col min="3335" max="3335" width="11.625" customWidth="1"/>
    <col min="3336" max="3336" width="15.5" customWidth="1"/>
    <col min="3337" max="3337" width="18.75" customWidth="1"/>
    <col min="3338" max="3338" width="15.375" customWidth="1"/>
    <col min="3339" max="3339" width="15.125" customWidth="1"/>
    <col min="3341" max="3341" width="11" customWidth="1"/>
    <col min="3342" max="3342" width="10.625" customWidth="1"/>
    <col min="3343" max="3343" width="9.625" customWidth="1"/>
    <col min="3586" max="3586" width="7" customWidth="1"/>
    <col min="3587" max="3587" width="17.75" customWidth="1"/>
    <col min="3588" max="3588" width="10.875" customWidth="1"/>
    <col min="3589" max="3589" width="11.25" customWidth="1"/>
    <col min="3590" max="3590" width="11.5" customWidth="1"/>
    <col min="3591" max="3591" width="11.625" customWidth="1"/>
    <col min="3592" max="3592" width="15.5" customWidth="1"/>
    <col min="3593" max="3593" width="18.75" customWidth="1"/>
    <col min="3594" max="3594" width="15.375" customWidth="1"/>
    <col min="3595" max="3595" width="15.125" customWidth="1"/>
    <col min="3597" max="3597" width="11" customWidth="1"/>
    <col min="3598" max="3598" width="10.625" customWidth="1"/>
    <col min="3599" max="3599" width="9.625" customWidth="1"/>
    <col min="3842" max="3842" width="7" customWidth="1"/>
    <col min="3843" max="3843" width="17.75" customWidth="1"/>
    <col min="3844" max="3844" width="10.875" customWidth="1"/>
    <col min="3845" max="3845" width="11.25" customWidth="1"/>
    <col min="3846" max="3846" width="11.5" customWidth="1"/>
    <col min="3847" max="3847" width="11.625" customWidth="1"/>
    <col min="3848" max="3848" width="15.5" customWidth="1"/>
    <col min="3849" max="3849" width="18.75" customWidth="1"/>
    <col min="3850" max="3850" width="15.375" customWidth="1"/>
    <col min="3851" max="3851" width="15.125" customWidth="1"/>
    <col min="3853" max="3853" width="11" customWidth="1"/>
    <col min="3854" max="3854" width="10.625" customWidth="1"/>
    <col min="3855" max="3855" width="9.625" customWidth="1"/>
    <col min="4098" max="4098" width="7" customWidth="1"/>
    <col min="4099" max="4099" width="17.75" customWidth="1"/>
    <col min="4100" max="4100" width="10.875" customWidth="1"/>
    <col min="4101" max="4101" width="11.25" customWidth="1"/>
    <col min="4102" max="4102" width="11.5" customWidth="1"/>
    <col min="4103" max="4103" width="11.625" customWidth="1"/>
    <col min="4104" max="4104" width="15.5" customWidth="1"/>
    <col min="4105" max="4105" width="18.75" customWidth="1"/>
    <col min="4106" max="4106" width="15.375" customWidth="1"/>
    <col min="4107" max="4107" width="15.125" customWidth="1"/>
    <col min="4109" max="4109" width="11" customWidth="1"/>
    <col min="4110" max="4110" width="10.625" customWidth="1"/>
    <col min="4111" max="4111" width="9.625" customWidth="1"/>
    <col min="4354" max="4354" width="7" customWidth="1"/>
    <col min="4355" max="4355" width="17.75" customWidth="1"/>
    <col min="4356" max="4356" width="10.875" customWidth="1"/>
    <col min="4357" max="4357" width="11.25" customWidth="1"/>
    <col min="4358" max="4358" width="11.5" customWidth="1"/>
    <col min="4359" max="4359" width="11.625" customWidth="1"/>
    <col min="4360" max="4360" width="15.5" customWidth="1"/>
    <col min="4361" max="4361" width="18.75" customWidth="1"/>
    <col min="4362" max="4362" width="15.375" customWidth="1"/>
    <col min="4363" max="4363" width="15.125" customWidth="1"/>
    <col min="4365" max="4365" width="11" customWidth="1"/>
    <col min="4366" max="4366" width="10.625" customWidth="1"/>
    <col min="4367" max="4367" width="9.625" customWidth="1"/>
    <col min="4610" max="4610" width="7" customWidth="1"/>
    <col min="4611" max="4611" width="17.75" customWidth="1"/>
    <col min="4612" max="4612" width="10.875" customWidth="1"/>
    <col min="4613" max="4613" width="11.25" customWidth="1"/>
    <col min="4614" max="4614" width="11.5" customWidth="1"/>
    <col min="4615" max="4615" width="11.625" customWidth="1"/>
    <col min="4616" max="4616" width="15.5" customWidth="1"/>
    <col min="4617" max="4617" width="18.75" customWidth="1"/>
    <col min="4618" max="4618" width="15.375" customWidth="1"/>
    <col min="4619" max="4619" width="15.125" customWidth="1"/>
    <col min="4621" max="4621" width="11" customWidth="1"/>
    <col min="4622" max="4622" width="10.625" customWidth="1"/>
    <col min="4623" max="4623" width="9.625" customWidth="1"/>
    <col min="4866" max="4866" width="7" customWidth="1"/>
    <col min="4867" max="4867" width="17.75" customWidth="1"/>
    <col min="4868" max="4868" width="10.875" customWidth="1"/>
    <col min="4869" max="4869" width="11.25" customWidth="1"/>
    <col min="4870" max="4870" width="11.5" customWidth="1"/>
    <col min="4871" max="4871" width="11.625" customWidth="1"/>
    <col min="4872" max="4872" width="15.5" customWidth="1"/>
    <col min="4873" max="4873" width="18.75" customWidth="1"/>
    <col min="4874" max="4874" width="15.375" customWidth="1"/>
    <col min="4875" max="4875" width="15.125" customWidth="1"/>
    <col min="4877" max="4877" width="11" customWidth="1"/>
    <col min="4878" max="4878" width="10.625" customWidth="1"/>
    <col min="4879" max="4879" width="9.625" customWidth="1"/>
    <col min="5122" max="5122" width="7" customWidth="1"/>
    <col min="5123" max="5123" width="17.75" customWidth="1"/>
    <col min="5124" max="5124" width="10.875" customWidth="1"/>
    <col min="5125" max="5125" width="11.25" customWidth="1"/>
    <col min="5126" max="5126" width="11.5" customWidth="1"/>
    <col min="5127" max="5127" width="11.625" customWidth="1"/>
    <col min="5128" max="5128" width="15.5" customWidth="1"/>
    <col min="5129" max="5129" width="18.75" customWidth="1"/>
    <col min="5130" max="5130" width="15.375" customWidth="1"/>
    <col min="5131" max="5131" width="15.125" customWidth="1"/>
    <col min="5133" max="5133" width="11" customWidth="1"/>
    <col min="5134" max="5134" width="10.625" customWidth="1"/>
    <col min="5135" max="5135" width="9.625" customWidth="1"/>
    <col min="5378" max="5378" width="7" customWidth="1"/>
    <col min="5379" max="5379" width="17.75" customWidth="1"/>
    <col min="5380" max="5380" width="10.875" customWidth="1"/>
    <col min="5381" max="5381" width="11.25" customWidth="1"/>
    <col min="5382" max="5382" width="11.5" customWidth="1"/>
    <col min="5383" max="5383" width="11.625" customWidth="1"/>
    <col min="5384" max="5384" width="15.5" customWidth="1"/>
    <col min="5385" max="5385" width="18.75" customWidth="1"/>
    <col min="5386" max="5386" width="15.375" customWidth="1"/>
    <col min="5387" max="5387" width="15.125" customWidth="1"/>
    <col min="5389" max="5389" width="11" customWidth="1"/>
    <col min="5390" max="5390" width="10.625" customWidth="1"/>
    <col min="5391" max="5391" width="9.625" customWidth="1"/>
    <col min="5634" max="5634" width="7" customWidth="1"/>
    <col min="5635" max="5635" width="17.75" customWidth="1"/>
    <col min="5636" max="5636" width="10.875" customWidth="1"/>
    <col min="5637" max="5637" width="11.25" customWidth="1"/>
    <col min="5638" max="5638" width="11.5" customWidth="1"/>
    <col min="5639" max="5639" width="11.625" customWidth="1"/>
    <col min="5640" max="5640" width="15.5" customWidth="1"/>
    <col min="5641" max="5641" width="18.75" customWidth="1"/>
    <col min="5642" max="5642" width="15.375" customWidth="1"/>
    <col min="5643" max="5643" width="15.125" customWidth="1"/>
    <col min="5645" max="5645" width="11" customWidth="1"/>
    <col min="5646" max="5646" width="10.625" customWidth="1"/>
    <col min="5647" max="5647" width="9.625" customWidth="1"/>
    <col min="5890" max="5890" width="7" customWidth="1"/>
    <col min="5891" max="5891" width="17.75" customWidth="1"/>
    <col min="5892" max="5892" width="10.875" customWidth="1"/>
    <col min="5893" max="5893" width="11.25" customWidth="1"/>
    <col min="5894" max="5894" width="11.5" customWidth="1"/>
    <col min="5895" max="5895" width="11.625" customWidth="1"/>
    <col min="5896" max="5896" width="15.5" customWidth="1"/>
    <col min="5897" max="5897" width="18.75" customWidth="1"/>
    <col min="5898" max="5898" width="15.375" customWidth="1"/>
    <col min="5899" max="5899" width="15.125" customWidth="1"/>
    <col min="5901" max="5901" width="11" customWidth="1"/>
    <col min="5902" max="5902" width="10.625" customWidth="1"/>
    <col min="5903" max="5903" width="9.625" customWidth="1"/>
    <col min="6146" max="6146" width="7" customWidth="1"/>
    <col min="6147" max="6147" width="17.75" customWidth="1"/>
    <col min="6148" max="6148" width="10.875" customWidth="1"/>
    <col min="6149" max="6149" width="11.25" customWidth="1"/>
    <col min="6150" max="6150" width="11.5" customWidth="1"/>
    <col min="6151" max="6151" width="11.625" customWidth="1"/>
    <col min="6152" max="6152" width="15.5" customWidth="1"/>
    <col min="6153" max="6153" width="18.75" customWidth="1"/>
    <col min="6154" max="6154" width="15.375" customWidth="1"/>
    <col min="6155" max="6155" width="15.125" customWidth="1"/>
    <col min="6157" max="6157" width="11" customWidth="1"/>
    <col min="6158" max="6158" width="10.625" customWidth="1"/>
    <col min="6159" max="6159" width="9.625" customWidth="1"/>
    <col min="6402" max="6402" width="7" customWidth="1"/>
    <col min="6403" max="6403" width="17.75" customWidth="1"/>
    <col min="6404" max="6404" width="10.875" customWidth="1"/>
    <col min="6405" max="6405" width="11.25" customWidth="1"/>
    <col min="6406" max="6406" width="11.5" customWidth="1"/>
    <col min="6407" max="6407" width="11.625" customWidth="1"/>
    <col min="6408" max="6408" width="15.5" customWidth="1"/>
    <col min="6409" max="6409" width="18.75" customWidth="1"/>
    <col min="6410" max="6410" width="15.375" customWidth="1"/>
    <col min="6411" max="6411" width="15.125" customWidth="1"/>
    <col min="6413" max="6413" width="11" customWidth="1"/>
    <col min="6414" max="6414" width="10.625" customWidth="1"/>
    <col min="6415" max="6415" width="9.625" customWidth="1"/>
    <col min="6658" max="6658" width="7" customWidth="1"/>
    <col min="6659" max="6659" width="17.75" customWidth="1"/>
    <col min="6660" max="6660" width="10.875" customWidth="1"/>
    <col min="6661" max="6661" width="11.25" customWidth="1"/>
    <col min="6662" max="6662" width="11.5" customWidth="1"/>
    <col min="6663" max="6663" width="11.625" customWidth="1"/>
    <col min="6664" max="6664" width="15.5" customWidth="1"/>
    <col min="6665" max="6665" width="18.75" customWidth="1"/>
    <col min="6666" max="6666" width="15.375" customWidth="1"/>
    <col min="6667" max="6667" width="15.125" customWidth="1"/>
    <col min="6669" max="6669" width="11" customWidth="1"/>
    <col min="6670" max="6670" width="10.625" customWidth="1"/>
    <col min="6671" max="6671" width="9.625" customWidth="1"/>
    <col min="6914" max="6914" width="7" customWidth="1"/>
    <col min="6915" max="6915" width="17.75" customWidth="1"/>
    <col min="6916" max="6916" width="10.875" customWidth="1"/>
    <col min="6917" max="6917" width="11.25" customWidth="1"/>
    <col min="6918" max="6918" width="11.5" customWidth="1"/>
    <col min="6919" max="6919" width="11.625" customWidth="1"/>
    <col min="6920" max="6920" width="15.5" customWidth="1"/>
    <col min="6921" max="6921" width="18.75" customWidth="1"/>
    <col min="6922" max="6922" width="15.375" customWidth="1"/>
    <col min="6923" max="6923" width="15.125" customWidth="1"/>
    <col min="6925" max="6925" width="11" customWidth="1"/>
    <col min="6926" max="6926" width="10.625" customWidth="1"/>
    <col min="6927" max="6927" width="9.625" customWidth="1"/>
    <col min="7170" max="7170" width="7" customWidth="1"/>
    <col min="7171" max="7171" width="17.75" customWidth="1"/>
    <col min="7172" max="7172" width="10.875" customWidth="1"/>
    <col min="7173" max="7173" width="11.25" customWidth="1"/>
    <col min="7174" max="7174" width="11.5" customWidth="1"/>
    <col min="7175" max="7175" width="11.625" customWidth="1"/>
    <col min="7176" max="7176" width="15.5" customWidth="1"/>
    <col min="7177" max="7177" width="18.75" customWidth="1"/>
    <col min="7178" max="7178" width="15.375" customWidth="1"/>
    <col min="7179" max="7179" width="15.125" customWidth="1"/>
    <col min="7181" max="7181" width="11" customWidth="1"/>
    <col min="7182" max="7182" width="10.625" customWidth="1"/>
    <col min="7183" max="7183" width="9.625" customWidth="1"/>
    <col min="7426" max="7426" width="7" customWidth="1"/>
    <col min="7427" max="7427" width="17.75" customWidth="1"/>
    <col min="7428" max="7428" width="10.875" customWidth="1"/>
    <col min="7429" max="7429" width="11.25" customWidth="1"/>
    <col min="7430" max="7430" width="11.5" customWidth="1"/>
    <col min="7431" max="7431" width="11.625" customWidth="1"/>
    <col min="7432" max="7432" width="15.5" customWidth="1"/>
    <col min="7433" max="7433" width="18.75" customWidth="1"/>
    <col min="7434" max="7434" width="15.375" customWidth="1"/>
    <col min="7435" max="7435" width="15.125" customWidth="1"/>
    <col min="7437" max="7437" width="11" customWidth="1"/>
    <col min="7438" max="7438" width="10.625" customWidth="1"/>
    <col min="7439" max="7439" width="9.625" customWidth="1"/>
    <col min="7682" max="7682" width="7" customWidth="1"/>
    <col min="7683" max="7683" width="17.75" customWidth="1"/>
    <col min="7684" max="7684" width="10.875" customWidth="1"/>
    <col min="7685" max="7685" width="11.25" customWidth="1"/>
    <col min="7686" max="7686" width="11.5" customWidth="1"/>
    <col min="7687" max="7687" width="11.625" customWidth="1"/>
    <col min="7688" max="7688" width="15.5" customWidth="1"/>
    <col min="7689" max="7689" width="18.75" customWidth="1"/>
    <col min="7690" max="7690" width="15.375" customWidth="1"/>
    <col min="7691" max="7691" width="15.125" customWidth="1"/>
    <col min="7693" max="7693" width="11" customWidth="1"/>
    <col min="7694" max="7694" width="10.625" customWidth="1"/>
    <col min="7695" max="7695" width="9.625" customWidth="1"/>
    <col min="7938" max="7938" width="7" customWidth="1"/>
    <col min="7939" max="7939" width="17.75" customWidth="1"/>
    <col min="7940" max="7940" width="10.875" customWidth="1"/>
    <col min="7941" max="7941" width="11.25" customWidth="1"/>
    <col min="7942" max="7942" width="11.5" customWidth="1"/>
    <col min="7943" max="7943" width="11.625" customWidth="1"/>
    <col min="7944" max="7944" width="15.5" customWidth="1"/>
    <col min="7945" max="7945" width="18.75" customWidth="1"/>
    <col min="7946" max="7946" width="15.375" customWidth="1"/>
    <col min="7947" max="7947" width="15.125" customWidth="1"/>
    <col min="7949" max="7949" width="11" customWidth="1"/>
    <col min="7950" max="7950" width="10.625" customWidth="1"/>
    <col min="7951" max="7951" width="9.625" customWidth="1"/>
    <col min="8194" max="8194" width="7" customWidth="1"/>
    <col min="8195" max="8195" width="17.75" customWidth="1"/>
    <col min="8196" max="8196" width="10.875" customWidth="1"/>
    <col min="8197" max="8197" width="11.25" customWidth="1"/>
    <col min="8198" max="8198" width="11.5" customWidth="1"/>
    <col min="8199" max="8199" width="11.625" customWidth="1"/>
    <col min="8200" max="8200" width="15.5" customWidth="1"/>
    <col min="8201" max="8201" width="18.75" customWidth="1"/>
    <col min="8202" max="8202" width="15.375" customWidth="1"/>
    <col min="8203" max="8203" width="15.125" customWidth="1"/>
    <col min="8205" max="8205" width="11" customWidth="1"/>
    <col min="8206" max="8206" width="10.625" customWidth="1"/>
    <col min="8207" max="8207" width="9.625" customWidth="1"/>
    <col min="8450" max="8450" width="7" customWidth="1"/>
    <col min="8451" max="8451" width="17.75" customWidth="1"/>
    <col min="8452" max="8452" width="10.875" customWidth="1"/>
    <col min="8453" max="8453" width="11.25" customWidth="1"/>
    <col min="8454" max="8454" width="11.5" customWidth="1"/>
    <col min="8455" max="8455" width="11.625" customWidth="1"/>
    <col min="8456" max="8456" width="15.5" customWidth="1"/>
    <col min="8457" max="8457" width="18.75" customWidth="1"/>
    <col min="8458" max="8458" width="15.375" customWidth="1"/>
    <col min="8459" max="8459" width="15.125" customWidth="1"/>
    <col min="8461" max="8461" width="11" customWidth="1"/>
    <col min="8462" max="8462" width="10.625" customWidth="1"/>
    <col min="8463" max="8463" width="9.625" customWidth="1"/>
    <col min="8706" max="8706" width="7" customWidth="1"/>
    <col min="8707" max="8707" width="17.75" customWidth="1"/>
    <col min="8708" max="8708" width="10.875" customWidth="1"/>
    <col min="8709" max="8709" width="11.25" customWidth="1"/>
    <col min="8710" max="8710" width="11.5" customWidth="1"/>
    <col min="8711" max="8711" width="11.625" customWidth="1"/>
    <col min="8712" max="8712" width="15.5" customWidth="1"/>
    <col min="8713" max="8713" width="18.75" customWidth="1"/>
    <col min="8714" max="8714" width="15.375" customWidth="1"/>
    <col min="8715" max="8715" width="15.125" customWidth="1"/>
    <col min="8717" max="8717" width="11" customWidth="1"/>
    <col min="8718" max="8718" width="10.625" customWidth="1"/>
    <col min="8719" max="8719" width="9.625" customWidth="1"/>
    <col min="8962" max="8962" width="7" customWidth="1"/>
    <col min="8963" max="8963" width="17.75" customWidth="1"/>
    <col min="8964" max="8964" width="10.875" customWidth="1"/>
    <col min="8965" max="8965" width="11.25" customWidth="1"/>
    <col min="8966" max="8966" width="11.5" customWidth="1"/>
    <col min="8967" max="8967" width="11.625" customWidth="1"/>
    <col min="8968" max="8968" width="15.5" customWidth="1"/>
    <col min="8969" max="8969" width="18.75" customWidth="1"/>
    <col min="8970" max="8970" width="15.375" customWidth="1"/>
    <col min="8971" max="8971" width="15.125" customWidth="1"/>
    <col min="8973" max="8973" width="11" customWidth="1"/>
    <col min="8974" max="8974" width="10.625" customWidth="1"/>
    <col min="8975" max="8975" width="9.625" customWidth="1"/>
    <col min="9218" max="9218" width="7" customWidth="1"/>
    <col min="9219" max="9219" width="17.75" customWidth="1"/>
    <col min="9220" max="9220" width="10.875" customWidth="1"/>
    <col min="9221" max="9221" width="11.25" customWidth="1"/>
    <col min="9222" max="9222" width="11.5" customWidth="1"/>
    <col min="9223" max="9223" width="11.625" customWidth="1"/>
    <col min="9224" max="9224" width="15.5" customWidth="1"/>
    <col min="9225" max="9225" width="18.75" customWidth="1"/>
    <col min="9226" max="9226" width="15.375" customWidth="1"/>
    <col min="9227" max="9227" width="15.125" customWidth="1"/>
    <col min="9229" max="9229" width="11" customWidth="1"/>
    <col min="9230" max="9230" width="10.625" customWidth="1"/>
    <col min="9231" max="9231" width="9.625" customWidth="1"/>
    <col min="9474" max="9474" width="7" customWidth="1"/>
    <col min="9475" max="9475" width="17.75" customWidth="1"/>
    <col min="9476" max="9476" width="10.875" customWidth="1"/>
    <col min="9477" max="9477" width="11.25" customWidth="1"/>
    <col min="9478" max="9478" width="11.5" customWidth="1"/>
    <col min="9479" max="9479" width="11.625" customWidth="1"/>
    <col min="9480" max="9480" width="15.5" customWidth="1"/>
    <col min="9481" max="9481" width="18.75" customWidth="1"/>
    <col min="9482" max="9482" width="15.375" customWidth="1"/>
    <col min="9483" max="9483" width="15.125" customWidth="1"/>
    <col min="9485" max="9485" width="11" customWidth="1"/>
    <col min="9486" max="9486" width="10.625" customWidth="1"/>
    <col min="9487" max="9487" width="9.625" customWidth="1"/>
    <col min="9730" max="9730" width="7" customWidth="1"/>
    <col min="9731" max="9731" width="17.75" customWidth="1"/>
    <col min="9732" max="9732" width="10.875" customWidth="1"/>
    <col min="9733" max="9733" width="11.25" customWidth="1"/>
    <col min="9734" max="9734" width="11.5" customWidth="1"/>
    <col min="9735" max="9735" width="11.625" customWidth="1"/>
    <col min="9736" max="9736" width="15.5" customWidth="1"/>
    <col min="9737" max="9737" width="18.75" customWidth="1"/>
    <col min="9738" max="9738" width="15.375" customWidth="1"/>
    <col min="9739" max="9739" width="15.125" customWidth="1"/>
    <col min="9741" max="9741" width="11" customWidth="1"/>
    <col min="9742" max="9742" width="10.625" customWidth="1"/>
    <col min="9743" max="9743" width="9.625" customWidth="1"/>
    <col min="9986" max="9986" width="7" customWidth="1"/>
    <col min="9987" max="9987" width="17.75" customWidth="1"/>
    <col min="9988" max="9988" width="10.875" customWidth="1"/>
    <col min="9989" max="9989" width="11.25" customWidth="1"/>
    <col min="9990" max="9990" width="11.5" customWidth="1"/>
    <col min="9991" max="9991" width="11.625" customWidth="1"/>
    <col min="9992" max="9992" width="15.5" customWidth="1"/>
    <col min="9993" max="9993" width="18.75" customWidth="1"/>
    <col min="9994" max="9994" width="15.375" customWidth="1"/>
    <col min="9995" max="9995" width="15.125" customWidth="1"/>
    <col min="9997" max="9997" width="11" customWidth="1"/>
    <col min="9998" max="9998" width="10.625" customWidth="1"/>
    <col min="9999" max="9999" width="9.625" customWidth="1"/>
    <col min="10242" max="10242" width="7" customWidth="1"/>
    <col min="10243" max="10243" width="17.75" customWidth="1"/>
    <col min="10244" max="10244" width="10.875" customWidth="1"/>
    <col min="10245" max="10245" width="11.25" customWidth="1"/>
    <col min="10246" max="10246" width="11.5" customWidth="1"/>
    <col min="10247" max="10247" width="11.625" customWidth="1"/>
    <col min="10248" max="10248" width="15.5" customWidth="1"/>
    <col min="10249" max="10249" width="18.75" customWidth="1"/>
    <col min="10250" max="10250" width="15.375" customWidth="1"/>
    <col min="10251" max="10251" width="15.125" customWidth="1"/>
    <col min="10253" max="10253" width="11" customWidth="1"/>
    <col min="10254" max="10254" width="10.625" customWidth="1"/>
    <col min="10255" max="10255" width="9.625" customWidth="1"/>
    <col min="10498" max="10498" width="7" customWidth="1"/>
    <col min="10499" max="10499" width="17.75" customWidth="1"/>
    <col min="10500" max="10500" width="10.875" customWidth="1"/>
    <col min="10501" max="10501" width="11.25" customWidth="1"/>
    <col min="10502" max="10502" width="11.5" customWidth="1"/>
    <col min="10503" max="10503" width="11.625" customWidth="1"/>
    <col min="10504" max="10504" width="15.5" customWidth="1"/>
    <col min="10505" max="10505" width="18.75" customWidth="1"/>
    <col min="10506" max="10506" width="15.375" customWidth="1"/>
    <col min="10507" max="10507" width="15.125" customWidth="1"/>
    <col min="10509" max="10509" width="11" customWidth="1"/>
    <col min="10510" max="10510" width="10.625" customWidth="1"/>
    <col min="10511" max="10511" width="9.625" customWidth="1"/>
    <col min="10754" max="10754" width="7" customWidth="1"/>
    <col min="10755" max="10755" width="17.75" customWidth="1"/>
    <col min="10756" max="10756" width="10.875" customWidth="1"/>
    <col min="10757" max="10757" width="11.25" customWidth="1"/>
    <col min="10758" max="10758" width="11.5" customWidth="1"/>
    <col min="10759" max="10759" width="11.625" customWidth="1"/>
    <col min="10760" max="10760" width="15.5" customWidth="1"/>
    <col min="10761" max="10761" width="18.75" customWidth="1"/>
    <col min="10762" max="10762" width="15.375" customWidth="1"/>
    <col min="10763" max="10763" width="15.125" customWidth="1"/>
    <col min="10765" max="10765" width="11" customWidth="1"/>
    <col min="10766" max="10766" width="10.625" customWidth="1"/>
    <col min="10767" max="10767" width="9.625" customWidth="1"/>
    <col min="11010" max="11010" width="7" customWidth="1"/>
    <col min="11011" max="11011" width="17.75" customWidth="1"/>
    <col min="11012" max="11012" width="10.875" customWidth="1"/>
    <col min="11013" max="11013" width="11.25" customWidth="1"/>
    <col min="11014" max="11014" width="11.5" customWidth="1"/>
    <col min="11015" max="11015" width="11.625" customWidth="1"/>
    <col min="11016" max="11016" width="15.5" customWidth="1"/>
    <col min="11017" max="11017" width="18.75" customWidth="1"/>
    <col min="11018" max="11018" width="15.375" customWidth="1"/>
    <col min="11019" max="11019" width="15.125" customWidth="1"/>
    <col min="11021" max="11021" width="11" customWidth="1"/>
    <col min="11022" max="11022" width="10.625" customWidth="1"/>
    <col min="11023" max="11023" width="9.625" customWidth="1"/>
    <col min="11266" max="11266" width="7" customWidth="1"/>
    <col min="11267" max="11267" width="17.75" customWidth="1"/>
    <col min="11268" max="11268" width="10.875" customWidth="1"/>
    <col min="11269" max="11269" width="11.25" customWidth="1"/>
    <col min="11270" max="11270" width="11.5" customWidth="1"/>
    <col min="11271" max="11271" width="11.625" customWidth="1"/>
    <col min="11272" max="11272" width="15.5" customWidth="1"/>
    <col min="11273" max="11273" width="18.75" customWidth="1"/>
    <col min="11274" max="11274" width="15.375" customWidth="1"/>
    <col min="11275" max="11275" width="15.125" customWidth="1"/>
    <col min="11277" max="11277" width="11" customWidth="1"/>
    <col min="11278" max="11278" width="10.625" customWidth="1"/>
    <col min="11279" max="11279" width="9.625" customWidth="1"/>
    <col min="11522" max="11522" width="7" customWidth="1"/>
    <col min="11523" max="11523" width="17.75" customWidth="1"/>
    <col min="11524" max="11524" width="10.875" customWidth="1"/>
    <col min="11525" max="11525" width="11.25" customWidth="1"/>
    <col min="11526" max="11526" width="11.5" customWidth="1"/>
    <col min="11527" max="11527" width="11.625" customWidth="1"/>
    <col min="11528" max="11528" width="15.5" customWidth="1"/>
    <col min="11529" max="11529" width="18.75" customWidth="1"/>
    <col min="11530" max="11530" width="15.375" customWidth="1"/>
    <col min="11531" max="11531" width="15.125" customWidth="1"/>
    <col min="11533" max="11533" width="11" customWidth="1"/>
    <col min="11534" max="11534" width="10.625" customWidth="1"/>
    <col min="11535" max="11535" width="9.625" customWidth="1"/>
    <col min="11778" max="11778" width="7" customWidth="1"/>
    <col min="11779" max="11779" width="17.75" customWidth="1"/>
    <col min="11780" max="11780" width="10.875" customWidth="1"/>
    <col min="11781" max="11781" width="11.25" customWidth="1"/>
    <col min="11782" max="11782" width="11.5" customWidth="1"/>
    <col min="11783" max="11783" width="11.625" customWidth="1"/>
    <col min="11784" max="11784" width="15.5" customWidth="1"/>
    <col min="11785" max="11785" width="18.75" customWidth="1"/>
    <col min="11786" max="11786" width="15.375" customWidth="1"/>
    <col min="11787" max="11787" width="15.125" customWidth="1"/>
    <col min="11789" max="11789" width="11" customWidth="1"/>
    <col min="11790" max="11790" width="10.625" customWidth="1"/>
    <col min="11791" max="11791" width="9.625" customWidth="1"/>
    <col min="12034" max="12034" width="7" customWidth="1"/>
    <col min="12035" max="12035" width="17.75" customWidth="1"/>
    <col min="12036" max="12036" width="10.875" customWidth="1"/>
    <col min="12037" max="12037" width="11.25" customWidth="1"/>
    <col min="12038" max="12038" width="11.5" customWidth="1"/>
    <col min="12039" max="12039" width="11.625" customWidth="1"/>
    <col min="12040" max="12040" width="15.5" customWidth="1"/>
    <col min="12041" max="12041" width="18.75" customWidth="1"/>
    <col min="12042" max="12042" width="15.375" customWidth="1"/>
    <col min="12043" max="12043" width="15.125" customWidth="1"/>
    <col min="12045" max="12045" width="11" customWidth="1"/>
    <col min="12046" max="12046" width="10.625" customWidth="1"/>
    <col min="12047" max="12047" width="9.625" customWidth="1"/>
    <col min="12290" max="12290" width="7" customWidth="1"/>
    <col min="12291" max="12291" width="17.75" customWidth="1"/>
    <col min="12292" max="12292" width="10.875" customWidth="1"/>
    <col min="12293" max="12293" width="11.25" customWidth="1"/>
    <col min="12294" max="12294" width="11.5" customWidth="1"/>
    <col min="12295" max="12295" width="11.625" customWidth="1"/>
    <col min="12296" max="12296" width="15.5" customWidth="1"/>
    <col min="12297" max="12297" width="18.75" customWidth="1"/>
    <col min="12298" max="12298" width="15.375" customWidth="1"/>
    <col min="12299" max="12299" width="15.125" customWidth="1"/>
    <col min="12301" max="12301" width="11" customWidth="1"/>
    <col min="12302" max="12302" width="10.625" customWidth="1"/>
    <col min="12303" max="12303" width="9.625" customWidth="1"/>
    <col min="12546" max="12546" width="7" customWidth="1"/>
    <col min="12547" max="12547" width="17.75" customWidth="1"/>
    <col min="12548" max="12548" width="10.875" customWidth="1"/>
    <col min="12549" max="12549" width="11.25" customWidth="1"/>
    <col min="12550" max="12550" width="11.5" customWidth="1"/>
    <col min="12551" max="12551" width="11.625" customWidth="1"/>
    <col min="12552" max="12552" width="15.5" customWidth="1"/>
    <col min="12553" max="12553" width="18.75" customWidth="1"/>
    <col min="12554" max="12554" width="15.375" customWidth="1"/>
    <col min="12555" max="12555" width="15.125" customWidth="1"/>
    <col min="12557" max="12557" width="11" customWidth="1"/>
    <col min="12558" max="12558" width="10.625" customWidth="1"/>
    <col min="12559" max="12559" width="9.625" customWidth="1"/>
    <col min="12802" max="12802" width="7" customWidth="1"/>
    <col min="12803" max="12803" width="17.75" customWidth="1"/>
    <col min="12804" max="12804" width="10.875" customWidth="1"/>
    <col min="12805" max="12805" width="11.25" customWidth="1"/>
    <col min="12806" max="12806" width="11.5" customWidth="1"/>
    <col min="12807" max="12807" width="11.625" customWidth="1"/>
    <col min="12808" max="12808" width="15.5" customWidth="1"/>
    <col min="12809" max="12809" width="18.75" customWidth="1"/>
    <col min="12810" max="12810" width="15.375" customWidth="1"/>
    <col min="12811" max="12811" width="15.125" customWidth="1"/>
    <col min="12813" max="12813" width="11" customWidth="1"/>
    <col min="12814" max="12814" width="10.625" customWidth="1"/>
    <col min="12815" max="12815" width="9.625" customWidth="1"/>
    <col min="13058" max="13058" width="7" customWidth="1"/>
    <col min="13059" max="13059" width="17.75" customWidth="1"/>
    <col min="13060" max="13060" width="10.875" customWidth="1"/>
    <col min="13061" max="13061" width="11.25" customWidth="1"/>
    <col min="13062" max="13062" width="11.5" customWidth="1"/>
    <col min="13063" max="13063" width="11.625" customWidth="1"/>
    <col min="13064" max="13064" width="15.5" customWidth="1"/>
    <col min="13065" max="13065" width="18.75" customWidth="1"/>
    <col min="13066" max="13066" width="15.375" customWidth="1"/>
    <col min="13067" max="13067" width="15.125" customWidth="1"/>
    <col min="13069" max="13069" width="11" customWidth="1"/>
    <col min="13070" max="13070" width="10.625" customWidth="1"/>
    <col min="13071" max="13071" width="9.625" customWidth="1"/>
    <col min="13314" max="13314" width="7" customWidth="1"/>
    <col min="13315" max="13315" width="17.75" customWidth="1"/>
    <col min="13316" max="13316" width="10.875" customWidth="1"/>
    <col min="13317" max="13317" width="11.25" customWidth="1"/>
    <col min="13318" max="13318" width="11.5" customWidth="1"/>
    <col min="13319" max="13319" width="11.625" customWidth="1"/>
    <col min="13320" max="13320" width="15.5" customWidth="1"/>
    <col min="13321" max="13321" width="18.75" customWidth="1"/>
    <col min="13322" max="13322" width="15.375" customWidth="1"/>
    <col min="13323" max="13323" width="15.125" customWidth="1"/>
    <col min="13325" max="13325" width="11" customWidth="1"/>
    <col min="13326" max="13326" width="10.625" customWidth="1"/>
    <col min="13327" max="13327" width="9.625" customWidth="1"/>
    <col min="13570" max="13570" width="7" customWidth="1"/>
    <col min="13571" max="13571" width="17.75" customWidth="1"/>
    <col min="13572" max="13572" width="10.875" customWidth="1"/>
    <col min="13573" max="13573" width="11.25" customWidth="1"/>
    <col min="13574" max="13574" width="11.5" customWidth="1"/>
    <col min="13575" max="13575" width="11.625" customWidth="1"/>
    <col min="13576" max="13576" width="15.5" customWidth="1"/>
    <col min="13577" max="13577" width="18.75" customWidth="1"/>
    <col min="13578" max="13578" width="15.375" customWidth="1"/>
    <col min="13579" max="13579" width="15.125" customWidth="1"/>
    <col min="13581" max="13581" width="11" customWidth="1"/>
    <col min="13582" max="13582" width="10.625" customWidth="1"/>
    <col min="13583" max="13583" width="9.625" customWidth="1"/>
    <col min="13826" max="13826" width="7" customWidth="1"/>
    <col min="13827" max="13827" width="17.75" customWidth="1"/>
    <col min="13828" max="13828" width="10.875" customWidth="1"/>
    <col min="13829" max="13829" width="11.25" customWidth="1"/>
    <col min="13830" max="13830" width="11.5" customWidth="1"/>
    <col min="13831" max="13831" width="11.625" customWidth="1"/>
    <col min="13832" max="13832" width="15.5" customWidth="1"/>
    <col min="13833" max="13833" width="18.75" customWidth="1"/>
    <col min="13834" max="13834" width="15.375" customWidth="1"/>
    <col min="13835" max="13835" width="15.125" customWidth="1"/>
    <col min="13837" max="13837" width="11" customWidth="1"/>
    <col min="13838" max="13838" width="10.625" customWidth="1"/>
    <col min="13839" max="13839" width="9.625" customWidth="1"/>
    <col min="14082" max="14082" width="7" customWidth="1"/>
    <col min="14083" max="14083" width="17.75" customWidth="1"/>
    <col min="14084" max="14084" width="10.875" customWidth="1"/>
    <col min="14085" max="14085" width="11.25" customWidth="1"/>
    <col min="14086" max="14086" width="11.5" customWidth="1"/>
    <col min="14087" max="14087" width="11.625" customWidth="1"/>
    <col min="14088" max="14088" width="15.5" customWidth="1"/>
    <col min="14089" max="14089" width="18.75" customWidth="1"/>
    <col min="14090" max="14090" width="15.375" customWidth="1"/>
    <col min="14091" max="14091" width="15.125" customWidth="1"/>
    <col min="14093" max="14093" width="11" customWidth="1"/>
    <col min="14094" max="14094" width="10.625" customWidth="1"/>
    <col min="14095" max="14095" width="9.625" customWidth="1"/>
    <col min="14338" max="14338" width="7" customWidth="1"/>
    <col min="14339" max="14339" width="17.75" customWidth="1"/>
    <col min="14340" max="14340" width="10.875" customWidth="1"/>
    <col min="14341" max="14341" width="11.25" customWidth="1"/>
    <col min="14342" max="14342" width="11.5" customWidth="1"/>
    <col min="14343" max="14343" width="11.625" customWidth="1"/>
    <col min="14344" max="14344" width="15.5" customWidth="1"/>
    <col min="14345" max="14345" width="18.75" customWidth="1"/>
    <col min="14346" max="14346" width="15.375" customWidth="1"/>
    <col min="14347" max="14347" width="15.125" customWidth="1"/>
    <col min="14349" max="14349" width="11" customWidth="1"/>
    <col min="14350" max="14350" width="10.625" customWidth="1"/>
    <col min="14351" max="14351" width="9.625" customWidth="1"/>
    <col min="14594" max="14594" width="7" customWidth="1"/>
    <col min="14595" max="14595" width="17.75" customWidth="1"/>
    <col min="14596" max="14596" width="10.875" customWidth="1"/>
    <col min="14597" max="14597" width="11.25" customWidth="1"/>
    <col min="14598" max="14598" width="11.5" customWidth="1"/>
    <col min="14599" max="14599" width="11.625" customWidth="1"/>
    <col min="14600" max="14600" width="15.5" customWidth="1"/>
    <col min="14601" max="14601" width="18.75" customWidth="1"/>
    <col min="14602" max="14602" width="15.375" customWidth="1"/>
    <col min="14603" max="14603" width="15.125" customWidth="1"/>
    <col min="14605" max="14605" width="11" customWidth="1"/>
    <col min="14606" max="14606" width="10.625" customWidth="1"/>
    <col min="14607" max="14607" width="9.625" customWidth="1"/>
    <col min="14850" max="14850" width="7" customWidth="1"/>
    <col min="14851" max="14851" width="17.75" customWidth="1"/>
    <col min="14852" max="14852" width="10.875" customWidth="1"/>
    <col min="14853" max="14853" width="11.25" customWidth="1"/>
    <col min="14854" max="14854" width="11.5" customWidth="1"/>
    <col min="14855" max="14855" width="11.625" customWidth="1"/>
    <col min="14856" max="14856" width="15.5" customWidth="1"/>
    <col min="14857" max="14857" width="18.75" customWidth="1"/>
    <col min="14858" max="14858" width="15.375" customWidth="1"/>
    <col min="14859" max="14859" width="15.125" customWidth="1"/>
    <col min="14861" max="14861" width="11" customWidth="1"/>
    <col min="14862" max="14862" width="10.625" customWidth="1"/>
    <col min="14863" max="14863" width="9.625" customWidth="1"/>
    <col min="15106" max="15106" width="7" customWidth="1"/>
    <col min="15107" max="15107" width="17.75" customWidth="1"/>
    <col min="15108" max="15108" width="10.875" customWidth="1"/>
    <col min="15109" max="15109" width="11.25" customWidth="1"/>
    <col min="15110" max="15110" width="11.5" customWidth="1"/>
    <col min="15111" max="15111" width="11.625" customWidth="1"/>
    <col min="15112" max="15112" width="15.5" customWidth="1"/>
    <col min="15113" max="15113" width="18.75" customWidth="1"/>
    <col min="15114" max="15114" width="15.375" customWidth="1"/>
    <col min="15115" max="15115" width="15.125" customWidth="1"/>
    <col min="15117" max="15117" width="11" customWidth="1"/>
    <col min="15118" max="15118" width="10.625" customWidth="1"/>
    <col min="15119" max="15119" width="9.625" customWidth="1"/>
    <col min="15362" max="15362" width="7" customWidth="1"/>
    <col min="15363" max="15363" width="17.75" customWidth="1"/>
    <col min="15364" max="15364" width="10.875" customWidth="1"/>
    <col min="15365" max="15365" width="11.25" customWidth="1"/>
    <col min="15366" max="15366" width="11.5" customWidth="1"/>
    <col min="15367" max="15367" width="11.625" customWidth="1"/>
    <col min="15368" max="15368" width="15.5" customWidth="1"/>
    <col min="15369" max="15369" width="18.75" customWidth="1"/>
    <col min="15370" max="15370" width="15.375" customWidth="1"/>
    <col min="15371" max="15371" width="15.125" customWidth="1"/>
    <col min="15373" max="15373" width="11" customWidth="1"/>
    <col min="15374" max="15374" width="10.625" customWidth="1"/>
    <col min="15375" max="15375" width="9.625" customWidth="1"/>
    <col min="15618" max="15618" width="7" customWidth="1"/>
    <col min="15619" max="15619" width="17.75" customWidth="1"/>
    <col min="15620" max="15620" width="10.875" customWidth="1"/>
    <col min="15621" max="15621" width="11.25" customWidth="1"/>
    <col min="15622" max="15622" width="11.5" customWidth="1"/>
    <col min="15623" max="15623" width="11.625" customWidth="1"/>
    <col min="15624" max="15624" width="15.5" customWidth="1"/>
    <col min="15625" max="15625" width="18.75" customWidth="1"/>
    <col min="15626" max="15626" width="15.375" customWidth="1"/>
    <col min="15627" max="15627" width="15.125" customWidth="1"/>
    <col min="15629" max="15629" width="11" customWidth="1"/>
    <col min="15630" max="15630" width="10.625" customWidth="1"/>
    <col min="15631" max="15631" width="9.625" customWidth="1"/>
    <col min="15874" max="15874" width="7" customWidth="1"/>
    <col min="15875" max="15875" width="17.75" customWidth="1"/>
    <col min="15876" max="15876" width="10.875" customWidth="1"/>
    <col min="15877" max="15877" width="11.25" customWidth="1"/>
    <col min="15878" max="15878" width="11.5" customWidth="1"/>
    <col min="15879" max="15879" width="11.625" customWidth="1"/>
    <col min="15880" max="15880" width="15.5" customWidth="1"/>
    <col min="15881" max="15881" width="18.75" customWidth="1"/>
    <col min="15882" max="15882" width="15.375" customWidth="1"/>
    <col min="15883" max="15883" width="15.125" customWidth="1"/>
    <col min="15885" max="15885" width="11" customWidth="1"/>
    <col min="15886" max="15886" width="10.625" customWidth="1"/>
    <col min="15887" max="15887" width="9.625" customWidth="1"/>
    <col min="16130" max="16130" width="7" customWidth="1"/>
    <col min="16131" max="16131" width="17.75" customWidth="1"/>
    <col min="16132" max="16132" width="10.875" customWidth="1"/>
    <col min="16133" max="16133" width="11.25" customWidth="1"/>
    <col min="16134" max="16134" width="11.5" customWidth="1"/>
    <col min="16135" max="16135" width="11.625" customWidth="1"/>
    <col min="16136" max="16136" width="15.5" customWidth="1"/>
    <col min="16137" max="16137" width="18.75" customWidth="1"/>
    <col min="16138" max="16138" width="15.375" customWidth="1"/>
    <col min="16139" max="16139" width="15.125" customWidth="1"/>
    <col min="16141" max="16141" width="11" customWidth="1"/>
    <col min="16142" max="16142" width="10.625" customWidth="1"/>
    <col min="16143" max="16143" width="9.625" customWidth="1"/>
  </cols>
  <sheetData>
    <row r="1" spans="1:15" ht="18.75" x14ac:dyDescent="0.3">
      <c r="G1" s="1" t="s">
        <v>0</v>
      </c>
      <c r="N1" t="s">
        <v>1</v>
      </c>
    </row>
    <row r="2" spans="1:15" ht="18.75" x14ac:dyDescent="0.3">
      <c r="G2" s="1"/>
    </row>
    <row r="3" spans="1:15" ht="18.75" x14ac:dyDescent="0.3">
      <c r="A3" s="545" t="s">
        <v>2</v>
      </c>
      <c r="B3" s="545"/>
      <c r="C3" t="s">
        <v>38</v>
      </c>
      <c r="G3" s="1"/>
    </row>
    <row r="4" spans="1:15" ht="18.75" x14ac:dyDescent="0.3">
      <c r="A4" s="545" t="s">
        <v>3</v>
      </c>
      <c r="B4" s="545"/>
      <c r="C4" t="s">
        <v>40</v>
      </c>
      <c r="G4" s="1"/>
    </row>
    <row r="5" spans="1:15" ht="18.75" x14ac:dyDescent="0.3">
      <c r="A5" s="545" t="s">
        <v>4</v>
      </c>
      <c r="B5" s="545"/>
      <c r="C5" t="s">
        <v>41</v>
      </c>
      <c r="G5" s="1"/>
      <c r="H5" s="29"/>
    </row>
    <row r="6" spans="1:15" ht="18.75" x14ac:dyDescent="0.3">
      <c r="A6" s="545" t="s">
        <v>5</v>
      </c>
      <c r="B6" s="545"/>
      <c r="C6" s="108" t="s">
        <v>485</v>
      </c>
      <c r="G6" s="1"/>
    </row>
    <row r="7" spans="1:15" x14ac:dyDescent="0.25">
      <c r="A7" s="108"/>
      <c r="B7" s="108"/>
    </row>
    <row r="8" spans="1:15" x14ac:dyDescent="0.25">
      <c r="A8" s="108" t="s">
        <v>6</v>
      </c>
      <c r="B8" s="108"/>
    </row>
    <row r="9" spans="1:15" ht="24.75" customHeight="1" x14ac:dyDescent="0.25">
      <c r="A9" s="146" t="s">
        <v>7</v>
      </c>
      <c r="B9" s="538" t="s">
        <v>8</v>
      </c>
      <c r="C9" s="538"/>
      <c r="D9" s="146" t="s">
        <v>9</v>
      </c>
      <c r="E9" s="146" t="s">
        <v>10</v>
      </c>
      <c r="F9" s="541" t="s">
        <v>11</v>
      </c>
      <c r="G9" s="541" t="s">
        <v>12</v>
      </c>
      <c r="H9" s="146" t="s">
        <v>13</v>
      </c>
      <c r="I9" s="146"/>
      <c r="J9" s="146" t="s">
        <v>15</v>
      </c>
      <c r="K9" s="146" t="s">
        <v>16</v>
      </c>
      <c r="L9" s="544" t="s">
        <v>17</v>
      </c>
      <c r="M9" s="544"/>
      <c r="N9" s="544"/>
      <c r="O9" s="146" t="s">
        <v>18</v>
      </c>
    </row>
    <row r="10" spans="1:15" x14ac:dyDescent="0.25">
      <c r="A10" s="542" t="s">
        <v>19</v>
      </c>
      <c r="B10" s="546" t="s">
        <v>20</v>
      </c>
      <c r="C10" s="547"/>
      <c r="D10" s="542" t="s">
        <v>21</v>
      </c>
      <c r="E10" s="542" t="s">
        <v>22</v>
      </c>
      <c r="F10" s="542"/>
      <c r="G10" s="542"/>
      <c r="H10" s="104" t="s">
        <v>23</v>
      </c>
      <c r="I10" s="104" t="s">
        <v>14</v>
      </c>
      <c r="J10" s="104" t="s">
        <v>24</v>
      </c>
      <c r="K10" s="104" t="s">
        <v>25</v>
      </c>
      <c r="L10" s="104" t="s">
        <v>26</v>
      </c>
      <c r="M10" s="104" t="s">
        <v>27</v>
      </c>
      <c r="N10" s="104" t="s">
        <v>28</v>
      </c>
      <c r="O10" s="539" t="s">
        <v>29</v>
      </c>
    </row>
    <row r="11" spans="1:15" x14ac:dyDescent="0.25">
      <c r="A11" s="543"/>
      <c r="B11" s="548"/>
      <c r="C11" s="549"/>
      <c r="D11" s="543"/>
      <c r="E11" s="543"/>
      <c r="F11" s="543"/>
      <c r="G11" s="543"/>
      <c r="H11" s="105" t="s">
        <v>30</v>
      </c>
      <c r="I11" s="105"/>
      <c r="J11" s="105" t="s">
        <v>31</v>
      </c>
      <c r="K11" s="105" t="s">
        <v>32</v>
      </c>
      <c r="L11" s="105" t="s">
        <v>33</v>
      </c>
      <c r="M11" s="105" t="s">
        <v>34</v>
      </c>
      <c r="N11" s="105" t="s">
        <v>35</v>
      </c>
      <c r="O11" s="540"/>
    </row>
    <row r="12" spans="1:15" x14ac:dyDescent="0.25">
      <c r="A12" s="47">
        <v>1</v>
      </c>
      <c r="B12" s="536">
        <v>2</v>
      </c>
      <c r="C12" s="537"/>
      <c r="D12" s="144">
        <v>3</v>
      </c>
      <c r="E12" s="144">
        <v>4</v>
      </c>
      <c r="F12" s="145">
        <v>5</v>
      </c>
      <c r="G12" s="145">
        <v>6</v>
      </c>
      <c r="H12" s="104">
        <v>7</v>
      </c>
      <c r="I12" s="104">
        <v>8</v>
      </c>
      <c r="J12" s="104">
        <v>9</v>
      </c>
      <c r="K12" s="104">
        <v>10</v>
      </c>
      <c r="L12" s="104">
        <v>11</v>
      </c>
      <c r="M12" s="104">
        <v>12</v>
      </c>
      <c r="N12" s="104">
        <v>13</v>
      </c>
      <c r="O12" s="144">
        <v>14</v>
      </c>
    </row>
    <row r="13" spans="1:15" ht="47.25" x14ac:dyDescent="0.25">
      <c r="A13" s="47">
        <v>1</v>
      </c>
      <c r="B13" s="577" t="s">
        <v>445</v>
      </c>
      <c r="C13" s="578"/>
      <c r="D13" s="121" t="s">
        <v>446</v>
      </c>
      <c r="E13" s="32"/>
      <c r="F13" s="32"/>
      <c r="G13" s="9" t="s">
        <v>56</v>
      </c>
      <c r="H13" s="9">
        <v>2009</v>
      </c>
      <c r="I13" s="9" t="s">
        <v>447</v>
      </c>
      <c r="J13" s="44" t="s">
        <v>43</v>
      </c>
      <c r="K13" s="20">
        <v>850000</v>
      </c>
      <c r="L13" s="9" t="s">
        <v>26</v>
      </c>
      <c r="M13" s="32"/>
      <c r="N13" s="32"/>
      <c r="O13" s="32"/>
    </row>
    <row r="14" spans="1:15" ht="31.5" x14ac:dyDescent="0.25">
      <c r="A14" s="47">
        <f>A13+1</f>
        <v>2</v>
      </c>
      <c r="B14" s="577" t="s">
        <v>445</v>
      </c>
      <c r="C14" s="578"/>
      <c r="D14" s="121" t="s">
        <v>464</v>
      </c>
      <c r="E14" s="32"/>
      <c r="F14" s="9" t="s">
        <v>465</v>
      </c>
      <c r="G14" s="9" t="s">
        <v>56</v>
      </c>
      <c r="H14" s="9">
        <v>2013</v>
      </c>
      <c r="I14" s="9" t="s">
        <v>447</v>
      </c>
      <c r="J14" s="44" t="s">
        <v>125</v>
      </c>
      <c r="K14" s="20">
        <v>1800000</v>
      </c>
      <c r="L14" s="9" t="s">
        <v>26</v>
      </c>
      <c r="M14" s="32"/>
      <c r="N14" s="32"/>
      <c r="O14" s="32"/>
    </row>
    <row r="15" spans="1:15" ht="63" x14ac:dyDescent="0.25">
      <c r="A15" s="47">
        <f t="shared" ref="A15:A19" si="0">A14+1</f>
        <v>3</v>
      </c>
      <c r="B15" s="577" t="s">
        <v>474</v>
      </c>
      <c r="C15" s="578"/>
      <c r="D15" s="121" t="s">
        <v>475</v>
      </c>
      <c r="E15" s="32"/>
      <c r="F15" s="9"/>
      <c r="G15" s="9" t="s">
        <v>56</v>
      </c>
      <c r="H15" s="9">
        <v>2019</v>
      </c>
      <c r="I15" s="9" t="s">
        <v>476</v>
      </c>
      <c r="J15" s="44" t="s">
        <v>43</v>
      </c>
      <c r="K15" s="20">
        <v>1800000</v>
      </c>
      <c r="L15" s="9" t="s">
        <v>26</v>
      </c>
      <c r="M15" s="32"/>
      <c r="N15" s="32"/>
      <c r="O15" s="32"/>
    </row>
    <row r="16" spans="1:15" ht="48" customHeight="1" x14ac:dyDescent="0.25">
      <c r="A16" s="47">
        <f t="shared" si="0"/>
        <v>4</v>
      </c>
      <c r="B16" s="534" t="s">
        <v>450</v>
      </c>
      <c r="C16" s="535"/>
      <c r="D16" s="40" t="s">
        <v>451</v>
      </c>
      <c r="E16" s="109"/>
      <c r="F16" s="109"/>
      <c r="G16" s="42" t="s">
        <v>452</v>
      </c>
      <c r="H16" s="43">
        <v>2010</v>
      </c>
      <c r="I16" s="43" t="s">
        <v>449</v>
      </c>
      <c r="J16" s="44" t="s">
        <v>43</v>
      </c>
      <c r="K16" s="63">
        <v>1350000</v>
      </c>
      <c r="L16" s="43" t="s">
        <v>26</v>
      </c>
      <c r="M16" s="43"/>
      <c r="N16" s="109"/>
      <c r="O16" s="109"/>
    </row>
    <row r="17" spans="1:15" ht="31.5" x14ac:dyDescent="0.25">
      <c r="A17" s="47">
        <f t="shared" si="0"/>
        <v>5</v>
      </c>
      <c r="B17" s="534" t="s">
        <v>439</v>
      </c>
      <c r="C17" s="535"/>
      <c r="D17" s="40" t="s">
        <v>440</v>
      </c>
      <c r="E17" s="109"/>
      <c r="F17" s="109"/>
      <c r="G17" s="42" t="s">
        <v>50</v>
      </c>
      <c r="H17" s="43">
        <v>2007</v>
      </c>
      <c r="I17" s="43" t="s">
        <v>441</v>
      </c>
      <c r="J17" s="44" t="s">
        <v>43</v>
      </c>
      <c r="K17" s="63">
        <v>40850000</v>
      </c>
      <c r="L17" s="43"/>
      <c r="M17" s="43" t="s">
        <v>27</v>
      </c>
      <c r="N17" s="109"/>
      <c r="O17" s="109"/>
    </row>
    <row r="18" spans="1:15" ht="63" x14ac:dyDescent="0.25">
      <c r="A18" s="47">
        <f t="shared" si="0"/>
        <v>6</v>
      </c>
      <c r="B18" s="443" t="s">
        <v>65</v>
      </c>
      <c r="C18" s="444"/>
      <c r="D18" s="26" t="s">
        <v>448</v>
      </c>
      <c r="E18" s="32"/>
      <c r="F18" s="32"/>
      <c r="G18" s="30" t="s">
        <v>50</v>
      </c>
      <c r="H18" s="9">
        <v>2009</v>
      </c>
      <c r="I18" s="9" t="s">
        <v>66</v>
      </c>
      <c r="J18" s="44" t="s">
        <v>43</v>
      </c>
      <c r="K18" s="20">
        <v>2000000</v>
      </c>
      <c r="L18" s="9" t="s">
        <v>26</v>
      </c>
      <c r="M18" s="32"/>
      <c r="N18" s="27"/>
      <c r="O18" s="27"/>
    </row>
    <row r="19" spans="1:15" ht="31.5" x14ac:dyDescent="0.25">
      <c r="A19" s="47">
        <f t="shared" si="0"/>
        <v>7</v>
      </c>
      <c r="B19" s="443" t="s">
        <v>65</v>
      </c>
      <c r="C19" s="444"/>
      <c r="D19" s="26" t="s">
        <v>457</v>
      </c>
      <c r="E19" s="32"/>
      <c r="F19" s="9" t="s">
        <v>458</v>
      </c>
      <c r="G19" s="30" t="s">
        <v>50</v>
      </c>
      <c r="H19" s="9">
        <v>2012</v>
      </c>
      <c r="I19" s="9" t="s">
        <v>66</v>
      </c>
      <c r="J19" s="44" t="s">
        <v>54</v>
      </c>
      <c r="K19" s="20">
        <v>2890000</v>
      </c>
      <c r="L19" s="9" t="s">
        <v>26</v>
      </c>
      <c r="M19" s="32"/>
      <c r="N19" s="27"/>
      <c r="O19" s="27"/>
    </row>
    <row r="20" spans="1:15" ht="36.75" customHeight="1" x14ac:dyDescent="0.25">
      <c r="A20" s="157"/>
    </row>
    <row r="22" spans="1:15" x14ac:dyDescent="0.25">
      <c r="C22" s="5" t="s">
        <v>36</v>
      </c>
      <c r="L22" s="23" t="s">
        <v>277</v>
      </c>
    </row>
    <row r="23" spans="1:15" x14ac:dyDescent="0.25">
      <c r="C23" s="5"/>
      <c r="L23" s="5"/>
    </row>
    <row r="24" spans="1:15" x14ac:dyDescent="0.25">
      <c r="C24" s="5" t="s">
        <v>572</v>
      </c>
      <c r="L24" s="5" t="s">
        <v>580</v>
      </c>
    </row>
    <row r="25" spans="1:15" x14ac:dyDescent="0.25">
      <c r="C25" s="5"/>
      <c r="L25" s="5"/>
    </row>
    <row r="26" spans="1:15" x14ac:dyDescent="0.25">
      <c r="C26" s="5"/>
      <c r="F26" s="13"/>
      <c r="L26" s="5"/>
    </row>
    <row r="27" spans="1:15" x14ac:dyDescent="0.25">
      <c r="C27" s="5"/>
      <c r="L27" s="5"/>
    </row>
    <row r="28" spans="1:15" x14ac:dyDescent="0.25">
      <c r="C28" s="6" t="s">
        <v>573</v>
      </c>
      <c r="L28" s="6" t="s">
        <v>576</v>
      </c>
    </row>
    <row r="29" spans="1:15" x14ac:dyDescent="0.25">
      <c r="C29" s="5" t="s">
        <v>39</v>
      </c>
      <c r="L29" s="23" t="str">
        <f>'KENDARAAN BERDASARKAN KIB'!M53</f>
        <v>NIP. 19721124 200604 2 005</v>
      </c>
    </row>
    <row r="30" spans="1:15" x14ac:dyDescent="0.25">
      <c r="C30" s="23" t="s">
        <v>574</v>
      </c>
    </row>
    <row r="31" spans="1:15" x14ac:dyDescent="0.25">
      <c r="K31" s="24"/>
    </row>
    <row r="32" spans="1:15" x14ac:dyDescent="0.25">
      <c r="B32" s="21"/>
      <c r="K32" s="25"/>
    </row>
    <row r="33" spans="2:2" x14ac:dyDescent="0.25">
      <c r="B33" s="22"/>
    </row>
    <row r="34" spans="2:2" x14ac:dyDescent="0.25">
      <c r="B34" s="22"/>
    </row>
  </sheetData>
  <mergeCells count="21">
    <mergeCell ref="A10:A11"/>
    <mergeCell ref="B10:C11"/>
    <mergeCell ref="D10:D11"/>
    <mergeCell ref="E10:E11"/>
    <mergeCell ref="A3:B3"/>
    <mergeCell ref="A4:B4"/>
    <mergeCell ref="A5:B5"/>
    <mergeCell ref="A6:B6"/>
    <mergeCell ref="B9:C9"/>
    <mergeCell ref="B19:C19"/>
    <mergeCell ref="B15:C15"/>
    <mergeCell ref="O10:O11"/>
    <mergeCell ref="B12:C12"/>
    <mergeCell ref="B17:C17"/>
    <mergeCell ref="B13:C13"/>
    <mergeCell ref="B18:C18"/>
    <mergeCell ref="B16:C16"/>
    <mergeCell ref="G9:G11"/>
    <mergeCell ref="L9:N9"/>
    <mergeCell ref="F9:F11"/>
    <mergeCell ref="B14:C14"/>
  </mergeCells>
  <printOptions horizontalCentered="1"/>
  <pageMargins left="0.11811023622047245" right="0.35433070866141736" top="0.19685039370078741" bottom="0.15748031496062992" header="0" footer="0"/>
  <pageSetup paperSize="14" scale="65" orientation="landscape" horizontalDpi="180" verticalDpi="180" r:id="rId1"/>
  <headerFooter alignWithMargins="0">
    <oddFooter>&amp;L&amp;9&amp;F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28"/>
  <sheetViews>
    <sheetView view="pageBreakPreview" zoomScaleNormal="55" workbookViewId="0">
      <selection activeCell="H24" sqref="H24"/>
    </sheetView>
  </sheetViews>
  <sheetFormatPr defaultRowHeight="15.75" x14ac:dyDescent="0.25"/>
  <cols>
    <col min="2" max="2" width="7" customWidth="1"/>
    <col min="3" max="3" width="17.75" customWidth="1"/>
    <col min="4" max="4" width="10.875" customWidth="1"/>
    <col min="5" max="5" width="11.25" customWidth="1"/>
    <col min="6" max="6" width="11.5" customWidth="1"/>
    <col min="7" max="7" width="11.625" customWidth="1"/>
    <col min="8" max="8" width="15.5" customWidth="1"/>
    <col min="9" max="9" width="18.75" customWidth="1"/>
    <col min="10" max="10" width="15.375" customWidth="1"/>
    <col min="11" max="11" width="15.125" customWidth="1"/>
    <col min="13" max="13" width="11" customWidth="1"/>
    <col min="14" max="14" width="10.625" customWidth="1"/>
    <col min="15" max="15" width="9.625" customWidth="1"/>
    <col min="258" max="258" width="7" customWidth="1"/>
    <col min="259" max="259" width="17.75" customWidth="1"/>
    <col min="260" max="260" width="10.875" customWidth="1"/>
    <col min="261" max="261" width="11.25" customWidth="1"/>
    <col min="262" max="262" width="11.5" customWidth="1"/>
    <col min="263" max="263" width="11.625" customWidth="1"/>
    <col min="264" max="264" width="15.5" customWidth="1"/>
    <col min="265" max="265" width="18.75" customWidth="1"/>
    <col min="266" max="266" width="15.375" customWidth="1"/>
    <col min="267" max="267" width="15.125" customWidth="1"/>
    <col min="269" max="269" width="11" customWidth="1"/>
    <col min="270" max="270" width="10.625" customWidth="1"/>
    <col min="271" max="271" width="9.625" customWidth="1"/>
    <col min="514" max="514" width="7" customWidth="1"/>
    <col min="515" max="515" width="17.75" customWidth="1"/>
    <col min="516" max="516" width="10.875" customWidth="1"/>
    <col min="517" max="517" width="11.25" customWidth="1"/>
    <col min="518" max="518" width="11.5" customWidth="1"/>
    <col min="519" max="519" width="11.625" customWidth="1"/>
    <col min="520" max="520" width="15.5" customWidth="1"/>
    <col min="521" max="521" width="18.75" customWidth="1"/>
    <col min="522" max="522" width="15.375" customWidth="1"/>
    <col min="523" max="523" width="15.125" customWidth="1"/>
    <col min="525" max="525" width="11" customWidth="1"/>
    <col min="526" max="526" width="10.625" customWidth="1"/>
    <col min="527" max="527" width="9.625" customWidth="1"/>
    <col min="770" max="770" width="7" customWidth="1"/>
    <col min="771" max="771" width="17.75" customWidth="1"/>
    <col min="772" max="772" width="10.875" customWidth="1"/>
    <col min="773" max="773" width="11.25" customWidth="1"/>
    <col min="774" max="774" width="11.5" customWidth="1"/>
    <col min="775" max="775" width="11.625" customWidth="1"/>
    <col min="776" max="776" width="15.5" customWidth="1"/>
    <col min="777" max="777" width="18.75" customWidth="1"/>
    <col min="778" max="778" width="15.375" customWidth="1"/>
    <col min="779" max="779" width="15.125" customWidth="1"/>
    <col min="781" max="781" width="11" customWidth="1"/>
    <col min="782" max="782" width="10.625" customWidth="1"/>
    <col min="783" max="783" width="9.625" customWidth="1"/>
    <col min="1026" max="1026" width="7" customWidth="1"/>
    <col min="1027" max="1027" width="17.75" customWidth="1"/>
    <col min="1028" max="1028" width="10.875" customWidth="1"/>
    <col min="1029" max="1029" width="11.25" customWidth="1"/>
    <col min="1030" max="1030" width="11.5" customWidth="1"/>
    <col min="1031" max="1031" width="11.625" customWidth="1"/>
    <col min="1032" max="1032" width="15.5" customWidth="1"/>
    <col min="1033" max="1033" width="18.75" customWidth="1"/>
    <col min="1034" max="1034" width="15.375" customWidth="1"/>
    <col min="1035" max="1035" width="15.125" customWidth="1"/>
    <col min="1037" max="1037" width="11" customWidth="1"/>
    <col min="1038" max="1038" width="10.625" customWidth="1"/>
    <col min="1039" max="1039" width="9.625" customWidth="1"/>
    <col min="1282" max="1282" width="7" customWidth="1"/>
    <col min="1283" max="1283" width="17.75" customWidth="1"/>
    <col min="1284" max="1284" width="10.875" customWidth="1"/>
    <col min="1285" max="1285" width="11.25" customWidth="1"/>
    <col min="1286" max="1286" width="11.5" customWidth="1"/>
    <col min="1287" max="1287" width="11.625" customWidth="1"/>
    <col min="1288" max="1288" width="15.5" customWidth="1"/>
    <col min="1289" max="1289" width="18.75" customWidth="1"/>
    <col min="1290" max="1290" width="15.375" customWidth="1"/>
    <col min="1291" max="1291" width="15.125" customWidth="1"/>
    <col min="1293" max="1293" width="11" customWidth="1"/>
    <col min="1294" max="1294" width="10.625" customWidth="1"/>
    <col min="1295" max="1295" width="9.625" customWidth="1"/>
    <col min="1538" max="1538" width="7" customWidth="1"/>
    <col min="1539" max="1539" width="17.75" customWidth="1"/>
    <col min="1540" max="1540" width="10.875" customWidth="1"/>
    <col min="1541" max="1541" width="11.25" customWidth="1"/>
    <col min="1542" max="1542" width="11.5" customWidth="1"/>
    <col min="1543" max="1543" width="11.625" customWidth="1"/>
    <col min="1544" max="1544" width="15.5" customWidth="1"/>
    <col min="1545" max="1545" width="18.75" customWidth="1"/>
    <col min="1546" max="1546" width="15.375" customWidth="1"/>
    <col min="1547" max="1547" width="15.125" customWidth="1"/>
    <col min="1549" max="1549" width="11" customWidth="1"/>
    <col min="1550" max="1550" width="10.625" customWidth="1"/>
    <col min="1551" max="1551" width="9.625" customWidth="1"/>
    <col min="1794" max="1794" width="7" customWidth="1"/>
    <col min="1795" max="1795" width="17.75" customWidth="1"/>
    <col min="1796" max="1796" width="10.875" customWidth="1"/>
    <col min="1797" max="1797" width="11.25" customWidth="1"/>
    <col min="1798" max="1798" width="11.5" customWidth="1"/>
    <col min="1799" max="1799" width="11.625" customWidth="1"/>
    <col min="1800" max="1800" width="15.5" customWidth="1"/>
    <col min="1801" max="1801" width="18.75" customWidth="1"/>
    <col min="1802" max="1802" width="15.375" customWidth="1"/>
    <col min="1803" max="1803" width="15.125" customWidth="1"/>
    <col min="1805" max="1805" width="11" customWidth="1"/>
    <col min="1806" max="1806" width="10.625" customWidth="1"/>
    <col min="1807" max="1807" width="9.625" customWidth="1"/>
    <col min="2050" max="2050" width="7" customWidth="1"/>
    <col min="2051" max="2051" width="17.75" customWidth="1"/>
    <col min="2052" max="2052" width="10.875" customWidth="1"/>
    <col min="2053" max="2053" width="11.25" customWidth="1"/>
    <col min="2054" max="2054" width="11.5" customWidth="1"/>
    <col min="2055" max="2055" width="11.625" customWidth="1"/>
    <col min="2056" max="2056" width="15.5" customWidth="1"/>
    <col min="2057" max="2057" width="18.75" customWidth="1"/>
    <col min="2058" max="2058" width="15.375" customWidth="1"/>
    <col min="2059" max="2059" width="15.125" customWidth="1"/>
    <col min="2061" max="2061" width="11" customWidth="1"/>
    <col min="2062" max="2062" width="10.625" customWidth="1"/>
    <col min="2063" max="2063" width="9.625" customWidth="1"/>
    <col min="2306" max="2306" width="7" customWidth="1"/>
    <col min="2307" max="2307" width="17.75" customWidth="1"/>
    <col min="2308" max="2308" width="10.875" customWidth="1"/>
    <col min="2309" max="2309" width="11.25" customWidth="1"/>
    <col min="2310" max="2310" width="11.5" customWidth="1"/>
    <col min="2311" max="2311" width="11.625" customWidth="1"/>
    <col min="2312" max="2312" width="15.5" customWidth="1"/>
    <col min="2313" max="2313" width="18.75" customWidth="1"/>
    <col min="2314" max="2314" width="15.375" customWidth="1"/>
    <col min="2315" max="2315" width="15.125" customWidth="1"/>
    <col min="2317" max="2317" width="11" customWidth="1"/>
    <col min="2318" max="2318" width="10.625" customWidth="1"/>
    <col min="2319" max="2319" width="9.625" customWidth="1"/>
    <col min="2562" max="2562" width="7" customWidth="1"/>
    <col min="2563" max="2563" width="17.75" customWidth="1"/>
    <col min="2564" max="2564" width="10.875" customWidth="1"/>
    <col min="2565" max="2565" width="11.25" customWidth="1"/>
    <col min="2566" max="2566" width="11.5" customWidth="1"/>
    <col min="2567" max="2567" width="11.625" customWidth="1"/>
    <col min="2568" max="2568" width="15.5" customWidth="1"/>
    <col min="2569" max="2569" width="18.75" customWidth="1"/>
    <col min="2570" max="2570" width="15.375" customWidth="1"/>
    <col min="2571" max="2571" width="15.125" customWidth="1"/>
    <col min="2573" max="2573" width="11" customWidth="1"/>
    <col min="2574" max="2574" width="10.625" customWidth="1"/>
    <col min="2575" max="2575" width="9.625" customWidth="1"/>
    <col min="2818" max="2818" width="7" customWidth="1"/>
    <col min="2819" max="2819" width="17.75" customWidth="1"/>
    <col min="2820" max="2820" width="10.875" customWidth="1"/>
    <col min="2821" max="2821" width="11.25" customWidth="1"/>
    <col min="2822" max="2822" width="11.5" customWidth="1"/>
    <col min="2823" max="2823" width="11.625" customWidth="1"/>
    <col min="2824" max="2824" width="15.5" customWidth="1"/>
    <col min="2825" max="2825" width="18.75" customWidth="1"/>
    <col min="2826" max="2826" width="15.375" customWidth="1"/>
    <col min="2827" max="2827" width="15.125" customWidth="1"/>
    <col min="2829" max="2829" width="11" customWidth="1"/>
    <col min="2830" max="2830" width="10.625" customWidth="1"/>
    <col min="2831" max="2831" width="9.625" customWidth="1"/>
    <col min="3074" max="3074" width="7" customWidth="1"/>
    <col min="3075" max="3075" width="17.75" customWidth="1"/>
    <col min="3076" max="3076" width="10.875" customWidth="1"/>
    <col min="3077" max="3077" width="11.25" customWidth="1"/>
    <col min="3078" max="3078" width="11.5" customWidth="1"/>
    <col min="3079" max="3079" width="11.625" customWidth="1"/>
    <col min="3080" max="3080" width="15.5" customWidth="1"/>
    <col min="3081" max="3081" width="18.75" customWidth="1"/>
    <col min="3082" max="3082" width="15.375" customWidth="1"/>
    <col min="3083" max="3083" width="15.125" customWidth="1"/>
    <col min="3085" max="3085" width="11" customWidth="1"/>
    <col min="3086" max="3086" width="10.625" customWidth="1"/>
    <col min="3087" max="3087" width="9.625" customWidth="1"/>
    <col min="3330" max="3330" width="7" customWidth="1"/>
    <col min="3331" max="3331" width="17.75" customWidth="1"/>
    <col min="3332" max="3332" width="10.875" customWidth="1"/>
    <col min="3333" max="3333" width="11.25" customWidth="1"/>
    <col min="3334" max="3334" width="11.5" customWidth="1"/>
    <col min="3335" max="3335" width="11.625" customWidth="1"/>
    <col min="3336" max="3336" width="15.5" customWidth="1"/>
    <col min="3337" max="3337" width="18.75" customWidth="1"/>
    <col min="3338" max="3338" width="15.375" customWidth="1"/>
    <col min="3339" max="3339" width="15.125" customWidth="1"/>
    <col min="3341" max="3341" width="11" customWidth="1"/>
    <col min="3342" max="3342" width="10.625" customWidth="1"/>
    <col min="3343" max="3343" width="9.625" customWidth="1"/>
    <col min="3586" max="3586" width="7" customWidth="1"/>
    <col min="3587" max="3587" width="17.75" customWidth="1"/>
    <col min="3588" max="3588" width="10.875" customWidth="1"/>
    <col min="3589" max="3589" width="11.25" customWidth="1"/>
    <col min="3590" max="3590" width="11.5" customWidth="1"/>
    <col min="3591" max="3591" width="11.625" customWidth="1"/>
    <col min="3592" max="3592" width="15.5" customWidth="1"/>
    <col min="3593" max="3593" width="18.75" customWidth="1"/>
    <col min="3594" max="3594" width="15.375" customWidth="1"/>
    <col min="3595" max="3595" width="15.125" customWidth="1"/>
    <col min="3597" max="3597" width="11" customWidth="1"/>
    <col min="3598" max="3598" width="10.625" customWidth="1"/>
    <col min="3599" max="3599" width="9.625" customWidth="1"/>
    <col min="3842" max="3842" width="7" customWidth="1"/>
    <col min="3843" max="3843" width="17.75" customWidth="1"/>
    <col min="3844" max="3844" width="10.875" customWidth="1"/>
    <col min="3845" max="3845" width="11.25" customWidth="1"/>
    <col min="3846" max="3846" width="11.5" customWidth="1"/>
    <col min="3847" max="3847" width="11.625" customWidth="1"/>
    <col min="3848" max="3848" width="15.5" customWidth="1"/>
    <col min="3849" max="3849" width="18.75" customWidth="1"/>
    <col min="3850" max="3850" width="15.375" customWidth="1"/>
    <col min="3851" max="3851" width="15.125" customWidth="1"/>
    <col min="3853" max="3853" width="11" customWidth="1"/>
    <col min="3854" max="3854" width="10.625" customWidth="1"/>
    <col min="3855" max="3855" width="9.625" customWidth="1"/>
    <col min="4098" max="4098" width="7" customWidth="1"/>
    <col min="4099" max="4099" width="17.75" customWidth="1"/>
    <col min="4100" max="4100" width="10.875" customWidth="1"/>
    <col min="4101" max="4101" width="11.25" customWidth="1"/>
    <col min="4102" max="4102" width="11.5" customWidth="1"/>
    <col min="4103" max="4103" width="11.625" customWidth="1"/>
    <col min="4104" max="4104" width="15.5" customWidth="1"/>
    <col min="4105" max="4105" width="18.75" customWidth="1"/>
    <col min="4106" max="4106" width="15.375" customWidth="1"/>
    <col min="4107" max="4107" width="15.125" customWidth="1"/>
    <col min="4109" max="4109" width="11" customWidth="1"/>
    <col min="4110" max="4110" width="10.625" customWidth="1"/>
    <col min="4111" max="4111" width="9.625" customWidth="1"/>
    <col min="4354" max="4354" width="7" customWidth="1"/>
    <col min="4355" max="4355" width="17.75" customWidth="1"/>
    <col min="4356" max="4356" width="10.875" customWidth="1"/>
    <col min="4357" max="4357" width="11.25" customWidth="1"/>
    <col min="4358" max="4358" width="11.5" customWidth="1"/>
    <col min="4359" max="4359" width="11.625" customWidth="1"/>
    <col min="4360" max="4360" width="15.5" customWidth="1"/>
    <col min="4361" max="4361" width="18.75" customWidth="1"/>
    <col min="4362" max="4362" width="15.375" customWidth="1"/>
    <col min="4363" max="4363" width="15.125" customWidth="1"/>
    <col min="4365" max="4365" width="11" customWidth="1"/>
    <col min="4366" max="4366" width="10.625" customWidth="1"/>
    <col min="4367" max="4367" width="9.625" customWidth="1"/>
    <col min="4610" max="4610" width="7" customWidth="1"/>
    <col min="4611" max="4611" width="17.75" customWidth="1"/>
    <col min="4612" max="4612" width="10.875" customWidth="1"/>
    <col min="4613" max="4613" width="11.25" customWidth="1"/>
    <col min="4614" max="4614" width="11.5" customWidth="1"/>
    <col min="4615" max="4615" width="11.625" customWidth="1"/>
    <col min="4616" max="4616" width="15.5" customWidth="1"/>
    <col min="4617" max="4617" width="18.75" customWidth="1"/>
    <col min="4618" max="4618" width="15.375" customWidth="1"/>
    <col min="4619" max="4619" width="15.125" customWidth="1"/>
    <col min="4621" max="4621" width="11" customWidth="1"/>
    <col min="4622" max="4622" width="10.625" customWidth="1"/>
    <col min="4623" max="4623" width="9.625" customWidth="1"/>
    <col min="4866" max="4866" width="7" customWidth="1"/>
    <col min="4867" max="4867" width="17.75" customWidth="1"/>
    <col min="4868" max="4868" width="10.875" customWidth="1"/>
    <col min="4869" max="4869" width="11.25" customWidth="1"/>
    <col min="4870" max="4870" width="11.5" customWidth="1"/>
    <col min="4871" max="4871" width="11.625" customWidth="1"/>
    <col min="4872" max="4872" width="15.5" customWidth="1"/>
    <col min="4873" max="4873" width="18.75" customWidth="1"/>
    <col min="4874" max="4874" width="15.375" customWidth="1"/>
    <col min="4875" max="4875" width="15.125" customWidth="1"/>
    <col min="4877" max="4877" width="11" customWidth="1"/>
    <col min="4878" max="4878" width="10.625" customWidth="1"/>
    <col min="4879" max="4879" width="9.625" customWidth="1"/>
    <col min="5122" max="5122" width="7" customWidth="1"/>
    <col min="5123" max="5123" width="17.75" customWidth="1"/>
    <col min="5124" max="5124" width="10.875" customWidth="1"/>
    <col min="5125" max="5125" width="11.25" customWidth="1"/>
    <col min="5126" max="5126" width="11.5" customWidth="1"/>
    <col min="5127" max="5127" width="11.625" customWidth="1"/>
    <col min="5128" max="5128" width="15.5" customWidth="1"/>
    <col min="5129" max="5129" width="18.75" customWidth="1"/>
    <col min="5130" max="5130" width="15.375" customWidth="1"/>
    <col min="5131" max="5131" width="15.125" customWidth="1"/>
    <col min="5133" max="5133" width="11" customWidth="1"/>
    <col min="5134" max="5134" width="10.625" customWidth="1"/>
    <col min="5135" max="5135" width="9.625" customWidth="1"/>
    <col min="5378" max="5378" width="7" customWidth="1"/>
    <col min="5379" max="5379" width="17.75" customWidth="1"/>
    <col min="5380" max="5380" width="10.875" customWidth="1"/>
    <col min="5381" max="5381" width="11.25" customWidth="1"/>
    <col min="5382" max="5382" width="11.5" customWidth="1"/>
    <col min="5383" max="5383" width="11.625" customWidth="1"/>
    <col min="5384" max="5384" width="15.5" customWidth="1"/>
    <col min="5385" max="5385" width="18.75" customWidth="1"/>
    <col min="5386" max="5386" width="15.375" customWidth="1"/>
    <col min="5387" max="5387" width="15.125" customWidth="1"/>
    <col min="5389" max="5389" width="11" customWidth="1"/>
    <col min="5390" max="5390" width="10.625" customWidth="1"/>
    <col min="5391" max="5391" width="9.625" customWidth="1"/>
    <col min="5634" max="5634" width="7" customWidth="1"/>
    <col min="5635" max="5635" width="17.75" customWidth="1"/>
    <col min="5636" max="5636" width="10.875" customWidth="1"/>
    <col min="5637" max="5637" width="11.25" customWidth="1"/>
    <col min="5638" max="5638" width="11.5" customWidth="1"/>
    <col min="5639" max="5639" width="11.625" customWidth="1"/>
    <col min="5640" max="5640" width="15.5" customWidth="1"/>
    <col min="5641" max="5641" width="18.75" customWidth="1"/>
    <col min="5642" max="5642" width="15.375" customWidth="1"/>
    <col min="5643" max="5643" width="15.125" customWidth="1"/>
    <col min="5645" max="5645" width="11" customWidth="1"/>
    <col min="5646" max="5646" width="10.625" customWidth="1"/>
    <col min="5647" max="5647" width="9.625" customWidth="1"/>
    <col min="5890" max="5890" width="7" customWidth="1"/>
    <col min="5891" max="5891" width="17.75" customWidth="1"/>
    <col min="5892" max="5892" width="10.875" customWidth="1"/>
    <col min="5893" max="5893" width="11.25" customWidth="1"/>
    <col min="5894" max="5894" width="11.5" customWidth="1"/>
    <col min="5895" max="5895" width="11.625" customWidth="1"/>
    <col min="5896" max="5896" width="15.5" customWidth="1"/>
    <col min="5897" max="5897" width="18.75" customWidth="1"/>
    <col min="5898" max="5898" width="15.375" customWidth="1"/>
    <col min="5899" max="5899" width="15.125" customWidth="1"/>
    <col min="5901" max="5901" width="11" customWidth="1"/>
    <col min="5902" max="5902" width="10.625" customWidth="1"/>
    <col min="5903" max="5903" width="9.625" customWidth="1"/>
    <col min="6146" max="6146" width="7" customWidth="1"/>
    <col min="6147" max="6147" width="17.75" customWidth="1"/>
    <col min="6148" max="6148" width="10.875" customWidth="1"/>
    <col min="6149" max="6149" width="11.25" customWidth="1"/>
    <col min="6150" max="6150" width="11.5" customWidth="1"/>
    <col min="6151" max="6151" width="11.625" customWidth="1"/>
    <col min="6152" max="6152" width="15.5" customWidth="1"/>
    <col min="6153" max="6153" width="18.75" customWidth="1"/>
    <col min="6154" max="6154" width="15.375" customWidth="1"/>
    <col min="6155" max="6155" width="15.125" customWidth="1"/>
    <col min="6157" max="6157" width="11" customWidth="1"/>
    <col min="6158" max="6158" width="10.625" customWidth="1"/>
    <col min="6159" max="6159" width="9.625" customWidth="1"/>
    <col min="6402" max="6402" width="7" customWidth="1"/>
    <col min="6403" max="6403" width="17.75" customWidth="1"/>
    <col min="6404" max="6404" width="10.875" customWidth="1"/>
    <col min="6405" max="6405" width="11.25" customWidth="1"/>
    <col min="6406" max="6406" width="11.5" customWidth="1"/>
    <col min="6407" max="6407" width="11.625" customWidth="1"/>
    <col min="6408" max="6408" width="15.5" customWidth="1"/>
    <col min="6409" max="6409" width="18.75" customWidth="1"/>
    <col min="6410" max="6410" width="15.375" customWidth="1"/>
    <col min="6411" max="6411" width="15.125" customWidth="1"/>
    <col min="6413" max="6413" width="11" customWidth="1"/>
    <col min="6414" max="6414" width="10.625" customWidth="1"/>
    <col min="6415" max="6415" width="9.625" customWidth="1"/>
    <col min="6658" max="6658" width="7" customWidth="1"/>
    <col min="6659" max="6659" width="17.75" customWidth="1"/>
    <col min="6660" max="6660" width="10.875" customWidth="1"/>
    <col min="6661" max="6661" width="11.25" customWidth="1"/>
    <col min="6662" max="6662" width="11.5" customWidth="1"/>
    <col min="6663" max="6663" width="11.625" customWidth="1"/>
    <col min="6664" max="6664" width="15.5" customWidth="1"/>
    <col min="6665" max="6665" width="18.75" customWidth="1"/>
    <col min="6666" max="6666" width="15.375" customWidth="1"/>
    <col min="6667" max="6667" width="15.125" customWidth="1"/>
    <col min="6669" max="6669" width="11" customWidth="1"/>
    <col min="6670" max="6670" width="10.625" customWidth="1"/>
    <col min="6671" max="6671" width="9.625" customWidth="1"/>
    <col min="6914" max="6914" width="7" customWidth="1"/>
    <col min="6915" max="6915" width="17.75" customWidth="1"/>
    <col min="6916" max="6916" width="10.875" customWidth="1"/>
    <col min="6917" max="6917" width="11.25" customWidth="1"/>
    <col min="6918" max="6918" width="11.5" customWidth="1"/>
    <col min="6919" max="6919" width="11.625" customWidth="1"/>
    <col min="6920" max="6920" width="15.5" customWidth="1"/>
    <col min="6921" max="6921" width="18.75" customWidth="1"/>
    <col min="6922" max="6922" width="15.375" customWidth="1"/>
    <col min="6923" max="6923" width="15.125" customWidth="1"/>
    <col min="6925" max="6925" width="11" customWidth="1"/>
    <col min="6926" max="6926" width="10.625" customWidth="1"/>
    <col min="6927" max="6927" width="9.625" customWidth="1"/>
    <col min="7170" max="7170" width="7" customWidth="1"/>
    <col min="7171" max="7171" width="17.75" customWidth="1"/>
    <col min="7172" max="7172" width="10.875" customWidth="1"/>
    <col min="7173" max="7173" width="11.25" customWidth="1"/>
    <col min="7174" max="7174" width="11.5" customWidth="1"/>
    <col min="7175" max="7175" width="11.625" customWidth="1"/>
    <col min="7176" max="7176" width="15.5" customWidth="1"/>
    <col min="7177" max="7177" width="18.75" customWidth="1"/>
    <col min="7178" max="7178" width="15.375" customWidth="1"/>
    <col min="7179" max="7179" width="15.125" customWidth="1"/>
    <col min="7181" max="7181" width="11" customWidth="1"/>
    <col min="7182" max="7182" width="10.625" customWidth="1"/>
    <col min="7183" max="7183" width="9.625" customWidth="1"/>
    <col min="7426" max="7426" width="7" customWidth="1"/>
    <col min="7427" max="7427" width="17.75" customWidth="1"/>
    <col min="7428" max="7428" width="10.875" customWidth="1"/>
    <col min="7429" max="7429" width="11.25" customWidth="1"/>
    <col min="7430" max="7430" width="11.5" customWidth="1"/>
    <col min="7431" max="7431" width="11.625" customWidth="1"/>
    <col min="7432" max="7432" width="15.5" customWidth="1"/>
    <col min="7433" max="7433" width="18.75" customWidth="1"/>
    <col min="7434" max="7434" width="15.375" customWidth="1"/>
    <col min="7435" max="7435" width="15.125" customWidth="1"/>
    <col min="7437" max="7437" width="11" customWidth="1"/>
    <col min="7438" max="7438" width="10.625" customWidth="1"/>
    <col min="7439" max="7439" width="9.625" customWidth="1"/>
    <col min="7682" max="7682" width="7" customWidth="1"/>
    <col min="7683" max="7683" width="17.75" customWidth="1"/>
    <col min="7684" max="7684" width="10.875" customWidth="1"/>
    <col min="7685" max="7685" width="11.25" customWidth="1"/>
    <col min="7686" max="7686" width="11.5" customWidth="1"/>
    <col min="7687" max="7687" width="11.625" customWidth="1"/>
    <col min="7688" max="7688" width="15.5" customWidth="1"/>
    <col min="7689" max="7689" width="18.75" customWidth="1"/>
    <col min="7690" max="7690" width="15.375" customWidth="1"/>
    <col min="7691" max="7691" width="15.125" customWidth="1"/>
    <col min="7693" max="7693" width="11" customWidth="1"/>
    <col min="7694" max="7694" width="10.625" customWidth="1"/>
    <col min="7695" max="7695" width="9.625" customWidth="1"/>
    <col min="7938" max="7938" width="7" customWidth="1"/>
    <col min="7939" max="7939" width="17.75" customWidth="1"/>
    <col min="7940" max="7940" width="10.875" customWidth="1"/>
    <col min="7941" max="7941" width="11.25" customWidth="1"/>
    <col min="7942" max="7942" width="11.5" customWidth="1"/>
    <col min="7943" max="7943" width="11.625" customWidth="1"/>
    <col min="7944" max="7944" width="15.5" customWidth="1"/>
    <col min="7945" max="7945" width="18.75" customWidth="1"/>
    <col min="7946" max="7946" width="15.375" customWidth="1"/>
    <col min="7947" max="7947" width="15.125" customWidth="1"/>
    <col min="7949" max="7949" width="11" customWidth="1"/>
    <col min="7950" max="7950" width="10.625" customWidth="1"/>
    <col min="7951" max="7951" width="9.625" customWidth="1"/>
    <col min="8194" max="8194" width="7" customWidth="1"/>
    <col min="8195" max="8195" width="17.75" customWidth="1"/>
    <col min="8196" max="8196" width="10.875" customWidth="1"/>
    <col min="8197" max="8197" width="11.25" customWidth="1"/>
    <col min="8198" max="8198" width="11.5" customWidth="1"/>
    <col min="8199" max="8199" width="11.625" customWidth="1"/>
    <col min="8200" max="8200" width="15.5" customWidth="1"/>
    <col min="8201" max="8201" width="18.75" customWidth="1"/>
    <col min="8202" max="8202" width="15.375" customWidth="1"/>
    <col min="8203" max="8203" width="15.125" customWidth="1"/>
    <col min="8205" max="8205" width="11" customWidth="1"/>
    <col min="8206" max="8206" width="10.625" customWidth="1"/>
    <col min="8207" max="8207" width="9.625" customWidth="1"/>
    <col min="8450" max="8450" width="7" customWidth="1"/>
    <col min="8451" max="8451" width="17.75" customWidth="1"/>
    <col min="8452" max="8452" width="10.875" customWidth="1"/>
    <col min="8453" max="8453" width="11.25" customWidth="1"/>
    <col min="8454" max="8454" width="11.5" customWidth="1"/>
    <col min="8455" max="8455" width="11.625" customWidth="1"/>
    <col min="8456" max="8456" width="15.5" customWidth="1"/>
    <col min="8457" max="8457" width="18.75" customWidth="1"/>
    <col min="8458" max="8458" width="15.375" customWidth="1"/>
    <col min="8459" max="8459" width="15.125" customWidth="1"/>
    <col min="8461" max="8461" width="11" customWidth="1"/>
    <col min="8462" max="8462" width="10.625" customWidth="1"/>
    <col min="8463" max="8463" width="9.625" customWidth="1"/>
    <col min="8706" max="8706" width="7" customWidth="1"/>
    <col min="8707" max="8707" width="17.75" customWidth="1"/>
    <col min="8708" max="8708" width="10.875" customWidth="1"/>
    <col min="8709" max="8709" width="11.25" customWidth="1"/>
    <col min="8710" max="8710" width="11.5" customWidth="1"/>
    <col min="8711" max="8711" width="11.625" customWidth="1"/>
    <col min="8712" max="8712" width="15.5" customWidth="1"/>
    <col min="8713" max="8713" width="18.75" customWidth="1"/>
    <col min="8714" max="8714" width="15.375" customWidth="1"/>
    <col min="8715" max="8715" width="15.125" customWidth="1"/>
    <col min="8717" max="8717" width="11" customWidth="1"/>
    <col min="8718" max="8718" width="10.625" customWidth="1"/>
    <col min="8719" max="8719" width="9.625" customWidth="1"/>
    <col min="8962" max="8962" width="7" customWidth="1"/>
    <col min="8963" max="8963" width="17.75" customWidth="1"/>
    <col min="8964" max="8964" width="10.875" customWidth="1"/>
    <col min="8965" max="8965" width="11.25" customWidth="1"/>
    <col min="8966" max="8966" width="11.5" customWidth="1"/>
    <col min="8967" max="8967" width="11.625" customWidth="1"/>
    <col min="8968" max="8968" width="15.5" customWidth="1"/>
    <col min="8969" max="8969" width="18.75" customWidth="1"/>
    <col min="8970" max="8970" width="15.375" customWidth="1"/>
    <col min="8971" max="8971" width="15.125" customWidth="1"/>
    <col min="8973" max="8973" width="11" customWidth="1"/>
    <col min="8974" max="8974" width="10.625" customWidth="1"/>
    <col min="8975" max="8975" width="9.625" customWidth="1"/>
    <col min="9218" max="9218" width="7" customWidth="1"/>
    <col min="9219" max="9219" width="17.75" customWidth="1"/>
    <col min="9220" max="9220" width="10.875" customWidth="1"/>
    <col min="9221" max="9221" width="11.25" customWidth="1"/>
    <col min="9222" max="9222" width="11.5" customWidth="1"/>
    <col min="9223" max="9223" width="11.625" customWidth="1"/>
    <col min="9224" max="9224" width="15.5" customWidth="1"/>
    <col min="9225" max="9225" width="18.75" customWidth="1"/>
    <col min="9226" max="9226" width="15.375" customWidth="1"/>
    <col min="9227" max="9227" width="15.125" customWidth="1"/>
    <col min="9229" max="9229" width="11" customWidth="1"/>
    <col min="9230" max="9230" width="10.625" customWidth="1"/>
    <col min="9231" max="9231" width="9.625" customWidth="1"/>
    <col min="9474" max="9474" width="7" customWidth="1"/>
    <col min="9475" max="9475" width="17.75" customWidth="1"/>
    <col min="9476" max="9476" width="10.875" customWidth="1"/>
    <col min="9477" max="9477" width="11.25" customWidth="1"/>
    <col min="9478" max="9478" width="11.5" customWidth="1"/>
    <col min="9479" max="9479" width="11.625" customWidth="1"/>
    <col min="9480" max="9480" width="15.5" customWidth="1"/>
    <col min="9481" max="9481" width="18.75" customWidth="1"/>
    <col min="9482" max="9482" width="15.375" customWidth="1"/>
    <col min="9483" max="9483" width="15.125" customWidth="1"/>
    <col min="9485" max="9485" width="11" customWidth="1"/>
    <col min="9486" max="9486" width="10.625" customWidth="1"/>
    <col min="9487" max="9487" width="9.625" customWidth="1"/>
    <col min="9730" max="9730" width="7" customWidth="1"/>
    <col min="9731" max="9731" width="17.75" customWidth="1"/>
    <col min="9732" max="9732" width="10.875" customWidth="1"/>
    <col min="9733" max="9733" width="11.25" customWidth="1"/>
    <col min="9734" max="9734" width="11.5" customWidth="1"/>
    <col min="9735" max="9735" width="11.625" customWidth="1"/>
    <col min="9736" max="9736" width="15.5" customWidth="1"/>
    <col min="9737" max="9737" width="18.75" customWidth="1"/>
    <col min="9738" max="9738" width="15.375" customWidth="1"/>
    <col min="9739" max="9739" width="15.125" customWidth="1"/>
    <col min="9741" max="9741" width="11" customWidth="1"/>
    <col min="9742" max="9742" width="10.625" customWidth="1"/>
    <col min="9743" max="9743" width="9.625" customWidth="1"/>
    <col min="9986" max="9986" width="7" customWidth="1"/>
    <col min="9987" max="9987" width="17.75" customWidth="1"/>
    <col min="9988" max="9988" width="10.875" customWidth="1"/>
    <col min="9989" max="9989" width="11.25" customWidth="1"/>
    <col min="9990" max="9990" width="11.5" customWidth="1"/>
    <col min="9991" max="9991" width="11.625" customWidth="1"/>
    <col min="9992" max="9992" width="15.5" customWidth="1"/>
    <col min="9993" max="9993" width="18.75" customWidth="1"/>
    <col min="9994" max="9994" width="15.375" customWidth="1"/>
    <col min="9995" max="9995" width="15.125" customWidth="1"/>
    <col min="9997" max="9997" width="11" customWidth="1"/>
    <col min="9998" max="9998" width="10.625" customWidth="1"/>
    <col min="9999" max="9999" width="9.625" customWidth="1"/>
    <col min="10242" max="10242" width="7" customWidth="1"/>
    <col min="10243" max="10243" width="17.75" customWidth="1"/>
    <col min="10244" max="10244" width="10.875" customWidth="1"/>
    <col min="10245" max="10245" width="11.25" customWidth="1"/>
    <col min="10246" max="10246" width="11.5" customWidth="1"/>
    <col min="10247" max="10247" width="11.625" customWidth="1"/>
    <col min="10248" max="10248" width="15.5" customWidth="1"/>
    <col min="10249" max="10249" width="18.75" customWidth="1"/>
    <col min="10250" max="10250" width="15.375" customWidth="1"/>
    <col min="10251" max="10251" width="15.125" customWidth="1"/>
    <col min="10253" max="10253" width="11" customWidth="1"/>
    <col min="10254" max="10254" width="10.625" customWidth="1"/>
    <col min="10255" max="10255" width="9.625" customWidth="1"/>
    <col min="10498" max="10498" width="7" customWidth="1"/>
    <col min="10499" max="10499" width="17.75" customWidth="1"/>
    <col min="10500" max="10500" width="10.875" customWidth="1"/>
    <col min="10501" max="10501" width="11.25" customWidth="1"/>
    <col min="10502" max="10502" width="11.5" customWidth="1"/>
    <col min="10503" max="10503" width="11.625" customWidth="1"/>
    <col min="10504" max="10504" width="15.5" customWidth="1"/>
    <col min="10505" max="10505" width="18.75" customWidth="1"/>
    <col min="10506" max="10506" width="15.375" customWidth="1"/>
    <col min="10507" max="10507" width="15.125" customWidth="1"/>
    <col min="10509" max="10509" width="11" customWidth="1"/>
    <col min="10510" max="10510" width="10.625" customWidth="1"/>
    <col min="10511" max="10511" width="9.625" customWidth="1"/>
    <col min="10754" max="10754" width="7" customWidth="1"/>
    <col min="10755" max="10755" width="17.75" customWidth="1"/>
    <col min="10756" max="10756" width="10.875" customWidth="1"/>
    <col min="10757" max="10757" width="11.25" customWidth="1"/>
    <col min="10758" max="10758" width="11.5" customWidth="1"/>
    <col min="10759" max="10759" width="11.625" customWidth="1"/>
    <col min="10760" max="10760" width="15.5" customWidth="1"/>
    <col min="10761" max="10761" width="18.75" customWidth="1"/>
    <col min="10762" max="10762" width="15.375" customWidth="1"/>
    <col min="10763" max="10763" width="15.125" customWidth="1"/>
    <col min="10765" max="10765" width="11" customWidth="1"/>
    <col min="10766" max="10766" width="10.625" customWidth="1"/>
    <col min="10767" max="10767" width="9.625" customWidth="1"/>
    <col min="11010" max="11010" width="7" customWidth="1"/>
    <col min="11011" max="11011" width="17.75" customWidth="1"/>
    <col min="11012" max="11012" width="10.875" customWidth="1"/>
    <col min="11013" max="11013" width="11.25" customWidth="1"/>
    <col min="11014" max="11014" width="11.5" customWidth="1"/>
    <col min="11015" max="11015" width="11.625" customWidth="1"/>
    <col min="11016" max="11016" width="15.5" customWidth="1"/>
    <col min="11017" max="11017" width="18.75" customWidth="1"/>
    <col min="11018" max="11018" width="15.375" customWidth="1"/>
    <col min="11019" max="11019" width="15.125" customWidth="1"/>
    <col min="11021" max="11021" width="11" customWidth="1"/>
    <col min="11022" max="11022" width="10.625" customWidth="1"/>
    <col min="11023" max="11023" width="9.625" customWidth="1"/>
    <col min="11266" max="11266" width="7" customWidth="1"/>
    <col min="11267" max="11267" width="17.75" customWidth="1"/>
    <col min="11268" max="11268" width="10.875" customWidth="1"/>
    <col min="11269" max="11269" width="11.25" customWidth="1"/>
    <col min="11270" max="11270" width="11.5" customWidth="1"/>
    <col min="11271" max="11271" width="11.625" customWidth="1"/>
    <col min="11272" max="11272" width="15.5" customWidth="1"/>
    <col min="11273" max="11273" width="18.75" customWidth="1"/>
    <col min="11274" max="11274" width="15.375" customWidth="1"/>
    <col min="11275" max="11275" width="15.125" customWidth="1"/>
    <col min="11277" max="11277" width="11" customWidth="1"/>
    <col min="11278" max="11278" width="10.625" customWidth="1"/>
    <col min="11279" max="11279" width="9.625" customWidth="1"/>
    <col min="11522" max="11522" width="7" customWidth="1"/>
    <col min="11523" max="11523" width="17.75" customWidth="1"/>
    <col min="11524" max="11524" width="10.875" customWidth="1"/>
    <col min="11525" max="11525" width="11.25" customWidth="1"/>
    <col min="11526" max="11526" width="11.5" customWidth="1"/>
    <col min="11527" max="11527" width="11.625" customWidth="1"/>
    <col min="11528" max="11528" width="15.5" customWidth="1"/>
    <col min="11529" max="11529" width="18.75" customWidth="1"/>
    <col min="11530" max="11530" width="15.375" customWidth="1"/>
    <col min="11531" max="11531" width="15.125" customWidth="1"/>
    <col min="11533" max="11533" width="11" customWidth="1"/>
    <col min="11534" max="11534" width="10.625" customWidth="1"/>
    <col min="11535" max="11535" width="9.625" customWidth="1"/>
    <col min="11778" max="11778" width="7" customWidth="1"/>
    <col min="11779" max="11779" width="17.75" customWidth="1"/>
    <col min="11780" max="11780" width="10.875" customWidth="1"/>
    <col min="11781" max="11781" width="11.25" customWidth="1"/>
    <col min="11782" max="11782" width="11.5" customWidth="1"/>
    <col min="11783" max="11783" width="11.625" customWidth="1"/>
    <col min="11784" max="11784" width="15.5" customWidth="1"/>
    <col min="11785" max="11785" width="18.75" customWidth="1"/>
    <col min="11786" max="11786" width="15.375" customWidth="1"/>
    <col min="11787" max="11787" width="15.125" customWidth="1"/>
    <col min="11789" max="11789" width="11" customWidth="1"/>
    <col min="11790" max="11790" width="10.625" customWidth="1"/>
    <col min="11791" max="11791" width="9.625" customWidth="1"/>
    <col min="12034" max="12034" width="7" customWidth="1"/>
    <col min="12035" max="12035" width="17.75" customWidth="1"/>
    <col min="12036" max="12036" width="10.875" customWidth="1"/>
    <col min="12037" max="12037" width="11.25" customWidth="1"/>
    <col min="12038" max="12038" width="11.5" customWidth="1"/>
    <col min="12039" max="12039" width="11.625" customWidth="1"/>
    <col min="12040" max="12040" width="15.5" customWidth="1"/>
    <col min="12041" max="12041" width="18.75" customWidth="1"/>
    <col min="12042" max="12042" width="15.375" customWidth="1"/>
    <col min="12043" max="12043" width="15.125" customWidth="1"/>
    <col min="12045" max="12045" width="11" customWidth="1"/>
    <col min="12046" max="12046" width="10.625" customWidth="1"/>
    <col min="12047" max="12047" width="9.625" customWidth="1"/>
    <col min="12290" max="12290" width="7" customWidth="1"/>
    <col min="12291" max="12291" width="17.75" customWidth="1"/>
    <col min="12292" max="12292" width="10.875" customWidth="1"/>
    <col min="12293" max="12293" width="11.25" customWidth="1"/>
    <col min="12294" max="12294" width="11.5" customWidth="1"/>
    <col min="12295" max="12295" width="11.625" customWidth="1"/>
    <col min="12296" max="12296" width="15.5" customWidth="1"/>
    <col min="12297" max="12297" width="18.75" customWidth="1"/>
    <col min="12298" max="12298" width="15.375" customWidth="1"/>
    <col min="12299" max="12299" width="15.125" customWidth="1"/>
    <col min="12301" max="12301" width="11" customWidth="1"/>
    <col min="12302" max="12302" width="10.625" customWidth="1"/>
    <col min="12303" max="12303" width="9.625" customWidth="1"/>
    <col min="12546" max="12546" width="7" customWidth="1"/>
    <col min="12547" max="12547" width="17.75" customWidth="1"/>
    <col min="12548" max="12548" width="10.875" customWidth="1"/>
    <col min="12549" max="12549" width="11.25" customWidth="1"/>
    <col min="12550" max="12550" width="11.5" customWidth="1"/>
    <col min="12551" max="12551" width="11.625" customWidth="1"/>
    <col min="12552" max="12552" width="15.5" customWidth="1"/>
    <col min="12553" max="12553" width="18.75" customWidth="1"/>
    <col min="12554" max="12554" width="15.375" customWidth="1"/>
    <col min="12555" max="12555" width="15.125" customWidth="1"/>
    <col min="12557" max="12557" width="11" customWidth="1"/>
    <col min="12558" max="12558" width="10.625" customWidth="1"/>
    <col min="12559" max="12559" width="9.625" customWidth="1"/>
    <col min="12802" max="12802" width="7" customWidth="1"/>
    <col min="12803" max="12803" width="17.75" customWidth="1"/>
    <col min="12804" max="12804" width="10.875" customWidth="1"/>
    <col min="12805" max="12805" width="11.25" customWidth="1"/>
    <col min="12806" max="12806" width="11.5" customWidth="1"/>
    <col min="12807" max="12807" width="11.625" customWidth="1"/>
    <col min="12808" max="12808" width="15.5" customWidth="1"/>
    <col min="12809" max="12809" width="18.75" customWidth="1"/>
    <col min="12810" max="12810" width="15.375" customWidth="1"/>
    <col min="12811" max="12811" width="15.125" customWidth="1"/>
    <col min="12813" max="12813" width="11" customWidth="1"/>
    <col min="12814" max="12814" width="10.625" customWidth="1"/>
    <col min="12815" max="12815" width="9.625" customWidth="1"/>
    <col min="13058" max="13058" width="7" customWidth="1"/>
    <col min="13059" max="13059" width="17.75" customWidth="1"/>
    <col min="13060" max="13060" width="10.875" customWidth="1"/>
    <col min="13061" max="13061" width="11.25" customWidth="1"/>
    <col min="13062" max="13062" width="11.5" customWidth="1"/>
    <col min="13063" max="13063" width="11.625" customWidth="1"/>
    <col min="13064" max="13064" width="15.5" customWidth="1"/>
    <col min="13065" max="13065" width="18.75" customWidth="1"/>
    <col min="13066" max="13066" width="15.375" customWidth="1"/>
    <col min="13067" max="13067" width="15.125" customWidth="1"/>
    <col min="13069" max="13069" width="11" customWidth="1"/>
    <col min="13070" max="13070" width="10.625" customWidth="1"/>
    <col min="13071" max="13071" width="9.625" customWidth="1"/>
    <col min="13314" max="13314" width="7" customWidth="1"/>
    <col min="13315" max="13315" width="17.75" customWidth="1"/>
    <col min="13316" max="13316" width="10.875" customWidth="1"/>
    <col min="13317" max="13317" width="11.25" customWidth="1"/>
    <col min="13318" max="13318" width="11.5" customWidth="1"/>
    <col min="13319" max="13319" width="11.625" customWidth="1"/>
    <col min="13320" max="13320" width="15.5" customWidth="1"/>
    <col min="13321" max="13321" width="18.75" customWidth="1"/>
    <col min="13322" max="13322" width="15.375" customWidth="1"/>
    <col min="13323" max="13323" width="15.125" customWidth="1"/>
    <col min="13325" max="13325" width="11" customWidth="1"/>
    <col min="13326" max="13326" width="10.625" customWidth="1"/>
    <col min="13327" max="13327" width="9.625" customWidth="1"/>
    <col min="13570" max="13570" width="7" customWidth="1"/>
    <col min="13571" max="13571" width="17.75" customWidth="1"/>
    <col min="13572" max="13572" width="10.875" customWidth="1"/>
    <col min="13573" max="13573" width="11.25" customWidth="1"/>
    <col min="13574" max="13574" width="11.5" customWidth="1"/>
    <col min="13575" max="13575" width="11.625" customWidth="1"/>
    <col min="13576" max="13576" width="15.5" customWidth="1"/>
    <col min="13577" max="13577" width="18.75" customWidth="1"/>
    <col min="13578" max="13578" width="15.375" customWidth="1"/>
    <col min="13579" max="13579" width="15.125" customWidth="1"/>
    <col min="13581" max="13581" width="11" customWidth="1"/>
    <col min="13582" max="13582" width="10.625" customWidth="1"/>
    <col min="13583" max="13583" width="9.625" customWidth="1"/>
    <col min="13826" max="13826" width="7" customWidth="1"/>
    <col min="13827" max="13827" width="17.75" customWidth="1"/>
    <col min="13828" max="13828" width="10.875" customWidth="1"/>
    <col min="13829" max="13829" width="11.25" customWidth="1"/>
    <col min="13830" max="13830" width="11.5" customWidth="1"/>
    <col min="13831" max="13831" width="11.625" customWidth="1"/>
    <col min="13832" max="13832" width="15.5" customWidth="1"/>
    <col min="13833" max="13833" width="18.75" customWidth="1"/>
    <col min="13834" max="13834" width="15.375" customWidth="1"/>
    <col min="13835" max="13835" width="15.125" customWidth="1"/>
    <col min="13837" max="13837" width="11" customWidth="1"/>
    <col min="13838" max="13838" width="10.625" customWidth="1"/>
    <col min="13839" max="13839" width="9.625" customWidth="1"/>
    <col min="14082" max="14082" width="7" customWidth="1"/>
    <col min="14083" max="14083" width="17.75" customWidth="1"/>
    <col min="14084" max="14084" width="10.875" customWidth="1"/>
    <col min="14085" max="14085" width="11.25" customWidth="1"/>
    <col min="14086" max="14086" width="11.5" customWidth="1"/>
    <col min="14087" max="14087" width="11.625" customWidth="1"/>
    <col min="14088" max="14088" width="15.5" customWidth="1"/>
    <col min="14089" max="14089" width="18.75" customWidth="1"/>
    <col min="14090" max="14090" width="15.375" customWidth="1"/>
    <col min="14091" max="14091" width="15.125" customWidth="1"/>
    <col min="14093" max="14093" width="11" customWidth="1"/>
    <col min="14094" max="14094" width="10.625" customWidth="1"/>
    <col min="14095" max="14095" width="9.625" customWidth="1"/>
    <col min="14338" max="14338" width="7" customWidth="1"/>
    <col min="14339" max="14339" width="17.75" customWidth="1"/>
    <col min="14340" max="14340" width="10.875" customWidth="1"/>
    <col min="14341" max="14341" width="11.25" customWidth="1"/>
    <col min="14342" max="14342" width="11.5" customWidth="1"/>
    <col min="14343" max="14343" width="11.625" customWidth="1"/>
    <col min="14344" max="14344" width="15.5" customWidth="1"/>
    <col min="14345" max="14345" width="18.75" customWidth="1"/>
    <col min="14346" max="14346" width="15.375" customWidth="1"/>
    <col min="14347" max="14347" width="15.125" customWidth="1"/>
    <col min="14349" max="14349" width="11" customWidth="1"/>
    <col min="14350" max="14350" width="10.625" customWidth="1"/>
    <col min="14351" max="14351" width="9.625" customWidth="1"/>
    <col min="14594" max="14594" width="7" customWidth="1"/>
    <col min="14595" max="14595" width="17.75" customWidth="1"/>
    <col min="14596" max="14596" width="10.875" customWidth="1"/>
    <col min="14597" max="14597" width="11.25" customWidth="1"/>
    <col min="14598" max="14598" width="11.5" customWidth="1"/>
    <col min="14599" max="14599" width="11.625" customWidth="1"/>
    <col min="14600" max="14600" width="15.5" customWidth="1"/>
    <col min="14601" max="14601" width="18.75" customWidth="1"/>
    <col min="14602" max="14602" width="15.375" customWidth="1"/>
    <col min="14603" max="14603" width="15.125" customWidth="1"/>
    <col min="14605" max="14605" width="11" customWidth="1"/>
    <col min="14606" max="14606" width="10.625" customWidth="1"/>
    <col min="14607" max="14607" width="9.625" customWidth="1"/>
    <col min="14850" max="14850" width="7" customWidth="1"/>
    <col min="14851" max="14851" width="17.75" customWidth="1"/>
    <col min="14852" max="14852" width="10.875" customWidth="1"/>
    <col min="14853" max="14853" width="11.25" customWidth="1"/>
    <col min="14854" max="14854" width="11.5" customWidth="1"/>
    <col min="14855" max="14855" width="11.625" customWidth="1"/>
    <col min="14856" max="14856" width="15.5" customWidth="1"/>
    <col min="14857" max="14857" width="18.75" customWidth="1"/>
    <col min="14858" max="14858" width="15.375" customWidth="1"/>
    <col min="14859" max="14859" width="15.125" customWidth="1"/>
    <col min="14861" max="14861" width="11" customWidth="1"/>
    <col min="14862" max="14862" width="10.625" customWidth="1"/>
    <col min="14863" max="14863" width="9.625" customWidth="1"/>
    <col min="15106" max="15106" width="7" customWidth="1"/>
    <col min="15107" max="15107" width="17.75" customWidth="1"/>
    <col min="15108" max="15108" width="10.875" customWidth="1"/>
    <col min="15109" max="15109" width="11.25" customWidth="1"/>
    <col min="15110" max="15110" width="11.5" customWidth="1"/>
    <col min="15111" max="15111" width="11.625" customWidth="1"/>
    <col min="15112" max="15112" width="15.5" customWidth="1"/>
    <col min="15113" max="15113" width="18.75" customWidth="1"/>
    <col min="15114" max="15114" width="15.375" customWidth="1"/>
    <col min="15115" max="15115" width="15.125" customWidth="1"/>
    <col min="15117" max="15117" width="11" customWidth="1"/>
    <col min="15118" max="15118" width="10.625" customWidth="1"/>
    <col min="15119" max="15119" width="9.625" customWidth="1"/>
    <col min="15362" max="15362" width="7" customWidth="1"/>
    <col min="15363" max="15363" width="17.75" customWidth="1"/>
    <col min="15364" max="15364" width="10.875" customWidth="1"/>
    <col min="15365" max="15365" width="11.25" customWidth="1"/>
    <col min="15366" max="15366" width="11.5" customWidth="1"/>
    <col min="15367" max="15367" width="11.625" customWidth="1"/>
    <col min="15368" max="15368" width="15.5" customWidth="1"/>
    <col min="15369" max="15369" width="18.75" customWidth="1"/>
    <col min="15370" max="15370" width="15.375" customWidth="1"/>
    <col min="15371" max="15371" width="15.125" customWidth="1"/>
    <col min="15373" max="15373" width="11" customWidth="1"/>
    <col min="15374" max="15374" width="10.625" customWidth="1"/>
    <col min="15375" max="15375" width="9.625" customWidth="1"/>
    <col min="15618" max="15618" width="7" customWidth="1"/>
    <col min="15619" max="15619" width="17.75" customWidth="1"/>
    <col min="15620" max="15620" width="10.875" customWidth="1"/>
    <col min="15621" max="15621" width="11.25" customWidth="1"/>
    <col min="15622" max="15622" width="11.5" customWidth="1"/>
    <col min="15623" max="15623" width="11.625" customWidth="1"/>
    <col min="15624" max="15624" width="15.5" customWidth="1"/>
    <col min="15625" max="15625" width="18.75" customWidth="1"/>
    <col min="15626" max="15626" width="15.375" customWidth="1"/>
    <col min="15627" max="15627" width="15.125" customWidth="1"/>
    <col min="15629" max="15629" width="11" customWidth="1"/>
    <col min="15630" max="15630" width="10.625" customWidth="1"/>
    <col min="15631" max="15631" width="9.625" customWidth="1"/>
    <col min="15874" max="15874" width="7" customWidth="1"/>
    <col min="15875" max="15875" width="17.75" customWidth="1"/>
    <col min="15876" max="15876" width="10.875" customWidth="1"/>
    <col min="15877" max="15877" width="11.25" customWidth="1"/>
    <col min="15878" max="15878" width="11.5" customWidth="1"/>
    <col min="15879" max="15879" width="11.625" customWidth="1"/>
    <col min="15880" max="15880" width="15.5" customWidth="1"/>
    <col min="15881" max="15881" width="18.75" customWidth="1"/>
    <col min="15882" max="15882" width="15.375" customWidth="1"/>
    <col min="15883" max="15883" width="15.125" customWidth="1"/>
    <col min="15885" max="15885" width="11" customWidth="1"/>
    <col min="15886" max="15886" width="10.625" customWidth="1"/>
    <col min="15887" max="15887" width="9.625" customWidth="1"/>
    <col min="16130" max="16130" width="7" customWidth="1"/>
    <col min="16131" max="16131" width="17.75" customWidth="1"/>
    <col min="16132" max="16132" width="10.875" customWidth="1"/>
    <col min="16133" max="16133" width="11.25" customWidth="1"/>
    <col min="16134" max="16134" width="11.5" customWidth="1"/>
    <col min="16135" max="16135" width="11.625" customWidth="1"/>
    <col min="16136" max="16136" width="15.5" customWidth="1"/>
    <col min="16137" max="16137" width="18.75" customWidth="1"/>
    <col min="16138" max="16138" width="15.375" customWidth="1"/>
    <col min="16139" max="16139" width="15.125" customWidth="1"/>
    <col min="16141" max="16141" width="11" customWidth="1"/>
    <col min="16142" max="16142" width="10.625" customWidth="1"/>
    <col min="16143" max="16143" width="9.625" customWidth="1"/>
  </cols>
  <sheetData>
    <row r="1" spans="1:15" ht="18.75" x14ac:dyDescent="0.3">
      <c r="G1" s="1" t="s">
        <v>0</v>
      </c>
      <c r="N1" t="s">
        <v>1</v>
      </c>
    </row>
    <row r="2" spans="1:15" ht="18.75" x14ac:dyDescent="0.3">
      <c r="G2" s="1"/>
    </row>
    <row r="3" spans="1:15" ht="18.75" x14ac:dyDescent="0.3">
      <c r="A3" s="545" t="s">
        <v>2</v>
      </c>
      <c r="B3" s="545"/>
      <c r="C3" t="s">
        <v>38</v>
      </c>
      <c r="G3" s="1"/>
    </row>
    <row r="4" spans="1:15" ht="18.75" x14ac:dyDescent="0.3">
      <c r="A4" s="545" t="s">
        <v>3</v>
      </c>
      <c r="B4" s="545"/>
      <c r="C4" t="s">
        <v>40</v>
      </c>
      <c r="G4" s="1"/>
    </row>
    <row r="5" spans="1:15" ht="18.75" x14ac:dyDescent="0.3">
      <c r="A5" s="545" t="s">
        <v>4</v>
      </c>
      <c r="B5" s="545"/>
      <c r="C5" t="s">
        <v>41</v>
      </c>
      <c r="G5" s="1"/>
      <c r="H5" s="29"/>
    </row>
    <row r="6" spans="1:15" ht="18.75" x14ac:dyDescent="0.3">
      <c r="A6" s="545" t="s">
        <v>5</v>
      </c>
      <c r="B6" s="545"/>
      <c r="C6" s="108" t="s">
        <v>483</v>
      </c>
      <c r="G6" s="1"/>
    </row>
    <row r="7" spans="1:15" x14ac:dyDescent="0.25">
      <c r="A7" s="108"/>
      <c r="B7" s="108"/>
    </row>
    <row r="8" spans="1:15" x14ac:dyDescent="0.25">
      <c r="A8" s="108" t="s">
        <v>6</v>
      </c>
      <c r="B8" s="108"/>
    </row>
    <row r="9" spans="1:15" ht="24.75" customHeight="1" x14ac:dyDescent="0.25">
      <c r="A9" s="149" t="s">
        <v>7</v>
      </c>
      <c r="B9" s="538" t="s">
        <v>8</v>
      </c>
      <c r="C9" s="538"/>
      <c r="D9" s="149" t="s">
        <v>9</v>
      </c>
      <c r="E9" s="149" t="s">
        <v>10</v>
      </c>
      <c r="F9" s="541" t="s">
        <v>11</v>
      </c>
      <c r="G9" s="541" t="s">
        <v>12</v>
      </c>
      <c r="H9" s="149" t="s">
        <v>13</v>
      </c>
      <c r="I9" s="149"/>
      <c r="J9" s="149" t="s">
        <v>15</v>
      </c>
      <c r="K9" s="149" t="s">
        <v>16</v>
      </c>
      <c r="L9" s="544" t="s">
        <v>17</v>
      </c>
      <c r="M9" s="544"/>
      <c r="N9" s="544"/>
      <c r="O9" s="149" t="s">
        <v>18</v>
      </c>
    </row>
    <row r="10" spans="1:15" x14ac:dyDescent="0.25">
      <c r="A10" s="542" t="s">
        <v>19</v>
      </c>
      <c r="B10" s="546" t="s">
        <v>20</v>
      </c>
      <c r="C10" s="547"/>
      <c r="D10" s="542" t="s">
        <v>21</v>
      </c>
      <c r="E10" s="542" t="s">
        <v>22</v>
      </c>
      <c r="F10" s="542"/>
      <c r="G10" s="542"/>
      <c r="H10" s="104" t="s">
        <v>23</v>
      </c>
      <c r="I10" s="104" t="s">
        <v>14</v>
      </c>
      <c r="J10" s="104" t="s">
        <v>24</v>
      </c>
      <c r="K10" s="104" t="s">
        <v>25</v>
      </c>
      <c r="L10" s="104" t="s">
        <v>26</v>
      </c>
      <c r="M10" s="104" t="s">
        <v>27</v>
      </c>
      <c r="N10" s="104" t="s">
        <v>28</v>
      </c>
      <c r="O10" s="539" t="s">
        <v>29</v>
      </c>
    </row>
    <row r="11" spans="1:15" x14ac:dyDescent="0.25">
      <c r="A11" s="543"/>
      <c r="B11" s="548"/>
      <c r="C11" s="549"/>
      <c r="D11" s="543"/>
      <c r="E11" s="543"/>
      <c r="F11" s="543"/>
      <c r="G11" s="543"/>
      <c r="H11" s="105" t="s">
        <v>30</v>
      </c>
      <c r="I11" s="105"/>
      <c r="J11" s="105" t="s">
        <v>31</v>
      </c>
      <c r="K11" s="105" t="s">
        <v>32</v>
      </c>
      <c r="L11" s="105" t="s">
        <v>33</v>
      </c>
      <c r="M11" s="105" t="s">
        <v>34</v>
      </c>
      <c r="N11" s="105" t="s">
        <v>35</v>
      </c>
      <c r="O11" s="540"/>
    </row>
    <row r="12" spans="1:15" x14ac:dyDescent="0.25">
      <c r="A12" s="47">
        <v>1</v>
      </c>
      <c r="B12" s="561">
        <v>2</v>
      </c>
      <c r="C12" s="562"/>
      <c r="D12" s="150">
        <v>3</v>
      </c>
      <c r="E12" s="150">
        <v>4</v>
      </c>
      <c r="F12" s="151">
        <v>5</v>
      </c>
      <c r="G12" s="151">
        <v>6</v>
      </c>
      <c r="H12" s="104">
        <v>7</v>
      </c>
      <c r="I12" s="104">
        <v>8</v>
      </c>
      <c r="J12" s="104">
        <v>9</v>
      </c>
      <c r="K12" s="104">
        <v>10</v>
      </c>
      <c r="L12" s="104">
        <v>11</v>
      </c>
      <c r="M12" s="104">
        <v>12</v>
      </c>
      <c r="N12" s="104">
        <v>13</v>
      </c>
      <c r="O12" s="150">
        <v>14</v>
      </c>
    </row>
    <row r="13" spans="1:15" ht="47.25" customHeight="1" x14ac:dyDescent="0.25">
      <c r="A13" s="47">
        <v>1</v>
      </c>
      <c r="B13" s="581" t="s">
        <v>154</v>
      </c>
      <c r="C13" s="582"/>
      <c r="D13" s="119" t="s">
        <v>481</v>
      </c>
      <c r="E13" s="12"/>
      <c r="F13" s="12"/>
      <c r="G13" s="119" t="s">
        <v>481</v>
      </c>
      <c r="H13" s="9">
        <v>2000</v>
      </c>
      <c r="I13" s="152" t="s">
        <v>155</v>
      </c>
      <c r="J13" s="44" t="s">
        <v>149</v>
      </c>
      <c r="K13" s="20">
        <v>350000</v>
      </c>
      <c r="L13" s="9" t="s">
        <v>26</v>
      </c>
      <c r="M13" s="32"/>
      <c r="N13" s="12"/>
      <c r="O13" s="10" t="s">
        <v>482</v>
      </c>
    </row>
    <row r="14" spans="1:15" ht="94.5" x14ac:dyDescent="0.25">
      <c r="A14" s="47">
        <f>A13+1</f>
        <v>2</v>
      </c>
      <c r="B14" s="579" t="s">
        <v>459</v>
      </c>
      <c r="C14" s="580"/>
      <c r="D14" s="40" t="s">
        <v>460</v>
      </c>
      <c r="E14" s="41"/>
      <c r="F14" s="41"/>
      <c r="G14" s="42" t="s">
        <v>56</v>
      </c>
      <c r="H14" s="43">
        <v>2012</v>
      </c>
      <c r="I14" s="43" t="s">
        <v>461</v>
      </c>
      <c r="J14" s="44" t="s">
        <v>43</v>
      </c>
      <c r="K14" s="63">
        <v>895000</v>
      </c>
      <c r="L14" s="43" t="s">
        <v>26</v>
      </c>
      <c r="M14" s="43"/>
      <c r="N14" s="41"/>
      <c r="O14" s="40" t="s">
        <v>484</v>
      </c>
    </row>
    <row r="15" spans="1:15" x14ac:dyDescent="0.25">
      <c r="A15" s="157"/>
      <c r="B15" s="158"/>
      <c r="C15" s="158"/>
      <c r="D15" s="159"/>
      <c r="E15" s="125"/>
      <c r="F15" s="125"/>
      <c r="G15" s="160"/>
      <c r="H15" s="94"/>
      <c r="I15" s="94"/>
      <c r="J15" s="126"/>
      <c r="K15" s="134"/>
      <c r="L15" s="94"/>
      <c r="M15" s="94"/>
      <c r="N15" s="125"/>
      <c r="O15" s="125"/>
    </row>
    <row r="16" spans="1:15" x14ac:dyDescent="0.25">
      <c r="C16" s="5" t="s">
        <v>36</v>
      </c>
      <c r="L16" s="23" t="s">
        <v>575</v>
      </c>
    </row>
    <row r="17" spans="2:12" ht="6.75" customHeight="1" x14ac:dyDescent="0.25">
      <c r="C17" s="5"/>
      <c r="L17" s="5"/>
    </row>
    <row r="18" spans="2:12" x14ac:dyDescent="0.25">
      <c r="C18" s="5" t="s">
        <v>572</v>
      </c>
      <c r="L18" s="5" t="s">
        <v>580</v>
      </c>
    </row>
    <row r="19" spans="2:12" x14ac:dyDescent="0.25">
      <c r="C19" s="5"/>
      <c r="L19" s="5"/>
    </row>
    <row r="20" spans="2:12" x14ac:dyDescent="0.25">
      <c r="C20" s="5"/>
      <c r="F20" s="13"/>
      <c r="L20" s="5"/>
    </row>
    <row r="21" spans="2:12" x14ac:dyDescent="0.25">
      <c r="C21" s="5"/>
      <c r="L21" s="5"/>
    </row>
    <row r="22" spans="2:12" x14ac:dyDescent="0.25">
      <c r="C22" s="6" t="s">
        <v>573</v>
      </c>
      <c r="L22" s="6" t="s">
        <v>576</v>
      </c>
    </row>
    <row r="23" spans="2:12" x14ac:dyDescent="0.25">
      <c r="C23" s="5" t="s">
        <v>39</v>
      </c>
      <c r="L23" s="23" t="str">
        <f>'BARANG YANG MASIH HARUS DICARI'!L29</f>
        <v>NIP. 19721124 200604 2 005</v>
      </c>
    </row>
    <row r="24" spans="2:12" x14ac:dyDescent="0.25">
      <c r="C24" s="23" t="s">
        <v>574</v>
      </c>
    </row>
    <row r="25" spans="2:12" x14ac:dyDescent="0.25">
      <c r="K25" s="24"/>
    </row>
    <row r="26" spans="2:12" x14ac:dyDescent="0.25">
      <c r="B26" s="21"/>
      <c r="K26" s="25"/>
    </row>
    <row r="27" spans="2:12" x14ac:dyDescent="0.25">
      <c r="B27" s="22"/>
    </row>
    <row r="28" spans="2:12" x14ac:dyDescent="0.25">
      <c r="B28" s="22"/>
    </row>
  </sheetData>
  <mergeCells count="16">
    <mergeCell ref="O10:O11"/>
    <mergeCell ref="B12:C12"/>
    <mergeCell ref="B13:C13"/>
    <mergeCell ref="G9:G11"/>
    <mergeCell ref="L9:N9"/>
    <mergeCell ref="F9:F11"/>
    <mergeCell ref="A3:B3"/>
    <mergeCell ref="A4:B4"/>
    <mergeCell ref="A5:B5"/>
    <mergeCell ref="A6:B6"/>
    <mergeCell ref="B9:C9"/>
    <mergeCell ref="B14:C14"/>
    <mergeCell ref="A10:A11"/>
    <mergeCell ref="B10:C11"/>
    <mergeCell ref="D10:D11"/>
    <mergeCell ref="E10:E11"/>
  </mergeCells>
  <printOptions horizontalCentered="1"/>
  <pageMargins left="0.11811023622047245" right="0.35433070866141736" top="0.19685039370078741" bottom="0.15748031496062992" header="0" footer="0"/>
  <pageSetup paperSize="14" scale="65" orientation="landscape" horizontalDpi="180" verticalDpi="180" r:id="rId1"/>
  <headerFooter alignWithMargins="0">
    <oddFooter>&amp;L&amp;9&amp;F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24</vt:i4>
      </vt:variant>
    </vt:vector>
  </HeadingPairs>
  <TitlesOfParts>
    <vt:vector size="49" baseType="lpstr">
      <vt:lpstr>REKAP</vt:lpstr>
      <vt:lpstr>RUANG KABAN</vt:lpstr>
      <vt:lpstr>RUANG SEKRETARIS</vt:lpstr>
      <vt:lpstr>RUANG SEKRETARIAT</vt:lpstr>
      <vt:lpstr>RUANG KASUBBAG KEUANGAN</vt:lpstr>
      <vt:lpstr>RUANG KASUBBAG UMPEG</vt:lpstr>
      <vt:lpstr>RUANG KASUBBAG SUNRAM</vt:lpstr>
      <vt:lpstr>RUANG SELASAR</vt:lpstr>
      <vt:lpstr>RUANG RAPAT</vt:lpstr>
      <vt:lpstr>RUANG PELAYANAN</vt:lpstr>
      <vt:lpstr>RUANG DAPUR</vt:lpstr>
      <vt:lpstr>RUANG KABID IDEOLOGI</vt:lpstr>
      <vt:lpstr>Sheet1</vt:lpstr>
      <vt:lpstr>RUANG KABID HANSENIBUD</vt:lpstr>
      <vt:lpstr>RUANG KABID POLITIK</vt:lpstr>
      <vt:lpstr>RUANG KABID WASNAS</vt:lpstr>
      <vt:lpstr>RUANG DEPAN BIDANG KET</vt:lpstr>
      <vt:lpstr>RUANG DEPAN BIDANG</vt:lpstr>
      <vt:lpstr>RUANG DEPAN BIDANG (2)</vt:lpstr>
      <vt:lpstr>REKAP BARANG ALL RUANGAN</vt:lpstr>
      <vt:lpstr>BARANG INVENTARIS KANTOR</vt:lpstr>
      <vt:lpstr>KENDARAAN</vt:lpstr>
      <vt:lpstr>KENDARAAN BERDASARKAN KIB</vt:lpstr>
      <vt:lpstr>BARANG YANG MASIH HARUS DICARI</vt:lpstr>
      <vt:lpstr>BARANG YG DIHIBAHKAN</vt:lpstr>
      <vt:lpstr>'BARANG INVENTARIS KANTOR'!Print_Area</vt:lpstr>
      <vt:lpstr>'BARANG YANG MASIH HARUS DICARI'!Print_Area</vt:lpstr>
      <vt:lpstr>'BARANG YG DIHIBAHKAN'!Print_Area</vt:lpstr>
      <vt:lpstr>KENDARAAN!Print_Area</vt:lpstr>
      <vt:lpstr>'KENDARAAN BERDASARKAN KIB'!Print_Area</vt:lpstr>
      <vt:lpstr>REKAP!Print_Area</vt:lpstr>
      <vt:lpstr>'REKAP BARANG ALL RUANGAN'!Print_Area</vt:lpstr>
      <vt:lpstr>'RUANG DAPUR'!Print_Area</vt:lpstr>
      <vt:lpstr>'RUANG DEPAN BIDANG'!Print_Area</vt:lpstr>
      <vt:lpstr>'RUANG DEPAN BIDANG (2)'!Print_Area</vt:lpstr>
      <vt:lpstr>'RUANG DEPAN BIDANG KET'!Print_Area</vt:lpstr>
      <vt:lpstr>'RUANG KABAN'!Print_Area</vt:lpstr>
      <vt:lpstr>'RUANG KABID HANSENIBUD'!Print_Area</vt:lpstr>
      <vt:lpstr>'RUANG KABID IDEOLOGI'!Print_Area</vt:lpstr>
      <vt:lpstr>'RUANG KABID POLITIK'!Print_Area</vt:lpstr>
      <vt:lpstr>'RUANG KABID WASNAS'!Print_Area</vt:lpstr>
      <vt:lpstr>'RUANG KASUBBAG KEUANGAN'!Print_Area</vt:lpstr>
      <vt:lpstr>'RUANG KASUBBAG SUNRAM'!Print_Area</vt:lpstr>
      <vt:lpstr>'RUANG KASUBBAG UMPEG'!Print_Area</vt:lpstr>
      <vt:lpstr>'RUANG PELAYANAN'!Print_Area</vt:lpstr>
      <vt:lpstr>'RUANG RAPAT'!Print_Area</vt:lpstr>
      <vt:lpstr>'RUANG SEKRETARIAT'!Print_Area</vt:lpstr>
      <vt:lpstr>'RUANG SEKRETARIS'!Print_Area</vt:lpstr>
      <vt:lpstr>'RUANG SELASAR'!Print_Area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bakesbangpolbanjarmasin@outlook.com</cp:lastModifiedBy>
  <cp:lastPrinted>2026-01-22T06:53:31Z</cp:lastPrinted>
  <dcterms:created xsi:type="dcterms:W3CDTF">2021-07-08T06:46:09Z</dcterms:created>
  <dcterms:modified xsi:type="dcterms:W3CDTF">2026-01-22T07:48:44Z</dcterms:modified>
</cp:coreProperties>
</file>